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Error Summary" sheetId="2" r:id="rId2"/>
    <sheet name="3757 - Wall Stickers (S)" sheetId="3" r:id="rId3"/>
    <sheet name="3757-S-WUO_ERR" sheetId="4" state="hidden" r:id="rId4"/>
    <sheet name="3757-S-WUO_TRK" sheetId="5" state="hidden" r:id="rId5"/>
    <sheet name="6161 - Wallpaper (S)" sheetId="6" r:id="rId6"/>
    <sheet name="6161-S-WUO_ERR" sheetId="7" state="hidden" r:id="rId7"/>
    <sheet name="6161-S-WUO_TRK" sheetId="8" state="hidden" r:id="rId8"/>
    <sheet name="Valid Values" sheetId="9" r:id="rId9"/>
    <sheet name="WAYFAIR_USE_ONLY" sheetId="10" state="hidden" r:id="rId10"/>
  </sheets>
  <definedNames>
    <definedName name="allowed117_fp_S_class_3757">'Valid Values'!$AU$2:$AU$3</definedName>
    <definedName name="allowed117_fp_S_class_6161">'Valid Values'!$AU$2:$AU$3</definedName>
    <definedName name="allowed1217_fp_S_class_3757">'Valid Values'!$E$2:$E$11</definedName>
    <definedName name="allowed1316_fp_S_class_3757">'Valid Values'!$AC$2:$AC$21</definedName>
    <definedName name="allowed1316_fp_S_class_6161">'Valid Values'!$AC$2:$AC$21</definedName>
    <definedName name="allowed135_fp_S_class_3757">'Valid Values'!$AO$2:$AO$26</definedName>
    <definedName name="allowed135_fp_S_class_6161">'Valid Values'!$AO$2:$AO$26</definedName>
    <definedName name="allowed1379_fp_S_class_3757">'Valid Values'!$W$2:$W$8</definedName>
    <definedName name="allowed137_fp_S_class_3757">'Valid Values'!$Q$2:$Q$27</definedName>
    <definedName name="allowed1386_fp_S_class_6161">'Valid Values'!$CB$2:$CB$564</definedName>
    <definedName name="allowed1388_fp_S_class_3757">'Valid Values'!$AG$2:$AG$179</definedName>
    <definedName name="allowed1388_fp_S_class_6161">'Valid Values'!$AG$2:$AG$179</definedName>
    <definedName name="allowed1436_fp_S_class_6161">'Valid Values'!$CP$2:$CP$31</definedName>
    <definedName name="allowed1437_fp_S_class_3757">'Valid Values'!$Y$2:$Y$20</definedName>
    <definedName name="allowed1437_fp_S_class_6161">'Valid Values'!$CL$2:$CL$12</definedName>
    <definedName name="allowed1557_fp_S_class_3757">'Valid Values'!$AK$2:$AK$15</definedName>
    <definedName name="allowed1557_fp_S_class_6161">'Valid Values'!$AK$2:$AK$15</definedName>
    <definedName name="allowed1560_fp_S_class_3757">'Valid Values'!$M$2:$M$30</definedName>
    <definedName name="allowed1567_fp_S_class_3757">'Valid Values'!$AA$2:$AA$15</definedName>
    <definedName name="allowed1966_fp_S_class_3757">'Valid Values'!$C$2:$C$33</definedName>
    <definedName name="allowed2358_fp_S_class_6161">'Valid Values'!$CJ$2:$CJ$312</definedName>
    <definedName name="allowed2385_fp_S_class_3757">'Valid Values'!$G$2:$G$44</definedName>
    <definedName name="allowed2385_fp_S_class_6161">'Valid Values'!$BV$2:$BV$17</definedName>
    <definedName name="allowed2389_fp_S_class_3757">'Valid Values'!$K$2:$K$5</definedName>
    <definedName name="allowed256_fp_S_class_3757">'Valid Values'!$AQ$2:$AQ$3</definedName>
    <definedName name="allowed256_fp_S_class_6161">'Valid Values'!$AQ$2:$AQ$3</definedName>
    <definedName name="allowed27_fp_S_class_6161">'Valid Values'!$CN$2:$CN$3</definedName>
    <definedName name="allowed28_fp_S_class_3757">'Valid Values'!$AM$2:$AM$4</definedName>
    <definedName name="allowed28_fp_S_class_6161">'Valid Values'!$AM$2:$AM$4</definedName>
    <definedName name="allowed31_fp_S_class_3757">'Valid Values'!$AS$2:$AS$3</definedName>
    <definedName name="allowed31_fp_S_class_6161">'Valid Values'!$AS$2:$AS$3</definedName>
    <definedName name="allowed3538_fp_S_class_3757">'Valid Values'!$I$2:$I$27</definedName>
    <definedName name="allowed3921_fp_S_class_6161">'Valid Values'!$CH$2:$CH$7</definedName>
    <definedName name="allowed4123_fp_S_class_6161">'Valid Values'!$BX$2:$BX$11</definedName>
    <definedName name="allowed4591_fp_S_class_6161">'Valid Values'!$CF$2:$CF$6</definedName>
    <definedName name="allowed5471_fp_S_class_6161">'Valid Values'!$BT$2:$BT$6</definedName>
    <definedName name="allowed6012_fp_S_class_6161">'Valid Values'!$BR$2:$BR$6</definedName>
    <definedName name="allowed6109_fp_S_class_3757">'Valid Values'!$A$2:$A$14</definedName>
    <definedName name="allowed6109_fp_S_class_6161">'Valid Values'!$BP$2:$BP$9</definedName>
    <definedName name="allowed6253_fp_S_class_3757">'Valid Values'!$AE$2:$AE$5</definedName>
    <definedName name="allowed647_fp_S_class_3757">'Valid Values'!$O$2:$O$248</definedName>
    <definedName name="allowed647_fp_S_class_6161">'Valid Values'!$O$2:$O$248</definedName>
    <definedName name="allowed807_fp_S_class_3757">'Valid Values'!$U$2:$U$5</definedName>
    <definedName name="allowed807_fp_S_class_6161">'Valid Values'!$U$2:$U$5</definedName>
    <definedName name="allowed8205_fp_S_class_3757">'Valid Values'!$AW$2:$AW$4</definedName>
    <definedName name="allowed82_fp_S_class_6161">'Valid Values'!$CD$2:$CD$40</definedName>
    <definedName name="allowed8462_fp_S_class_3757">'Valid Values'!$AY$2:$AY$4</definedName>
    <definedName name="allowed8462_fp_S_class_6161">'Valid Values'!$AY$2:$AY$4</definedName>
    <definedName name="allowed8653_fp_S_class_3757">'Valid Values'!$AI$2:$AI$10</definedName>
    <definedName name="allowed8653_fp_S_class_6161">'Valid Values'!$BZ$2:$BZ$4</definedName>
    <definedName name="allowed9007_fp_S_class_3757">'Valid Values'!$BA$2:$BA$2</definedName>
    <definedName name="allowed9007_fp_S_class_6161">'Valid Values'!$BA$2:$BA$2</definedName>
    <definedName name="allowed9009_fp_S_class_3757">'Valid Values'!$BB$2:$BB$4</definedName>
    <definedName name="allowed9009_fp_S_class_6161">'Valid Values'!$BB$2:$BB$4</definedName>
    <definedName name="allowed9011_fp_S_class_3757">'Valid Values'!$BC$2:$BC$3</definedName>
    <definedName name="allowed9011_fp_S_class_6161">'Valid Values'!$CR$2:$CR$4</definedName>
    <definedName name="allowed9030_fp_S_class_3757">'Valid Values'!$BD$2:$BD$3</definedName>
    <definedName name="allowed9030_fp_S_class_6161">'Valid Values'!$BD$2:$BD$3</definedName>
    <definedName name="allowed9031_fp_S_class_3757">'Valid Values'!$BE$2:$BE$19</definedName>
    <definedName name="allowed9031_fp_S_class_6161">'Valid Values'!$BE$2:$BE$19</definedName>
    <definedName name="allowed9032_fp_S_class_3757">'Valid Values'!$BF$2:$BF$36</definedName>
    <definedName name="allowed9032_fp_S_class_6161">'Valid Values'!$BF$2:$BF$36</definedName>
    <definedName name="allowed9033_fp_S_class_3757">'Valid Values'!$BG$2:$BG$36</definedName>
    <definedName name="allowed9033_fp_S_class_6161">'Valid Values'!$BG$2:$BG$36</definedName>
    <definedName name="allowed9035_fp_S_class_3757">'Valid Values'!$BH$2:$BH$3</definedName>
    <definedName name="allowed9035_fp_S_class_6161">'Valid Values'!$BH$2:$BH$3</definedName>
    <definedName name="allowed9036_fp_S_class_3757">'Valid Values'!$BI$2:$BI$3</definedName>
    <definedName name="allowed9036_fp_S_class_6161">'Valid Values'!$BI$2:$BI$3</definedName>
    <definedName name="allowed9041_fp_S_class_3757">'Valid Values'!$BJ$2:$BJ$3</definedName>
    <definedName name="allowed9041_fp_S_class_6161">'Valid Values'!$BJ$2:$BJ$3</definedName>
    <definedName name="allowed9042_fp_S_class_3757">'Valid Values'!$BK$2:$BK$902</definedName>
    <definedName name="allowed9042_fp_S_class_6161">'Valid Values'!$BK$2:$BK$902</definedName>
    <definedName name="allowed9043_fp_S_class_3757">'Valid Values'!$BL$2:$BL$4</definedName>
    <definedName name="allowed9043_fp_S_class_6161">'Valid Values'!$BL$2:$BL$4</definedName>
    <definedName name="allowed9064_fp_S_class_3757">'Valid Values'!$BM$2:$BM$16</definedName>
    <definedName name="allowed9064_fp_S_class_6161">'Valid Values'!$BM$2:$BM$16</definedName>
    <definedName name="allowed9065_fp_S_class_3757">'Valid Values'!$BN$2:$BN$503</definedName>
    <definedName name="allowed9065_fp_S_class_6161">'Valid Values'!$BN$2:$BN$503</definedName>
    <definedName name="allowed9066_fp_S_class_3757">'Valid Values'!$BO$2:$BO$5</definedName>
    <definedName name="allowed9066_fp_S_class_6161">'Valid Values'!$BO$2:$BO$5</definedName>
    <definedName name="allowed95_fp_S_class_3757">'Valid Values'!$S$2:$S$6</definedName>
    <definedName name="allowed95_fp_S_class_6161">'Valid Values'!$S$2:$S$6</definedName>
    <definedName name="ClassFeed3757_STANDARDAnswers">'3757 - Wall Stickers (S)'!$B$9:$LA$508</definedName>
    <definedName name="ClassFeed3757_STANDARDErrors">'3757-S-WUO_ERR'!$B$9:$LA$508</definedName>
    <definedName name="ClassFeed3757_STANDARDHeaders">'3757 - Wall Stickers (S)'!$B$5:$LA$5</definedName>
    <definedName name="ClassFeed3757_STANDARDTracker">'3757-S-WUO_TRK'!$B$9:$LA$508</definedName>
    <definedName name="ClassFeed6161_STANDARDAnswers">'6161 - Wallpaper (S)'!$B$9:$LC$508</definedName>
    <definedName name="ClassFeed6161_STANDARDErrors">'6161-S-WUO_ERR'!$B$9:$LC$508</definedName>
    <definedName name="ClassFeed6161_STANDARDHeaders">'6161 - Wallpaper (S)'!$B$5:$LC$5</definedName>
    <definedName name="ClassFeed6161_STANDARDTracker">'6161-S-WUO_TRK'!$B$9:$LC$508</definedName>
    <definedName name="GetErrorQuestionDisplayNames">_xlfn.LAMBDA(_xlpm.headers,_xlpm.tracker,_xlpm.errors, _xlfn.LET(_xlpm.numColumns, COLUMNS(_xlpm.tracker), _xlpm.flattenedColMatrix, _xlfn.MOD(_xlfn.SEQUENCE(_xlpm.numColumns * ROWS(_xlpm.tracker)) - 1, _xlpm.numColumns) + 1, _xlpm.filteredCols, _xlfn._xlws.FILTER(_xlpm.flattenedColMatrix, _xlfn.TOCOL((_xlpm.errors &lt;&gt; "") * (_xlpm.tracker &lt;&gt; "Valid") * (_xlpm.tracker &lt;&gt; "Disabled")), "QUESTION_PLACEHOLDER"), IF(AND(ROWS(_xlpm.filteredCols)*COLUMNS(_xlpm.filteredCols)=1, INDEX(_xlpm.filteredCols,1,1)="QUESTION_PLACEHOLDER"), "", _xlfn.LET(_xlpm.cleanColNums, _xlfn.TOCOL(_xlpm.filteredCols, 2), _xlpm.rawHeaders, INDEX(_xlpm.headers, 1, _xlpm.cleanColNums), IFERROR(IF(_xlpm.rawHeaders = "", "", _xlpm.rawHeaders),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9),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vvh_117_fp_S_class_3757">'Valid Values'!$AU$1:$AU$1</definedName>
    <definedName name="vvh_117_fp_S_class_6161">'Valid Values'!$AU$1:$AU$1</definedName>
    <definedName name="vvh_1217_fp_S_class_3757">'Valid Values'!$E$1:$E$1</definedName>
    <definedName name="vvh_1316_fp_S_class_3757">'Valid Values'!$AC$1:$AC$1</definedName>
    <definedName name="vvh_1316_fp_S_class_6161">'Valid Values'!$AC$1:$AC$1</definedName>
    <definedName name="vvh_135_fp_S_class_3757">'Valid Values'!$AO$1:$AO$1</definedName>
    <definedName name="vvh_135_fp_S_class_6161">'Valid Values'!$AO$1:$AO$1</definedName>
    <definedName name="vvh_1379_fp_S_class_3757">'Valid Values'!$W$1:$W$1</definedName>
    <definedName name="vvh_137_fp_S_class_3757">'Valid Values'!$Q$1:$Q$1</definedName>
    <definedName name="vvh_1386_fp_S_class_6161">'Valid Values'!$CB$1:$CB$1</definedName>
    <definedName name="vvh_1388_fp_S_class_3757">'Valid Values'!$AG$1:$AG$1</definedName>
    <definedName name="vvh_1388_fp_S_class_6161">'Valid Values'!$AG$1:$AG$1</definedName>
    <definedName name="vvh_1436_fp_S_class_6161">'Valid Values'!$CP$1:$CP$1</definedName>
    <definedName name="vvh_1437_fp_S_class_3757">'Valid Values'!$Y$1:$Y$1</definedName>
    <definedName name="vvh_1437_fp_S_class_6161">'Valid Values'!$CL$1:$CL$1</definedName>
    <definedName name="vvh_1557_fp_S_class_3757">'Valid Values'!$AK$1:$AK$1</definedName>
    <definedName name="vvh_1557_fp_S_class_6161">'Valid Values'!$AK$1:$AK$1</definedName>
    <definedName name="vvh_1560_fp_S_class_3757">'Valid Values'!$M$1:$M$1</definedName>
    <definedName name="vvh_1567_fp_S_class_3757">'Valid Values'!$AA$1:$AA$1</definedName>
    <definedName name="vvh_1966_fp_S_class_3757">'Valid Values'!$C$1:$C$1</definedName>
    <definedName name="vvh_2358_fp_S_class_6161">'Valid Values'!$CJ$1:$CJ$1</definedName>
    <definedName name="vvh_2385_fp_S_class_3757">'Valid Values'!$G$1:$G$1</definedName>
    <definedName name="vvh_2385_fp_S_class_6161">'Valid Values'!$BV$1:$BV$1</definedName>
    <definedName name="vvh_2389_fp_S_class_3757">'Valid Values'!$K$1:$K$1</definedName>
    <definedName name="vvh_256_fp_S_class_3757">'Valid Values'!$AQ$1:$AQ$1</definedName>
    <definedName name="vvh_256_fp_S_class_6161">'Valid Values'!$AQ$1:$AQ$1</definedName>
    <definedName name="vvh_27_fp_S_class_6161">'Valid Values'!$CN$1:$CN$1</definedName>
    <definedName name="vvh_28_fp_S_class_3757">'Valid Values'!$AM$1:$AM$1</definedName>
    <definedName name="vvh_28_fp_S_class_6161">'Valid Values'!$AM$1:$AM$1</definedName>
    <definedName name="vvh_31_fp_S_class_3757">'Valid Values'!$AS$1:$AS$1</definedName>
    <definedName name="vvh_31_fp_S_class_6161">'Valid Values'!$AS$1:$AS$1</definedName>
    <definedName name="vvh_3538_fp_S_class_3757">'Valid Values'!$I$1:$I$1</definedName>
    <definedName name="vvh_3921_fp_S_class_6161">'Valid Values'!$CH$1:$CH$1</definedName>
    <definedName name="vvh_4123_fp_S_class_6161">'Valid Values'!$BX$1:$BX$1</definedName>
    <definedName name="vvh_4591_fp_S_class_6161">'Valid Values'!$CF$1:$CF$1</definedName>
    <definedName name="vvh_5471_fp_S_class_6161">'Valid Values'!$BT$1:$BT$1</definedName>
    <definedName name="vvh_6012_fp_S_class_6161">'Valid Values'!$BR$1:$BR$1</definedName>
    <definedName name="vvh_6109_fp_S_class_3757">'Valid Values'!$A$1:$A$1</definedName>
    <definedName name="vvh_6109_fp_S_class_6161">'Valid Values'!$BP$1:$BP$1</definedName>
    <definedName name="vvh_6253_fp_S_class_3757">'Valid Values'!$AE$1:$AE$1</definedName>
    <definedName name="vvh_647_fp_S_class_3757">'Valid Values'!$O$1:$O$1</definedName>
    <definedName name="vvh_647_fp_S_class_6161">'Valid Values'!$O$1:$O$1</definedName>
    <definedName name="vvh_807_fp_S_class_3757">'Valid Values'!$U$1:$U$1</definedName>
    <definedName name="vvh_807_fp_S_class_6161">'Valid Values'!$U$1:$U$1</definedName>
    <definedName name="vvh_8205_fp_S_class_3757">'Valid Values'!$AW$1:$AW$1</definedName>
    <definedName name="vvh_82_fp_S_class_6161">'Valid Values'!$CD$1:$CD$1</definedName>
    <definedName name="vvh_8462_fp_S_class_3757">'Valid Values'!$AY$1:$AY$1</definedName>
    <definedName name="vvh_8462_fp_S_class_6161">'Valid Values'!$AY$1:$AY$1</definedName>
    <definedName name="vvh_8653_fp_S_class_3757">'Valid Values'!$AI$1:$AI$1</definedName>
    <definedName name="vvh_8653_fp_S_class_6161">'Valid Values'!$BZ$1:$BZ$1</definedName>
    <definedName name="vvh_9007_fp_S_class_3757">'Valid Values'!$BA$1:$BA$1</definedName>
    <definedName name="vvh_9007_fp_S_class_6161">'Valid Values'!$BA$1:$BA$1</definedName>
    <definedName name="vvh_9009_fp_S_class_3757">'Valid Values'!$BB$1:$BB$1</definedName>
    <definedName name="vvh_9009_fp_S_class_6161">'Valid Values'!$BB$1:$BB$1</definedName>
    <definedName name="vvh_9011_fp_S_class_3757">'Valid Values'!$BC$1:$BC$1</definedName>
    <definedName name="vvh_9011_fp_S_class_6161">'Valid Values'!$CR$1:$CR$1</definedName>
    <definedName name="vvh_9030_fp_S_class_3757">'Valid Values'!$BD$1:$BD$1</definedName>
    <definedName name="vvh_9030_fp_S_class_6161">'Valid Values'!$BD$1:$BD$1</definedName>
    <definedName name="vvh_9031_fp_S_class_3757">'Valid Values'!$BE$1:$BE$1</definedName>
    <definedName name="vvh_9031_fp_S_class_6161">'Valid Values'!$BE$1:$BE$1</definedName>
    <definedName name="vvh_9032_fp_S_class_3757">'Valid Values'!$BF$1:$BF$1</definedName>
    <definedName name="vvh_9032_fp_S_class_6161">'Valid Values'!$BF$1:$BF$1</definedName>
    <definedName name="vvh_9033_fp_S_class_3757">'Valid Values'!$BG$1:$BG$1</definedName>
    <definedName name="vvh_9033_fp_S_class_6161">'Valid Values'!$BG$1:$BG$1</definedName>
    <definedName name="vvh_9035_fp_S_class_3757">'Valid Values'!$BH$1:$BH$1</definedName>
    <definedName name="vvh_9035_fp_S_class_6161">'Valid Values'!$BH$1:$BH$1</definedName>
    <definedName name="vvh_9036_fp_S_class_3757">'Valid Values'!$BI$1:$BI$1</definedName>
    <definedName name="vvh_9036_fp_S_class_6161">'Valid Values'!$BI$1:$BI$1</definedName>
    <definedName name="vvh_9041_fp_S_class_3757">'Valid Values'!$BJ$1:$BJ$1</definedName>
    <definedName name="vvh_9041_fp_S_class_6161">'Valid Values'!$BJ$1:$BJ$1</definedName>
    <definedName name="vvh_9042_fp_S_class_3757">'Valid Values'!$BK$1:$BK$1</definedName>
    <definedName name="vvh_9042_fp_S_class_6161">'Valid Values'!$BK$1:$BK$1</definedName>
    <definedName name="vvh_9043_fp_S_class_3757">'Valid Values'!$BL$1:$BL$1</definedName>
    <definedName name="vvh_9043_fp_S_class_6161">'Valid Values'!$BL$1:$BL$1</definedName>
    <definedName name="vvh_9064_fp_S_class_3757">'Valid Values'!$BM$1:$BM$1</definedName>
    <definedName name="vvh_9064_fp_S_class_6161">'Valid Values'!$BM$1:$BM$1</definedName>
    <definedName name="vvh_9065_fp_S_class_3757">'Valid Values'!$BN$1:$BN$1</definedName>
    <definedName name="vvh_9065_fp_S_class_6161">'Valid Values'!$BN$1:$BN$1</definedName>
    <definedName name="vvh_9066_fp_S_class_3757">'Valid Values'!$BO$1:$BO$1</definedName>
    <definedName name="vvh_9066_fp_S_class_6161">'Valid Values'!$BO$1:$BO$1</definedName>
    <definedName name="vvh_95_fp_S_class_3757">'Valid Values'!$S$1:$S$1</definedName>
    <definedName name="vvh_95_fp_S_class_6161">'Valid Values'!$S$1:$S$1</definedName>
  </definedNames>
  <calcPr calcId="124519" fullCalcOnLoad="1"/>
</workbook>
</file>

<file path=xl/comments1.xml><?xml version="1.0" encoding="utf-8"?>
<comments xmlns="http://schemas.openxmlformats.org/spreadsheetml/2006/main">
  <authors>
    <author>wayfair</author>
  </authors>
  <commentList>
    <comment ref="B8" authorId="0">
      <text>
        <r>
          <rPr>
            <sz val="8"/>
            <color indexed="81"/>
            <rFont val="Tahoma"/>
            <family val="2"/>
          </rPr>
          <t>If all of your products have the same answer to a question, you can set a default value. Any answer you enter in Row 8 will be applied to all of your product in this class automatically.</t>
        </r>
      </text>
    </comment>
  </commentList>
</comments>
</file>

<file path=xl/comments2.xml><?xml version="1.0" encoding="utf-8"?>
<comments xmlns="http://schemas.openxmlformats.org/spreadsheetml/2006/main">
  <authors>
    <author>wayfair</author>
  </authors>
  <commentList>
    <comment ref="B8" authorId="0">
      <text>
        <r>
          <rPr>
            <sz val="8"/>
            <color indexed="81"/>
            <rFont val="Tahoma"/>
            <family val="2"/>
          </rPr>
          <t>If all of your products have the same answer to a question, you can set a default value. Any answer you enter in Row 8 will be applied to all of your product in this class automatically.</t>
        </r>
      </text>
    </comment>
  </commentList>
</comments>
</file>

<file path=xl/comments3.xml><?xml version="1.0" encoding="utf-8"?>
<comments xmlns="http://schemas.openxmlformats.org/spreadsheetml/2006/main">
  <authors>
    <author>wayfair</author>
  </authors>
  <commentList>
    <comment ref="B8" authorId="0">
      <text>
        <r>
          <rPr>
            <sz val="8"/>
            <color indexed="81"/>
            <rFont val="Tahoma"/>
            <family val="2"/>
          </rPr>
          <t>If all of your products have the same answer to a question, you can set a default value. Any answer you enter in Row 8 will be applied to all of your product in this class automatically.</t>
        </r>
      </text>
    </comment>
  </commentList>
</comments>
</file>

<file path=xl/comments4.xml><?xml version="1.0" encoding="utf-8"?>
<comments xmlns="http://schemas.openxmlformats.org/spreadsheetml/2006/main">
  <authors>
    <author>wayfair</author>
  </authors>
  <commentList>
    <comment ref="B8" authorId="0">
      <text>
        <r>
          <rPr>
            <sz val="8"/>
            <color indexed="81"/>
            <rFont val="Tahoma"/>
            <family val="2"/>
          </rPr>
          <t>If all of your products have the same answer to a question, you can set a default value. Any answer you enter in Row 8 will be applied to all of your product in this class automatically.</t>
        </r>
      </text>
    </comment>
  </commentList>
</comments>
</file>

<file path=xl/comments5.xml><?xml version="1.0" encoding="utf-8"?>
<comments xmlns="http://schemas.openxmlformats.org/spreadsheetml/2006/main">
  <authors>
    <author>wayfair</author>
  </authors>
  <commentList>
    <comment ref="B8" authorId="0">
      <text>
        <r>
          <rPr>
            <sz val="8"/>
            <color indexed="81"/>
            <rFont val="Tahoma"/>
            <family val="2"/>
          </rPr>
          <t>If all of your products have the same answer to a question, you can set a default value. Any answer you enter in Row 8 will be applied to all of your product in this class automatically.</t>
        </r>
      </text>
    </comment>
  </commentList>
</comments>
</file>

<file path=xl/comments6.xml><?xml version="1.0" encoding="utf-8"?>
<comments xmlns="http://schemas.openxmlformats.org/spreadsheetml/2006/main">
  <authors>
    <author>wayfair</author>
  </authors>
  <commentList>
    <comment ref="B8" authorId="0">
      <text>
        <r>
          <rPr>
            <sz val="8"/>
            <color indexed="81"/>
            <rFont val="Tahoma"/>
            <family val="2"/>
          </rPr>
          <t>If all of your products have the same answer to a question, you can set a default value. Any answer you enter in Row 8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<sst xmlns="http://schemas.openxmlformats.org/spreadsheetml/2006/main" count="16776" uniqueCount="5588">
  <si>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</si>
  <si>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</si>
  <si>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</si>
  <si>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</si>
  <si>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</si>
  <si>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</si>
  <si>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</si>
  <si>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All data provided in the class sheet feeds directly to the customer-facing Product Details Page (PDP), optimizes search and enables order fulfillment. Please ensure the</t>
  </si>
  <si>
    <t>data provided is accurate and as detailed as possible.</t>
  </si>
  <si>
    <t>Conditional Formatting</t>
  </si>
  <si>
    <t>Some answers to questions on the spec sheet are dependent on upstream responses, whether they are related to attributes like material type, existence of features</t>
  </si>
  <si>
    <t>or compliance. Real-time cell coloring per the legend indicates whether an input is required, has an error or has a conditional rule applied.</t>
  </si>
  <si>
    <t>Error Guidance</t>
  </si>
  <si>
    <t>Errors are highlighted on the Error Summary Tab which shows a summary of all errors across all sheets with high level details and hyperlinks to the corresponding</t>
  </si>
  <si>
    <t>cell where the error occurred. Additionally, a new Error Status Column at the beginning of each class sheet will show the status of each row and will display the first error</t>
  </si>
  <si>
    <t>error message in that row, and will update as errors are resolved from left to right.</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</si>
  <si>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</si>
  <si>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</si>
  <si>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</si>
  <si>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</si>
  <si>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</si>
  <si>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</si>
  <si>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</si>
  <si>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</si>
  <si>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A maximum of 3 videos can be displayed in the product media tray on the product detail page. Additional videos may be showcased through Waymore content.</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</si>
  <si>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</si>
  <si>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</si>
  <si>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</si>
  <si>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 xml:space="preserve">  •  Expandable columns can be used to add additional information directly within the main spec sheet as needed for supported sections by clicking the "+" sign</t>
  </si>
  <si>
    <t xml:space="preserve">      above the section.</t>
  </si>
  <si>
    <t>Instructions for Repeatable Questions</t>
  </si>
  <si>
    <t>Some questions can be answered multiple times based on your product set up. For example, you can add anywhere between 1 and 30 images per product.</t>
  </si>
  <si>
    <t>For these questions, look for the "plus" button above that section and click it to expand to more columns. You can do this multiple times until you reach the max.</t>
  </si>
  <si>
    <t>Depends on the type of product you are adding, some of these questions may not be shown or required.</t>
  </si>
  <si>
    <t>If you want to group together products into a single SKU page on site using more than 1 category, you can expand the columns until a maximum of 3 per product.</t>
  </si>
  <si>
    <t>Feature Bullets</t>
  </si>
  <si>
    <t>If you have more than 3 feature bullets for your product, you can expand the columns until a maximum of 8 per product.</t>
  </si>
  <si>
    <t>Either three feature bullets OR a marketing copy is required for each product, but both can be provided if you choose to do so.</t>
  </si>
  <si>
    <t>Carton Dimensions</t>
  </si>
  <si>
    <t>If a product ships in more than 3 cartons, you can expand the columns until the maximum of 40 per product. At least one set of carton dimensions is required.</t>
  </si>
  <si>
    <t>Chemicals and Toxicities (Proposition 65 Requirement)</t>
  </si>
  <si>
    <t>If your product contains more than 1 chemical that need to be reported for Proposition 65, you can expand the columns until the maximum of 5 per product.</t>
  </si>
  <si>
    <t>At least one chemical is required if you answered "Yes" to "Warning Required".</t>
  </si>
  <si>
    <t>Media</t>
  </si>
  <si>
    <t>If your product has more than 6 images, you can expand the columns until the maximum of 30 per product. The first image is required and will be the lead image.</t>
  </si>
  <si>
    <t>If your product has more than 1 video, you can expand the columns until the maximum of 2 per product. Videos are always optional.</t>
  </si>
  <si>
    <t>If your product has more than 1 document, you can expand the columns until the maximum of 10 per product. Documents are often required for compliance.</t>
  </si>
  <si>
    <t>Other Tabs</t>
  </si>
  <si>
    <t>Valid Values</t>
  </si>
  <si>
    <t>The Valid Values tab contains all acceptable responses for single-select and multi-select questions. Hyperlinks beneath each column header will direct you to</t>
  </si>
  <si>
    <t>the corresponding values list within this tab.</t>
  </si>
  <si>
    <t>Failed Products</t>
  </si>
  <si>
    <t>The Failed Products tab will only appear if products in your submission fail to upload. Failed products must be added to a new template and re-uploaded before resubmission.</t>
  </si>
  <si>
    <t>Legends</t>
  </si>
  <si>
    <t>Cell Fill Colors</t>
  </si>
  <si>
    <t>Light Red</t>
  </si>
  <si>
    <t>Gray</t>
  </si>
  <si>
    <t>Red</t>
  </si>
  <si>
    <t>Blue</t>
  </si>
  <si>
    <t>Yellow</t>
  </si>
  <si>
    <t>No fill</t>
  </si>
  <si>
    <t>Data Priority</t>
  </si>
  <si>
    <t>Required</t>
  </si>
  <si>
    <t>Recommended</t>
  </si>
  <si>
    <t>Additional</t>
  </si>
  <si>
    <t>Conditional</t>
  </si>
  <si>
    <t>Data Type</t>
  </si>
  <si>
    <t>Text</t>
  </si>
  <si>
    <t>Single-Select</t>
  </si>
  <si>
    <t>Multi-Select</t>
  </si>
  <si>
    <t>Number*</t>
  </si>
  <si>
    <t>Whole Number*</t>
  </si>
  <si>
    <t>Yes or No</t>
  </si>
  <si>
    <t>Missing required data</t>
  </si>
  <si>
    <t>Not required/will be autofilled*</t>
  </si>
  <si>
    <t>Error/incorrect answer</t>
  </si>
  <si>
    <t>Autofill suggested by Wayfair (review needed)</t>
  </si>
  <si>
    <t>Warning</t>
  </si>
  <si>
    <t>Validated/no action required</t>
  </si>
  <si>
    <t>* For products that have already been submitted, the entire row will be filled gray and cannot be edited further</t>
  </si>
  <si>
    <t>Data required for product to be live on site</t>
  </si>
  <si>
    <t>Not required but recommended to improve search and browse</t>
  </si>
  <si>
    <t>Optional but enhances listings for customers</t>
  </si>
  <si>
    <t>Data may be required based on prior responses</t>
  </si>
  <si>
    <t>Enter a text-based response</t>
  </si>
  <si>
    <t>Select one option from a list of provided options (listed in a dropdown on the cell)</t>
  </si>
  <si>
    <t>Enter one or more options from a list of provided options, separated using a semi-colon (;)</t>
  </si>
  <si>
    <t>Enter a decimal numeric response with up to 2 decimal points</t>
  </si>
  <si>
    <t>Enter an integer (whole number) numeric response</t>
  </si>
  <si>
    <t>Enter a Yes, No or Does Not Apply response (listed in a dropdown on the cell)</t>
  </si>
  <si>
    <t>* Does Not Apply is a valid response when applicable</t>
  </si>
  <si>
    <t>For Mandarin translations of product questions, please click here. All answer inputs should still be provided in English.
点击此处查看所有产品相关问题的中文翻译。</t>
  </si>
  <si>
    <t>This Error Summary tab lists all errors and warnings in the spec sheet. Each entry includes a link to the specific cell and detailed information about the issue.</t>
  </si>
  <si>
    <t>Status</t>
  </si>
  <si>
    <t>Location</t>
  </si>
  <si>
    <t>Sheet Name</t>
  </si>
  <si>
    <t>Supplier Part Number</t>
  </si>
  <si>
    <t>Field</t>
  </si>
  <si>
    <t>Provided Answer</t>
  </si>
  <si>
    <t>Error Message</t>
  </si>
  <si>
    <t>9000</t>
  </si>
  <si>
    <t>9001</t>
  </si>
  <si>
    <t>9005</t>
  </si>
  <si>
    <t>9006</t>
  </si>
  <si>
    <t>9007</t>
  </si>
  <si>
    <t>9008</t>
  </si>
  <si>
    <t>9009</t>
  </si>
  <si>
    <t>9010</t>
  </si>
  <si>
    <t>9011</t>
  </si>
  <si>
    <t>9012</t>
  </si>
  <si>
    <t>9017</t>
  </si>
  <si>
    <t>9070</t>
  </si>
  <si>
    <t>9018</t>
  </si>
  <si>
    <t>9019</t>
  </si>
  <si>
    <t>9020</t>
  </si>
  <si>
    <t>9021</t>
  </si>
  <si>
    <t>9004</t>
  </si>
  <si>
    <t>9026</t>
  </si>
  <si>
    <t>9027</t>
  </si>
  <si>
    <t>9028</t>
  </si>
  <si>
    <t>9029</t>
  </si>
  <si>
    <t>9030</t>
  </si>
  <si>
    <t>9031</t>
  </si>
  <si>
    <t>9032</t>
  </si>
  <si>
    <t>9033</t>
  </si>
  <si>
    <t>9034</t>
  </si>
  <si>
    <t>9035</t>
  </si>
  <si>
    <t>9036</t>
  </si>
  <si>
    <t>9037</t>
  </si>
  <si>
    <t>9038</t>
  </si>
  <si>
    <t>9039</t>
  </si>
  <si>
    <t>9040</t>
  </si>
  <si>
    <t>647</t>
  </si>
  <si>
    <t>9041</t>
  </si>
  <si>
    <t>9042</t>
  </si>
  <si>
    <t>9043</t>
  </si>
  <si>
    <t>9053</t>
  </si>
  <si>
    <t>9058</t>
  </si>
  <si>
    <t>9063</t>
  </si>
  <si>
    <t>9064</t>
  </si>
  <si>
    <t>9065</t>
  </si>
  <si>
    <t>9066</t>
  </si>
  <si>
    <t>6109</t>
  </si>
  <si>
    <t>1966</t>
  </si>
  <si>
    <t>1217</t>
  </si>
  <si>
    <t>2385</t>
  </si>
  <si>
    <t>3538</t>
  </si>
  <si>
    <t>2389</t>
  </si>
  <si>
    <t>1560</t>
  </si>
  <si>
    <t>137</t>
  </si>
  <si>
    <t>95</t>
  </si>
  <si>
    <t>807</t>
  </si>
  <si>
    <t>1379</t>
  </si>
  <si>
    <t>1437</t>
  </si>
  <si>
    <t>1567</t>
  </si>
  <si>
    <t>1316</t>
  </si>
  <si>
    <t>521</t>
  </si>
  <si>
    <t>6253</t>
  </si>
  <si>
    <t>1388</t>
  </si>
  <si>
    <t>8653</t>
  </si>
  <si>
    <t>1557</t>
  </si>
  <si>
    <t>769</t>
  </si>
  <si>
    <t>770</t>
  </si>
  <si>
    <t>264</t>
  </si>
  <si>
    <t>28</t>
  </si>
  <si>
    <t>135</t>
  </si>
  <si>
    <t>256</t>
  </si>
  <si>
    <t>31</t>
  </si>
  <si>
    <t>117</t>
  </si>
  <si>
    <t>8205</t>
  </si>
  <si>
    <t>8462</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</si>
  <si>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</si>
  <si>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</si>
  <si>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</si>
  <si>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</si>
  <si>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</si>
  <si>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</si>
  <si>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</si>
  <si>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</si>
  <si>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</si>
  <si>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</si>
  <si>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</si>
  <si>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</si>
  <si>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</si>
  <si>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</si>
  <si>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</si>
  <si>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</si>
  <si>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</si>
  <si>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</si>
  <si>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</si>
  <si>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</si>
  <si>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</si>
  <si>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</si>
  <si>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</si>
  <si>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</si>
  <si>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</si>
  <si>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</si>
  <si>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</si>
  <si>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29</t>
  </si>
  <si>
    <t>30</t>
  </si>
  <si>
    <t>32</t>
  </si>
  <si>
    <t>33</t>
  </si>
  <si>
    <t>34</t>
  </si>
  <si>
    <t>35</t>
  </si>
  <si>
    <t>36</t>
  </si>
  <si>
    <t>37</t>
  </si>
  <si>
    <t>38</t>
  </si>
  <si>
    <t>39</t>
  </si>
  <si>
    <t>40</t>
  </si>
  <si>
    <t>Basic Information</t>
  </si>
  <si>
    <t>Branding</t>
  </si>
  <si>
    <t>Pricing</t>
  </si>
  <si>
    <t>Marketing Information</t>
  </si>
  <si>
    <t>Fulfillment Information</t>
  </si>
  <si>
    <t>Carton Details</t>
  </si>
  <si>
    <t>Compliance</t>
  </si>
  <si>
    <t>Attributes</t>
  </si>
  <si>
    <t>Errors</t>
  </si>
  <si>
    <t>Manufacturer Part Number</t>
  </si>
  <si>
    <t>Universal Product Code</t>
  </si>
  <si>
    <t>Product Name</t>
  </si>
  <si>
    <t>Brand</t>
  </si>
  <si>
    <t>Collection Name</t>
  </si>
  <si>
    <t>Variant Type</t>
  </si>
  <si>
    <t>Group Reference ID</t>
  </si>
  <si>
    <t>Variant Grouping 1</t>
  </si>
  <si>
    <t>Variant Attribute Name On Site 1</t>
  </si>
  <si>
    <t>Variant Grouping 2</t>
  </si>
  <si>
    <t>Variant Attribute Name On Site 2</t>
  </si>
  <si>
    <t>Variant Grouping 3</t>
  </si>
  <si>
    <t>Variant Attribute Name On Site 3</t>
  </si>
  <si>
    <t>Base Cost</t>
  </si>
  <si>
    <t>Everyday B2B Discount Rate</t>
  </si>
  <si>
    <t>Minimum Advertised Price</t>
  </si>
  <si>
    <t>Manufacturer Suggested Retail Price</t>
  </si>
  <si>
    <t>Marketing Copy</t>
  </si>
  <si>
    <t>Feature Bullet 1</t>
  </si>
  <si>
    <t>Feature Bullet 2</t>
  </si>
  <si>
    <t>Feature Bullet 3</t>
  </si>
  <si>
    <t>Feature Bullet 4</t>
  </si>
  <si>
    <t>Feature Bullet 5</t>
  </si>
  <si>
    <t>Feature Bullet 6</t>
  </si>
  <si>
    <t>Feature Bullet 7</t>
  </si>
  <si>
    <t>Feature Bullet 8</t>
  </si>
  <si>
    <t>Amazon Seller SKU</t>
  </si>
  <si>
    <t>Minimum Order Quantity</t>
  </si>
  <si>
    <t>Force Quantity Multiplier</t>
  </si>
  <si>
    <t>Display Set Quantity</t>
  </si>
  <si>
    <t>Product Weight</t>
  </si>
  <si>
    <t>Ship Type</t>
  </si>
  <si>
    <t>Freight Class</t>
  </si>
  <si>
    <t>Lead Time</t>
  </si>
  <si>
    <t>Replacement Lead Time</t>
  </si>
  <si>
    <t>National Motor Freight Class</t>
  </si>
  <si>
    <t>Flat Pack</t>
  </si>
  <si>
    <t>Ship Palletized</t>
  </si>
  <si>
    <t>Carton Weight 1</t>
  </si>
  <si>
    <t>Carton Height 1</t>
  </si>
  <si>
    <t>Carton Width 1</t>
  </si>
  <si>
    <t>Carton Depth 1</t>
  </si>
  <si>
    <t>Carton Weight 2</t>
  </si>
  <si>
    <t>Carton Height 2</t>
  </si>
  <si>
    <t>Carton Width 2</t>
  </si>
  <si>
    <t>Carton Depth 2</t>
  </si>
  <si>
    <t>Carton Weight 3</t>
  </si>
  <si>
    <t>Carton Height 3</t>
  </si>
  <si>
    <t>Carton Width 3</t>
  </si>
  <si>
    <t>Carton Depth 3</t>
  </si>
  <si>
    <t>Carton Weight 4</t>
  </si>
  <si>
    <t>Carton Height 4</t>
  </si>
  <si>
    <t>Carton Width 4</t>
  </si>
  <si>
    <t>Carton Depth 4</t>
  </si>
  <si>
    <t>Carton Weight 5</t>
  </si>
  <si>
    <t>Carton Height 5</t>
  </si>
  <si>
    <t>Carton Width 5</t>
  </si>
  <si>
    <t>Carton Depth 5</t>
  </si>
  <si>
    <t>Carton Weight 6</t>
  </si>
  <si>
    <t>Carton Height 6</t>
  </si>
  <si>
    <t>Carton Width 6</t>
  </si>
  <si>
    <t>Carton Depth 6</t>
  </si>
  <si>
    <t>Carton Weight 7</t>
  </si>
  <si>
    <t>Carton Height 7</t>
  </si>
  <si>
    <t>Carton Width 7</t>
  </si>
  <si>
    <t>Carton Depth 7</t>
  </si>
  <si>
    <t>Carton Weight 8</t>
  </si>
  <si>
    <t>Carton Height 8</t>
  </si>
  <si>
    <t>Carton Width 8</t>
  </si>
  <si>
    <t>Carton Depth 8</t>
  </si>
  <si>
    <t>Carton Weight 9</t>
  </si>
  <si>
    <t>Carton Height 9</t>
  </si>
  <si>
    <t>Carton Width 9</t>
  </si>
  <si>
    <t>Carton Depth 9</t>
  </si>
  <si>
    <t>Carton Weight 10</t>
  </si>
  <si>
    <t>Carton Height 10</t>
  </si>
  <si>
    <t>Carton Width 10</t>
  </si>
  <si>
    <t>Carton Depth 10</t>
  </si>
  <si>
    <t>Carton Weight 11</t>
  </si>
  <si>
    <t>Carton Height 11</t>
  </si>
  <si>
    <t>Carton Width 11</t>
  </si>
  <si>
    <t>Carton Depth 11</t>
  </si>
  <si>
    <t>Carton Weight 12</t>
  </si>
  <si>
    <t>Carton Height 12</t>
  </si>
  <si>
    <t>Carton Width 12</t>
  </si>
  <si>
    <t>Carton Depth 12</t>
  </si>
  <si>
    <t>Carton Weight 13</t>
  </si>
  <si>
    <t>Carton Height 13</t>
  </si>
  <si>
    <t>Carton Width 13</t>
  </si>
  <si>
    <t>Carton Depth 13</t>
  </si>
  <si>
    <t>Carton Weight 14</t>
  </si>
  <si>
    <t>Carton Height 14</t>
  </si>
  <si>
    <t>Carton Width 14</t>
  </si>
  <si>
    <t>Carton Depth 14</t>
  </si>
  <si>
    <t>Carton Weight 15</t>
  </si>
  <si>
    <t>Carton Height 15</t>
  </si>
  <si>
    <t>Carton Width 15</t>
  </si>
  <si>
    <t>Carton Depth 15</t>
  </si>
  <si>
    <t>Carton Weight 16</t>
  </si>
  <si>
    <t>Carton Height 16</t>
  </si>
  <si>
    <t>Carton Width 16</t>
  </si>
  <si>
    <t>Carton Depth 16</t>
  </si>
  <si>
    <t>Carton Weight 17</t>
  </si>
  <si>
    <t>Carton Height 17</t>
  </si>
  <si>
    <t>Carton Width 17</t>
  </si>
  <si>
    <t>Carton Depth 17</t>
  </si>
  <si>
    <t>Carton Weight 18</t>
  </si>
  <si>
    <t>Carton Height 18</t>
  </si>
  <si>
    <t>Carton Width 18</t>
  </si>
  <si>
    <t>Carton Depth 18</t>
  </si>
  <si>
    <t>Carton Weight 19</t>
  </si>
  <si>
    <t>Carton Height 19</t>
  </si>
  <si>
    <t>Carton Width 19</t>
  </si>
  <si>
    <t>Carton Depth 19</t>
  </si>
  <si>
    <t>Carton Weight 20</t>
  </si>
  <si>
    <t>Carton Height 20</t>
  </si>
  <si>
    <t>Carton Width 20</t>
  </si>
  <si>
    <t>Carton Depth 20</t>
  </si>
  <si>
    <t>Carton Weight 21</t>
  </si>
  <si>
    <t>Carton Height 21</t>
  </si>
  <si>
    <t>Carton Width 21</t>
  </si>
  <si>
    <t>Carton Depth 21</t>
  </si>
  <si>
    <t>Carton Weight 22</t>
  </si>
  <si>
    <t>Carton Height 22</t>
  </si>
  <si>
    <t>Carton Width 22</t>
  </si>
  <si>
    <t>Carton Depth 22</t>
  </si>
  <si>
    <t>Carton Weight 23</t>
  </si>
  <si>
    <t>Carton Height 23</t>
  </si>
  <si>
    <t>Carton Width 23</t>
  </si>
  <si>
    <t>Carton Depth 23</t>
  </si>
  <si>
    <t>Carton Weight 24</t>
  </si>
  <si>
    <t>Carton Height 24</t>
  </si>
  <si>
    <t>Carton Width 24</t>
  </si>
  <si>
    <t>Carton Depth 24</t>
  </si>
  <si>
    <t>Carton Weight 25</t>
  </si>
  <si>
    <t>Carton Height 25</t>
  </si>
  <si>
    <t>Carton Width 25</t>
  </si>
  <si>
    <t>Carton Depth 25</t>
  </si>
  <si>
    <t>Carton Weight 26</t>
  </si>
  <si>
    <t>Carton Height 26</t>
  </si>
  <si>
    <t>Carton Width 26</t>
  </si>
  <si>
    <t>Carton Depth 26</t>
  </si>
  <si>
    <t>Carton Weight 27</t>
  </si>
  <si>
    <t>Carton Height 27</t>
  </si>
  <si>
    <t>Carton Width 27</t>
  </si>
  <si>
    <t>Carton Depth 27</t>
  </si>
  <si>
    <t>Carton Weight 28</t>
  </si>
  <si>
    <t>Carton Height 28</t>
  </si>
  <si>
    <t>Carton Width 28</t>
  </si>
  <si>
    <t>Carton Depth 28</t>
  </si>
  <si>
    <t>Carton Weight 29</t>
  </si>
  <si>
    <t>Carton Height 29</t>
  </si>
  <si>
    <t>Carton Width 29</t>
  </si>
  <si>
    <t>Carton Depth 29</t>
  </si>
  <si>
    <t>Carton Weight 30</t>
  </si>
  <si>
    <t>Carton Height 30</t>
  </si>
  <si>
    <t>Carton Width 30</t>
  </si>
  <si>
    <t>Carton Depth 30</t>
  </si>
  <si>
    <t>Carton Weight 31</t>
  </si>
  <si>
    <t>Carton Height 31</t>
  </si>
  <si>
    <t>Carton Width 31</t>
  </si>
  <si>
    <t>Carton Depth 31</t>
  </si>
  <si>
    <t>Carton Weight 32</t>
  </si>
  <si>
    <t>Carton Height 32</t>
  </si>
  <si>
    <t>Carton Width 32</t>
  </si>
  <si>
    <t>Carton Depth 32</t>
  </si>
  <si>
    <t>Carton Weight 33</t>
  </si>
  <si>
    <t>Carton Height 33</t>
  </si>
  <si>
    <t>Carton Width 33</t>
  </si>
  <si>
    <t>Carton Depth 33</t>
  </si>
  <si>
    <t>Carton Weight 34</t>
  </si>
  <si>
    <t>Carton Height 34</t>
  </si>
  <si>
    <t>Carton Width 34</t>
  </si>
  <si>
    <t>Carton Depth 34</t>
  </si>
  <si>
    <t>Carton Weight 35</t>
  </si>
  <si>
    <t>Carton Height 35</t>
  </si>
  <si>
    <t>Carton Width 35</t>
  </si>
  <si>
    <t>Carton Depth 35</t>
  </si>
  <si>
    <t>Carton Weight 36</t>
  </si>
  <si>
    <t>Carton Height 36</t>
  </si>
  <si>
    <t>Carton Width 36</t>
  </si>
  <si>
    <t>Carton Depth 36</t>
  </si>
  <si>
    <t>Carton Weight 37</t>
  </si>
  <si>
    <t>Carton Height 37</t>
  </si>
  <si>
    <t>Carton Width 37</t>
  </si>
  <si>
    <t>Carton Depth 37</t>
  </si>
  <si>
    <t>Carton Weight 38</t>
  </si>
  <si>
    <t>Carton Height 38</t>
  </si>
  <si>
    <t>Carton Width 38</t>
  </si>
  <si>
    <t>Carton Depth 38</t>
  </si>
  <si>
    <t>Carton Weight 39</t>
  </si>
  <si>
    <t>Carton Height 39</t>
  </si>
  <si>
    <t>Carton Width 39</t>
  </si>
  <si>
    <t>Carton Depth 39</t>
  </si>
  <si>
    <t>Carton Weight 40</t>
  </si>
  <si>
    <t>Carton Height 40</t>
  </si>
  <si>
    <t>Carton Width 40</t>
  </si>
  <si>
    <t>Carton Depth 40</t>
  </si>
  <si>
    <t>Country of Origin</t>
  </si>
  <si>
    <t>Warning Required</t>
  </si>
  <si>
    <t>Chemical 1</t>
  </si>
  <si>
    <t>Toxicity 1</t>
  </si>
  <si>
    <t>Chemical 2</t>
  </si>
  <si>
    <t>Toxicity 2</t>
  </si>
  <si>
    <t>Chemical 3</t>
  </si>
  <si>
    <t>Toxicity 3</t>
  </si>
  <si>
    <t>Chemical 4</t>
  </si>
  <si>
    <t>Toxicity 4</t>
  </si>
  <si>
    <t>Chemical 5</t>
  </si>
  <si>
    <t>Toxicity 5</t>
  </si>
  <si>
    <t>Image File Name or URL 1</t>
  </si>
  <si>
    <t>Image File Name or URL 2</t>
  </si>
  <si>
    <t>Image File Name or URL 3</t>
  </si>
  <si>
    <t>Image File Name or URL 4</t>
  </si>
  <si>
    <t>Image File Name or URL 5</t>
  </si>
  <si>
    <t>Image File Name or URL 6</t>
  </si>
  <si>
    <t>Image File Name or URL 7</t>
  </si>
  <si>
    <t>Image File Name or URL 8</t>
  </si>
  <si>
    <t>Image File Name or URL 9</t>
  </si>
  <si>
    <t>Image File Name or URL 10</t>
  </si>
  <si>
    <t>Image File Name or URL 11</t>
  </si>
  <si>
    <t>Image File Name or URL 12</t>
  </si>
  <si>
    <t>Image File Name or URL 13</t>
  </si>
  <si>
    <t>Image File Name or URL 14</t>
  </si>
  <si>
    <t>Image File Name or URL 15</t>
  </si>
  <si>
    <t>Image File Name or URL 16</t>
  </si>
  <si>
    <t>Image File Name or URL 17</t>
  </si>
  <si>
    <t>Image File Name or URL 18</t>
  </si>
  <si>
    <t>Image File Name or URL 19</t>
  </si>
  <si>
    <t>Image File Name or URL 20</t>
  </si>
  <si>
    <t>Image File Name or URL 21</t>
  </si>
  <si>
    <t>Image File Name or URL 22</t>
  </si>
  <si>
    <t>Image File Name or URL 23</t>
  </si>
  <si>
    <t>Image File Name or URL 24</t>
  </si>
  <si>
    <t>Image File Name or URL 25</t>
  </si>
  <si>
    <t>Image File Name or URL 26</t>
  </si>
  <si>
    <t>Image File Name or URL 27</t>
  </si>
  <si>
    <t>Image File Name or URL 28</t>
  </si>
  <si>
    <t>Image File Name or URL 29</t>
  </si>
  <si>
    <t>Image File Name or URL 30</t>
  </si>
  <si>
    <t>Video File Name or URL 1</t>
  </si>
  <si>
    <t>Video File Name or URL 2</t>
  </si>
  <si>
    <t>Document File Name or URL 1</t>
  </si>
  <si>
    <t>Document Type 1</t>
  </si>
  <si>
    <t>Legal Document Type 1</t>
  </si>
  <si>
    <t>Document Region 1</t>
  </si>
  <si>
    <t>Document File Name or URL 2</t>
  </si>
  <si>
    <t>Document Type 2</t>
  </si>
  <si>
    <t>Legal Document Type 2</t>
  </si>
  <si>
    <t>Document Region 2</t>
  </si>
  <si>
    <t>Document File Name or URL 3</t>
  </si>
  <si>
    <t>Document Type 3</t>
  </si>
  <si>
    <t>Legal Document Type 3</t>
  </si>
  <si>
    <t>Document Region 3</t>
  </si>
  <si>
    <t>Document File Name or URL 4</t>
  </si>
  <si>
    <t>Document Type 4</t>
  </si>
  <si>
    <t>Legal Document Type 4</t>
  </si>
  <si>
    <t>Document Region 4</t>
  </si>
  <si>
    <t>Document File Name or URL 5</t>
  </si>
  <si>
    <t>Document Type 5</t>
  </si>
  <si>
    <t>Legal Document Type 5</t>
  </si>
  <si>
    <t>Document Region 5</t>
  </si>
  <si>
    <t>Document File Name or URL 6</t>
  </si>
  <si>
    <t>Document Type 6</t>
  </si>
  <si>
    <t>Legal Document Type 6</t>
  </si>
  <si>
    <t>Document Region 6</t>
  </si>
  <si>
    <t>Document File Name or URL 7</t>
  </si>
  <si>
    <t>Document Type 7</t>
  </si>
  <si>
    <t>Legal Document Type 7</t>
  </si>
  <si>
    <t>Document Region 7</t>
  </si>
  <si>
    <t>Document File Name or URL 8</t>
  </si>
  <si>
    <t>Document Type 8</t>
  </si>
  <si>
    <t>Legal Document Type 8</t>
  </si>
  <si>
    <t>Document Region 8</t>
  </si>
  <si>
    <t>Document File Name or URL 9</t>
  </si>
  <si>
    <t>Document Type 9</t>
  </si>
  <si>
    <t>Legal Document Type 9</t>
  </si>
  <si>
    <t>Document Region 9</t>
  </si>
  <si>
    <t>Document File Name or URL 10</t>
  </si>
  <si>
    <t>Document Type 10</t>
  </si>
  <si>
    <t>Legal Document Type 10</t>
  </si>
  <si>
    <t>Document Region 10</t>
  </si>
  <si>
    <t>Product Type</t>
  </si>
  <si>
    <t>Subject</t>
  </si>
  <si>
    <t>Surface Type</t>
  </si>
  <si>
    <t>Material</t>
  </si>
  <si>
    <t>Compatible Surfaces</t>
  </si>
  <si>
    <t>Personalization or Monogramming</t>
  </si>
  <si>
    <t>Room Use</t>
  </si>
  <si>
    <t>Holiday / Occasion</t>
  </si>
  <si>
    <t>Country of Origin - Additional Details</t>
  </si>
  <si>
    <t>BPA Free</t>
  </si>
  <si>
    <t>Licensed Product Category</t>
  </si>
  <si>
    <t>Durability</t>
  </si>
  <si>
    <t>Adjustability Features</t>
  </si>
  <si>
    <t>Color</t>
  </si>
  <si>
    <t>Total Number of Pieces Included</t>
  </si>
  <si>
    <t>Pieces Included</t>
  </si>
  <si>
    <t>Movie / Show Series Name</t>
  </si>
  <si>
    <t>General Features</t>
  </si>
  <si>
    <t>Age Group</t>
  </si>
  <si>
    <t>Overall Height - Top to Bottom</t>
  </si>
  <si>
    <t>Overall Width - Side to Side</t>
  </si>
  <si>
    <t>Overall Product Weight</t>
  </si>
  <si>
    <t>Commercial Warranty</t>
  </si>
  <si>
    <t>Commercial Warranty Length</t>
  </si>
  <si>
    <t>Wayfair Compliance Vetting Program (including Baby Safety Alliance fka JPMA) for this product category</t>
  </si>
  <si>
    <t>Uniform Packaging and Labeling Regulations (UPLR) Compliant</t>
  </si>
  <si>
    <t>Canada Product Restriction</t>
  </si>
  <si>
    <t>ISTA Certified</t>
  </si>
  <si>
    <t>Sustainability &amp; Social Responsibility Certifications (North America Only)</t>
  </si>
  <si>
    <t>Displays the error status and message for the first error in the row, with a link to the corresponding cell.</t>
  </si>
  <si>
    <t>Your part number (up to 64 characters) that must be unique. This value appears on your Inventory Feed and Purchased Orders.</t>
  </si>
  <si>
    <t>This is the part number provided by the manufacturer. Up to 64 characters. Must be unique.</t>
  </si>
  <si>
    <t>UPC (must be a unique value that follows the standard format).</t>
  </si>
  <si>
    <t>254 character limit; do not use abbreviations. Wayfair may update the name based on marketing standards.</t>
  </si>
  <si>
    <t>Enter the product's brand. New brands must be created in the brand management tool before you can select them.</t>
  </si>
  <si>
    <t>If your product is part of a collection of associated products, enter the collection name here. For example, a bed and a nightstand can belong to the same collection, but a bed that comes in two different colors cannot. (Use Variant Grouping instead.) Products in a collection will have separate listings on the site.</t>
  </si>
  <si>
    <t>Indicate whether this part number is a standalone product, primary variant (all required fields must be provided), or non-primary variant (data can be autofilled from primary variant).</t>
  </si>
  <si>
    <t>Provide an identifier to group your variants. This information will be used to create a listing.</t>
  </si>
  <si>
    <t>Common attribute to group products by. Select from dropdown or enter a custom value.</t>
  </si>
  <si>
    <t>Display name for variant attribute, if differs from corresponding Attribute answer.</t>
  </si>
  <si>
    <t>Your supplier profile preference for currency is used to determine the currency of the base (wholesale) cost provided.</t>
  </si>
  <si>
    <t>Business-to-business discount rate for everyday pricing (decimal). Region/currency context may apply similarly to other pricing fields on this sheet.</t>
  </si>
  <si>
    <t>The region selected for this sheet is used to determine the currency of the MAP provided. This may differ from the currency of your base cost.</t>
  </si>
  <si>
    <t>The region selected for this sheet is used to determine the currency of the MSRP provided. This may differ from the currency of your base cost.</t>
  </si>
  <si>
    <t>A product description up to 250 words is recommended. Please do not use special symbols (trademark, copyright, etc.) or extra lines/spacing. This should be a short, single paragraph product description in complete sentences highlighting details about key product information.</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</si>
  <si>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</si>
  <si>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The Amazon Standard Identification Number (ASIN) is a 10-character alphanumeric unique identifier assigned by Amazon to a product.</t>
  </si>
  <si>
    <t>The minimum count of items a customer must choose to purchase the product.</t>
  </si>
  <si>
    <t>This represents how many items the customer must buy in increments of, or in addition to. For example, if the minimum quantity is 1 and the forced multiplier is 2, then the customer can only buy in quantities of 1, 3, 5, 7, 9, etc.</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</si>
  <si>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</si>
  <si>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[Pounds] What is the total weight of this product once assembled? Please enter just the number (i.e. 45.5) without a unit of measurement.</t>
  </si>
  <si>
    <t>Enter small parcel or LTL to indicate how the product can ship based on size and weight.</t>
  </si>
  <si>
    <t>Each product falls into 1 of 18 classes determined by a product's 'transportability' and are crucial for calculating shipping cost. The field is required when ship type is LTL.</t>
  </si>
  <si>
    <t>[Hours] This is the length of time from receipt of PO to shipment from the warehouse.</t>
  </si>
  <si>
    <t>[Hours] This is length of time from receipt of a replacement PO to shipment from the warehouse</t>
  </si>
  <si>
    <t>5 to 7 digit number in length (depending on any sub classification) that will identify what is shipping in the box</t>
  </si>
  <si>
    <t>Also known as 'knocked down'. Select 'Yes' if this product ships disassembled in a flat pack box.</t>
  </si>
  <si>
    <t>Select 'Yes' if this product ships on a pallet.</t>
  </si>
  <si>
    <t>[Pounds] Enter in the shipping weight (i.e. 45.5) of the packaging used for the product. If the product ships in more than one box, this measurement is per box.</t>
  </si>
  <si>
    <t>[Inches] Enter in the shipping height (i.e. 45.5) of the packaging used for the product. If the product ships in more than one box, this measurement is per box.</t>
  </si>
  <si>
    <t>[Inches] Enter in the shipping width (i.e. 45.5) of the packaging used for the product. If the product ships in more than one box, this measurement is per box.</t>
  </si>
  <si>
    <t>[Inches] Enter in the shipping depth (i.e. 45.5) of the packaging used for the product. If the product ships in more than one box, this measurement is per box.</t>
  </si>
  <si>
    <t>What is the country where this finished product was produced?  For goods produced in more than one country where did it undergo the last substantial processing resulting in the finished item?  If this is an imported good this is the Country of Origin that was declared to US Customs Service. If this product does not fit any of the listed options, please enter the correct country.</t>
  </si>
  <si>
    <t>If the product requires a warning for Proposition 65 compliance in California, answer 'Yes' and indicate which chemicals and toxicities are applicable.</t>
  </si>
  <si>
    <t>Select the chemical that requires the Prop65 warning.</t>
  </si>
  <si>
    <t>Select the toxicity that can result from the selected chemical.</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</si>
  <si>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</si>
  <si>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Provide the video’s file name with extension for separate uploads or a direct public URL. Do not exceed 10 videos per product.</t>
  </si>
  <si>
    <t>Provide the document’s file name with extension for separate uploads or a direct public URL. Do not exceed 10 documents per product.</t>
  </si>
  <si>
    <t>Select one or more values from the provided list that best describe the document’s purpose. This classification helps customers easily find information like “Installation &amp; Assembly” guides, “Warranty Information,” or “Specifications.</t>
  </si>
  <si>
    <t>If the document serves as a legal notice or certification (e.g., “ASTM F2057 - 19,” “ANSI A117.1 Compliant”), select the specific type(s) from the provided list. This is used for compliance and to display certifications to customers.</t>
  </si>
  <si>
    <t>Select the country or region where this document is legally applicable. This is crucial for compliance-related documents that may differ across locations.</t>
  </si>
  <si>
    <t>What type of product is this?</t>
  </si>
  <si>
    <t>What is the subject of this product? Please select the most applicable option. If this product does not fit any of the listed options, please enter the correct value. If the product fits into multiple subjects, please tag each subject that applies. Do not tag sub - subjects: e.g. themes that are being shown within the main subject, which could be an image of a city with a billboard. Everything on that billboard should not be tagged for subject.</t>
  </si>
  <si>
    <t>What type of surface does this product have? Please enter the most applicable option. If this product does not fit any of the listed options, please enter the correct information. Multiple options can be selected.</t>
  </si>
  <si>
    <t>What material is the product made of?</t>
  </si>
  <si>
    <t>What type(s) of surfaces is this product compatible with?</t>
  </si>
  <si>
    <t>Is the product monogrammed, or does the product feature a customer inputted text?</t>
  </si>
  <si>
    <t>Is this product designed for a specific room? Enter more than one option if applicable.</t>
  </si>
  <si>
    <t>What is the particular Holiday / Occasion theme or design  of the product? Please select one Holiday / Occasion based on option definitions. If no Holiday or Occasion is  applicable to the product, please select "No Holiday"</t>
  </si>
  <si>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</si>
  <si>
    <t>Does this product contain 0% BPA (Bisphenol A), a plastic compound with toxic properties?</t>
  </si>
  <si>
    <t>If this is a licensed product, which licensing category does this product fall under? If this product is not an officially-licensed product associated with an active licensing agreement, please mark this as Does Not Apply.</t>
  </si>
  <si>
    <t>Which of the following durability features are applicable to this product? Please select all applicable options from the list. If none apply, please select "No Durability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</si>
  <si>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</si>
  <si>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What is the color of the product? If your color name is not listed, please type in the value.</t>
  </si>
  <si>
    <t>What is the total number of pieces included with this product? Count the number of pieces including removable/separate parts that come with the product. (Ex: A sku of storage bins with lids that is a set size of 3 has 6 total # of pieces included- 3 bins &amp; 3 lids). If sku only has bins and no other pieces where set size is 4 then the total # of pieces included is 4.</t>
  </si>
  <si>
    <t>What pieces are included with this product?</t>
  </si>
  <si>
    <t>What movie / show does this product display? Please only fill out this information if an image of the movie / show is shown on the product. If the move or show is not listed, please enter it manually.</t>
  </si>
  <si>
    <t>Select all features that describe the product’s intrinsic performance, certifications, or functional classification rather than its physical parts. This includes invisible treatments and overarching capabilities (Pet Friendly, Disposable, Breathable, etc.) where the benefit is inherent to the product as a whole.</t>
  </si>
  <si>
    <t>For what age group(s) is the product intended or can be safely used by? Please select all that apply.</t>
  </si>
  <si>
    <t>[Inches] What is the overall height of the product from top to bottom? Please enter just the number (e.g. 45.5).</t>
  </si>
  <si>
    <t>[Inches] What is overall width of the product from side to side? Please enter just the number (e.g. 45.5).</t>
  </si>
  <si>
    <t>[Pounds] What is the total weight of this product once assembled? If this product includes multiples of the same item, add weight of one individual unit (e.g. 1 Dining Chair in a set of 2). Please enter just the number (i.e. 45.5).</t>
  </si>
  <si>
    <t>Does the manufacturer warranty cover the use of this product in a commercial environment?</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</si>
  <si>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</si>
  <si>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Please only select "Yes" if you are a part of Wayfair's Compliance Vetting Program  and / or your product has been tested and certified to Baby Safety Alliance (BSA) protocols (fka JPMA) for the relevant product category. Wayfair will verify this information. Incorrectly selecting that you are a part of either program may result in your products becoming unfindable until all compliance data is updated and provided.</t>
  </si>
  <si>
    <t>Does your product comply with the Uniform Packaging and Labeling Regulations, which requires product packaging to be accurate and provide adequate information as to the identity and quantity of its contents, as well as the name and address of the manufacturer and/or distributor?</t>
  </si>
  <si>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</si>
  <si>
    <t>Is the packaging for this SKU ISTA Certified (1A, 3A, 6A)?</t>
  </si>
  <si>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</si>
  <si>
    <t>Read-Only</t>
  </si>
  <si>
    <t>Select</t>
  </si>
  <si>
    <t>Number</t>
  </si>
  <si>
    <t>Whole Number</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</si>
  <si>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</si>
  <si>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</si>
  <si>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Please choose one or more from the following, using a semicolon (;) to separate each value: Animals; Astrology &amp; Stars; Scenic &amp; Cityscapes; Food &amp; Beverage; Insects; Patriotic; Entertainment; Plants &amp; Flowers; Religious &amp; Spiritual; Nautical &amp; Beach; Abstract; Sports; People; Geography; Fantasy &amp; Sci-Fi; Landscape &amp; Nature; Text &amp; Numbers; Furniture; Novelty &amp; Humor; STEM; Fashion; Buildings &amp; Architecture; Transportation; Bath &amp; Laundry; History &amp; Language; Cities &amp; Countries; Disney/Pixar; No Subject; Education; Birds; U.S. States &amp; Territories; Unavailable</t>
  </si>
  <si>
    <t>Please choose one or more from the following, using a semicolon (;) to separate each value: Fabric; Vinyl; Canvas; Paper; Plastic; PVC; Polycarbonate (PC); Polyethylene Plastic; Glass; Stainless Steel; Polypropylene; Aluminum; Acrylic; Foam; Cardboard / Paper; Gel; Cardboard; Leather; Ceramic; Copper; Faux Leather; Iron; Leather / Faux Leather; Medium Density Fiberboard (MDF); Nylon; Plastic / Acrylic; Polyester; Polymer; Polyvinyl Chloride (PVC); Polyurethane; Porcelain; Polyurethane (PU); Rubber; Recycled P.E.T; Sponge; Synthetic; Steel; Solid Wood; MDF; Particle Board / Chipboard; Plywood / Laminate Board; Paper / Printed Veneer; Real Wood Veneer</t>
  </si>
  <si>
    <t>Please choose one or more from the following, using a semicolon (;) to separate each value: Multi-Surface; Flat Surface; Textured Wall; Brick Wall; Cement Wall; Solid Wood; Glass Wall; Stainless Steel; Existing Tile; Chalkboard; Appliance; Mirror; Wallpaper; Painted Gypsum; Acrylic Panel; Orange Peel Wall; Gypsum Wall; Laminate; Plywood Wall; Drywall; Stucco Wall; Ceramic Tile Wall; Concrete; Stone Wall; Medium Density Fiberboard; Unavailable</t>
  </si>
  <si>
    <t>Please choose one or more from the following, using a semicolon (;) to separate each value: Bathroom; Kitchen; Bedroom; Living Room; Laundry Room; Nursery; Dining Room; Pantry; Home Office; Game Room; Foyer; Playroom; Patio; Closet; Restaurant Dining Room; Basement; Garage/Shop; Commercial Office; Backyard; Mudroom/Deck; School Classroom; Hotel Room; Lobby/Reception; Hallway; Studio; Art School; Commercial Kitchen; Does Not Apply; Unavailable</t>
  </si>
  <si>
    <t>Please choose one or more from the following, using a semicolon (;) to separate each value: Made in USA; Made in USA of Imported Materials; Product of Canada; Made In Canada; Does Not Apply</t>
  </si>
  <si>
    <t>Please choose one or more from the following, using a semicolon (;) to separate each value: Mold / Mildew Resistant; Water Resistant; No Durability Features; Fade Resistant; Heat Resistant; Stain Resistant; Tip Resistant; Waterproof; Shatter Resistant; Weather Resistant; Rust Resistant; Anodic Protection; Predator Resistant; Drill Resistant; Condensation Free; Antimicrobial; Pry Resistant; Fray Resistant; Non-Staining</t>
  </si>
  <si>
    <t>Please choose one or more from the following, using a semicolon (;) to separate each value: Removable; Retractable; Reversible; Configurable / Modular; Trimmable; Rotating; Lift Assist; Double Sided; Glider; Adjustable; Stackable; No Adjustability Features; Does Not Apply; Unavailable</t>
  </si>
  <si>
    <t>Please choose one or more from the following, using a semicolon (;) to separate each value: Blue; Black; Brown; White; Green; Gray; Red; Beige; Yellow; Pink; Orange; Purple; Silver; Gold; Clear; Cream; Ivory; Tan; Teal; Navy</t>
  </si>
  <si>
    <t>Please choose one or more from the following, using a semicolon (;) to separate each value: Handle(s); Paste; Does Not Apply; Unavailable</t>
  </si>
  <si>
    <t>Please choose one or more from the following, using a semicolon (;) to separate each value: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t>
  </si>
  <si>
    <t>Please choose one or more from the following, using a semicolon (;) to separate each value: Breathable; Dual Sided; Animated; Double Sided; Non-Wall Damaging; Reusable; Vintage; Window Clinging; No General Features</t>
  </si>
  <si>
    <t>Please choose one or more from the following, using a semicolon (;) to separate each value: Newborn (Birth - 6 months old); Infant (6 - 12 Months); Toddler (1 - 3 Years); Pre-school (3 - 5 Years); Youth (5 - 8 Years); Pre-teen (9 - 12 Years); Teen (13+); Adult (18+); All Ages; Adult; Baby; Kid; Teen; Toddler</t>
  </si>
  <si>
    <t>Default Row:</t>
  </si>
  <si>
    <t>N/A</t>
  </si>
  <si>
    <t>6012</t>
  </si>
  <si>
    <t>5471</t>
  </si>
  <si>
    <t>4123</t>
  </si>
  <si>
    <t>1386</t>
  </si>
  <si>
    <t>82</t>
  </si>
  <si>
    <t>2971</t>
  </si>
  <si>
    <t>1149</t>
  </si>
  <si>
    <t>4591</t>
  </si>
  <si>
    <t>3921</t>
  </si>
  <si>
    <t>2358</t>
  </si>
  <si>
    <t>1436</t>
  </si>
  <si>
    <t>4364</t>
  </si>
  <si>
    <t>4311</t>
  </si>
  <si>
    <t>Application Type</t>
  </si>
  <si>
    <t>Removal Type</t>
  </si>
  <si>
    <t>Finish</t>
  </si>
  <si>
    <t>Sports Team Name</t>
  </si>
  <si>
    <t>Pattern</t>
  </si>
  <si>
    <t>Pattern Interval</t>
  </si>
  <si>
    <t>Pattern Repeat Frequency</t>
  </si>
  <si>
    <t>Match Type</t>
  </si>
  <si>
    <t>Wallpaper Texture</t>
  </si>
  <si>
    <t>Designer</t>
  </si>
  <si>
    <t>Supplier Intended and Approved Use</t>
  </si>
  <si>
    <t>Product Care</t>
  </si>
  <si>
    <t>Overall Product Length - End to End</t>
  </si>
  <si>
    <t>Square Footage per Unit</t>
  </si>
  <si>
    <t>How is this product applied? This will be explicitly stated in the description. If this product does not fit any of the listed options, please enter the correct value.</t>
  </si>
  <si>
    <t>How should the user remove the product?</t>
  </si>
  <si>
    <t>What is the finish of the product?</t>
  </si>
  <si>
    <t>Which sports team does this product display? Please only fill out this information if the product has a logo from one of these sports teams on the product itself.</t>
  </si>
  <si>
    <t>What is the pattern of the product? If there is more than one pattern, please select all that apply.</t>
  </si>
  <si>
    <t>[Inches] How much space is in-between each pattern? Please enter just the number (e.g. 1.5).</t>
  </si>
  <si>
    <t>Please enter the number of unique patterns in the design of the product.</t>
  </si>
  <si>
    <t>What is the pattern match type of this product? This will be explicitly stated in the description. If this product does not fit any of the listed options, please enter the correct information/value. Select all that apply.</t>
  </si>
  <si>
    <t>What type of texture does this product have applied to it?</t>
  </si>
  <si>
    <t>Who is the Designer of this product? The Designer is typically one individual and is not the name of the brand. If the designer does not exist, please select does not apply</t>
  </si>
  <si>
    <t>What type of environmental setting was this product designed and manufactured to be used in? Note: your answer indicates that Wayfair is able to market this product as being intended for use in the selected setting(s). Please select both, if both options apply.</t>
  </si>
  <si>
    <t>What is the appropriate way to clean and/or care for this product? Please select as many answers as applicable.</t>
  </si>
  <si>
    <t>[Feet] What is the overall length (longest side) of the product from end to end? Please enter just the number (e.g. 45.5).</t>
  </si>
  <si>
    <t>[Square Feet] What is the total square footage of this wallpaper SKU? This is the total square footage included in ONE UNIT of the SKU. For Rolls, this should be the total square footage in the roll, for Double Rolls, the total square footage included in the double roll. For wall murals, the value should reflect the total area of the mural. Please enter just the number (i.e. 45.5).</t>
  </si>
  <si>
    <t>Please choose one or more from the following, using a semicolon (;) to separate each value: Peelable; Strippable; Solution Required; Does Not Apply; Unavailable</t>
  </si>
  <si>
    <t>Please choose one or more from the following, using a semicolon (;) to separate each value: Aluminum; Fabric; Paper; Plastic; PVC; Steel; Solid Wood; Vinyl; Fleece; Grass Cloth; MDF; Non-Woven; Particle Board / Chipboard; Plywood / Laminate Board; Paper / Printed Veneer; Real Wood Veneer</t>
  </si>
  <si>
    <t>Please choose one or more from the following, using a semicolon (;) to separate each value: Satin; Gloss; Distressed; Glitter / Shimmer; Low-Gloss; Matte; Metallic; Primed; Semi Gloss; Does Not Apply</t>
  </si>
  <si>
    <t>Please choose one or more from the following, using a semicolon (;) to separate each value: Black; Brown; White; Green; Gray; Red; Beige; Yellow; Pink; Orange; Purple; Silver; Gold; Clear; Cream; Ivory; Tan; Teal; Navy; Blue</t>
  </si>
  <si>
    <t>Please choose one or more from the following, using a semicolon (;) to separate each value: Breathable; Paintable / Stainable; No General Features</t>
  </si>
  <si>
    <t xml:space="preserve">Please choose one or more from the following, using a semicolon (;) to separate each value: MLB Atlanta Braves; MLB Chicago Cubs; MLB Arizona Diamondbacks; MLB Baltimore Orioles; MLB Kansas City Royals; MLB Boston Red Sox; MLB Milwaukee Brewers; MLB Detroit Tigers; MLB Cincinnati Reds; MLB Los Angeles Dodgers; MLB Colorado Rockies; MLB Chicago White Sox; MLB Houston Astros; MLB Miami Marlins; MLB Minnesota Twins; MLB Philadelphia Phillies; NBA New York Knicks; NHL Edmonton Oilers; MLB Los Angeles Angels; MLB New York Mets; MLB New York Yankees; MLB Pittsburgh Pirates; MLB San Diego Padres; MLB San Francisco Giants; NHL Los Angeles Kings; NHL Pittsburgh Penguins; MLB Seattle Mariners; MLB Cleveland Guardians; MLB Tampa Bay Rays; MLB Toronto Blue Jays; MLB Washington Nationals; NBA Boston Celtics; NBA Charlotte Hornets; NBA Denver Nuggets; NBA Golden State Warriors; NFL Houston Texans; NFL Baltimore Ravens; NBA Detroit Pistons; NBA Cleveland Cavaliers; NBA Houston Rockets; NBA Atlanta Hawks; NHL Washington Capitals; NBA Los Angeles Clippers; NBA Minnesota Timberwolves; NBA Brooklyn Nets; NBA Sacramento Kings; NBA Washington Wizards; NBA San Antonio Spurs; NHL Calgary Flames; NHL Carolina Hurricanes; NBA Indiana Pacers; NBA New Orleans Pelicans; NFL New York Giants; NBA Memphis Grizzlies; MLB Oakland Athletics; NHL Detroit Red Wings; NHL Colorado Avalanche; NHL New York Islanders; NBA Chicago Bulls; NBA Utah Jazz; NBA Philadelphia 76ers; NBA Milwaukee Bucks; NBA Miami Heat; NBA Oklahoma City Thunder; NBA Orlando Magic; NHL Montreal Canadiens; NHL Vancouver Canucks; NHL San Jose Sharks; NHL Arizona Coyotes; NHL Winnipeg Jets; NHL Buffalo Sabres; NHL Boston Bruins; NHL Vegas Golden Knights; NFL Buffalo Bills; NBA Toronto Raptors; NFL Arizona Cardinals; MLB Texas Rangers; NFL Cincinnati Bengals; NFL Carolina Panthers; NFL Detroit Lions; NFL Atlanta Falcons; NFL Green Bay Packers; NFL Denver Broncos; NFL Miami Dolphins; NFL Jacksonville Jaguars; NHL Dallas Stars; NFL Kansas City Chiefs; NHL Florida Panthers; NHL Minnesota Wild; NBA Phoenix Suns; NFL </t>
  </si>
  <si>
    <t>Please choose one or more from the following, using a semicolon (;) to separate each value: Abstract; Animal Print; Chevron; Damask; Floral; Geometric; Paisley; Plaid; Polka Dots; Striped; Toile; Brick; Solid Color; Stone; Wood &amp; Shiplap; Marble; Gingham; Camouflage; Ikat; Houndstooth; Patchwork; Ombre; Checkered; Argyle; No Pattern; Trellis; Dots; Starburst; Geometric Shapes; Irish Chain; Chevron / Zig Zag; Clear; Drunkard's Path; Moroccan; Oriental; Block Print; Arc; Vintage Look; Does Not Apply</t>
  </si>
  <si>
    <t>Please choose one or more from the following, using a semicolon (;) to separate each value: Drop; Random; Straight; Does Not Apply; Unavailable</t>
  </si>
  <si>
    <t>Please choose one or more from the following, using a semicolon (;) to separate each value: Achille Castiglioni; Alfredo Llorens; Becky Bailey; Badeloft; Alain Van Havre; Bannoura; Ann Gish; Ambesonne; Alberto Tabellini &amp; David Reiss; Andres Martinez; Allison Paladino; AERIN; Alexa Hampton; Antonio Citterio; BergHOFF; Ardmore; Arnold Krog; Bruno Marashlian; Carol Benson-Cobb; Campania International; Debra Ann of Atomic Mobiles; ARTCANVAS; Karen Didion; Maceteros; Rosiland Solomon; Ysnay; Ashley Norton; University frames; Ashley Helms; B2U; Artwall; Aviva Stanoff; ArtVerse; Artorang; ACROMA; Barrow Industries; Barclay Butera; Aqua Gallery; Barrow Fabric; Barbara Barry; Aston; Barry Goralnick; Barbara and James Restin; Arshs Fine Rugs; Brightech; C.L.L Collections; Bunny Williams; Busalt Design; Candice Olson; Betsy Drake Interiors; Bhawna's Fusion; Capital Lighting Fixture Co.; Booth &amp; Williams; Berbermade; Caroline's Treasures; Christian Lacroix; Chic Teak; Chapman &amp; Myers; ChiChi Decor; Celerie Kemble; ChildBeWild; Casa Fine Arts; Bespoky Rugs; Dawn Sweitzer; Dana Gibson; David Chipperfield; Darren Gygi; Creative Matters Inc.; Dana McMillan; Danielle Davis; David Phoenix; Christopher Fareed; E by Design; COXBRIGHT; Coe Steinwart; DreamLine; Daphne Polselli; Diane Beesley; Denny Knight; Diane Keaton; echo; Ebros Gift; EGLO; Duravit; Eleonora Ferragatta; E. F. Chapman; Elaine Smith; East West Furniture; iCanvas; Empava; Ernest Massuet; James Restin; Enrico Lavazzi; Ella's Bubbles; Emissary; Jaime Hayon; Evergreen; Jean-Marie Massaud; J Paul; Jennifer Hollack Raboin; Javier Mariscal; Jasper Morrison; James Brooksberry; Jamie Graney; J. Kent Martin; Jonathan Adler; Jennifer Ridel; Jose Javier Malavia; John Beard; JMV; Jordan Glassco Smith; Europatex; Jorge Pensi; Jose Luis Santes; John Strauss/Carisa Marie; Jose Maria Reina; Ettore Sottsass; Enrico Cosi &amp; Sergio Tabellini; Eugeni Quitllet; Jose Santaeulalia; Jessica Hollander; JoyJolt; Jim and Phoebe Howard; Julia Knight; Kelly Wearstler; Laura Park; Kurt Merki Jr.; Karin Reiter; Karo Martirosyan</t>
  </si>
  <si>
    <t>Please choose one or more from the following, using a semicolon (;) to separate each value: Mold / Mildew Resistant; Water Resistant; No Durability Features; Drip Free; Fade Resistant; Heat Resistant; Stain Resistant; Reinforced; Non-Porous; Fray Resistant; Non-Staining</t>
  </si>
  <si>
    <t>Please choose one or more from the following, using a semicolon (;) to separate each value: Non Residential Use; Residential Use</t>
  </si>
  <si>
    <t>Please choose one or more from the following, using a semicolon (;) to separate each value: Wipe down with mild soap and water; Use product specific cleaner; Wipe clean with a dry cloth; Dust mop; Hand wash recommended; Spot clean only; Clean with soap and water; Clean spills immediately; Non-Abrasive, Neutral Ph Cleaner; Vacuum with no beater bar/rotating brush; Professional / Dry Clean Recommended; Vacuum with upholstery attachment; Avoid use of abrasive cleaners; Do not wash; Spot clean; Wipe with wet cloth; Spot clean with water; No washing / drying care; Do not bleach; Vacuum; Avoid direct sunlight; Clean with cloth, mild soap, and warm water; Spot clean with mild detergent; Spot clean as needed; Do not use any cleaning agents; Use dry, solvent-based cleaner; Wipe with cloth; Wipe Clean Only; Wipe clean with a damp cloth; Does Not Apply</t>
  </si>
  <si>
    <t>Product Type (Wall Stickers - S)</t>
  </si>
  <si>
    <t>Product Type (Wall Stickers - S) Definitions</t>
  </si>
  <si>
    <t>Subject Definitions</t>
  </si>
  <si>
    <t>Surface Type Definitions</t>
  </si>
  <si>
    <t>Material (Wall Stickers - S)</t>
  </si>
  <si>
    <t>Material (Wall Stickers - S) Definitions</t>
  </si>
  <si>
    <t>Compatible Surfaces Definitions</t>
  </si>
  <si>
    <t>Personalization or Monogramming Definitions</t>
  </si>
  <si>
    <t>Room Use Definitions</t>
  </si>
  <si>
    <t>Country of Origin Definitions</t>
  </si>
  <si>
    <t>Holiday / Occasion Definitions</t>
  </si>
  <si>
    <t>Country of Origin - Additional Details Definitions</t>
  </si>
  <si>
    <t>BPA Free Definitions</t>
  </si>
  <si>
    <t>Licensed Product Category Definitions</t>
  </si>
  <si>
    <t>Durability (Wall Stickers - S)</t>
  </si>
  <si>
    <t>Durability (Wall Stickers - S) Definitions</t>
  </si>
  <si>
    <t>Adjustability Features Definitions</t>
  </si>
  <si>
    <t>Color Definitions</t>
  </si>
  <si>
    <t>Pieces Included Definitions</t>
  </si>
  <si>
    <t>Movie / Show Series Name Definitions</t>
  </si>
  <si>
    <t>General Features (Wall Stickers - S)</t>
  </si>
  <si>
    <t>General Features (Wall Stickers - S) Definitions</t>
  </si>
  <si>
    <t>Age Group Definitions</t>
  </si>
  <si>
    <t>Commercial Warranty Definitions</t>
  </si>
  <si>
    <t>Commercial Warranty - Commercial Warranty Length</t>
  </si>
  <si>
    <t>Commercial Warranty - Commercial Warranty Length Definitions</t>
  </si>
  <si>
    <t>Wayfair Compliance Vetting Program (including Baby Safety Alliance fka JPMA) for this product category Definitions</t>
  </si>
  <si>
    <t>Uniform Packaging and Labeling Regulations (UPLR) Compliant Definitions</t>
  </si>
  <si>
    <t>Canada Product Restriction Definitions</t>
  </si>
  <si>
    <t>ISTA Certified Definitions</t>
  </si>
  <si>
    <t>Sustainability &amp; Social Responsibility Certifications (North America Only) Definitions</t>
  </si>
  <si>
    <t>Variant Grouping (Wall Stickers - S)</t>
  </si>
  <si>
    <t>Chemical</t>
  </si>
  <si>
    <t>Toxicity</t>
  </si>
  <si>
    <t>Document Type</t>
  </si>
  <si>
    <t>Legal Document Type</t>
  </si>
  <si>
    <t>Document Region</t>
  </si>
  <si>
    <t>Product Type (Wallpaper - S)</t>
  </si>
  <si>
    <t>Product Type (Wallpaper - S) Definitions</t>
  </si>
  <si>
    <t>Application Type Definitions</t>
  </si>
  <si>
    <t>Removal Type Definitions</t>
  </si>
  <si>
    <t>Material (Wallpaper - S)</t>
  </si>
  <si>
    <t>Material (Wallpaper - S) Definitions</t>
  </si>
  <si>
    <t>Finish Definitions</t>
  </si>
  <si>
    <t>General Features (Wallpaper - S)</t>
  </si>
  <si>
    <t>General Features (Wallpaper - S) Definitions</t>
  </si>
  <si>
    <t>Sports Team Name Definitions</t>
  </si>
  <si>
    <t>Pattern Definitions</t>
  </si>
  <si>
    <t>Match Type Definitions</t>
  </si>
  <si>
    <t>Wallpaper Texture Definitions</t>
  </si>
  <si>
    <t>Designer Definitions</t>
  </si>
  <si>
    <t>Durability (Wallpaper - S)</t>
  </si>
  <si>
    <t>Durability (Wallpaper - S) Definitions</t>
  </si>
  <si>
    <t>Supplier Intended and Approved Use Definitions</t>
  </si>
  <si>
    <t>Product Care Definitions</t>
  </si>
  <si>
    <t>Variant Grouping (Wallpaper - S)</t>
  </si>
  <si>
    <t>Window Decal</t>
  </si>
  <si>
    <t>Chalkboard Decals</t>
  </si>
  <si>
    <t>Growth Chart Decals</t>
  </si>
  <si>
    <t>Calendar and Organiser Decals</t>
  </si>
  <si>
    <t>Photo Frame Decals</t>
  </si>
  <si>
    <t>Whiteboard Decals</t>
  </si>
  <si>
    <t>Clock Decals</t>
  </si>
  <si>
    <t>Tile Decals</t>
  </si>
  <si>
    <t>Whiteboard and Chalkboard Decals</t>
  </si>
  <si>
    <t>Wall Decals</t>
  </si>
  <si>
    <t>Window Stickers &amp; Film</t>
  </si>
  <si>
    <t>Door Decals</t>
  </si>
  <si>
    <t>Create A Pattern Set</t>
  </si>
  <si>
    <t>A vinyl or adhesive sticker specifically designed to be applied to windows, glass doors, or other transparent surfaces for decorative or informational purposes. Window decals are typically removable and are visible from one or both sides of the glass.</t>
  </si>
  <si>
    <t>A removable vinyl or adhesive decal that functions as a chalkboard surface, allowing users to write with chalk and erase. These items can be applied to walls or other smooth surfaces for temporary or reusable note-taking and drawing.</t>
  </si>
  <si>
    <t>A wall decal featuring a height measurement scale designed for tracking growth. These adhesive-backed graphics are intended for application to vertical surfaces and are typically designed for easy removal without damaging the underlying surface.</t>
  </si>
  <si>
    <t>Refers to adhesive labels or graphics designed to assist in scheduling, time management, and task tracking. These items typically feature functional elements such as dates, priorities, or icons to provide a visual and organized overview of plans, deadlines, and appointments.</t>
  </si>
  <si>
    <t>A wall decal designed to frame or hold photographs, typically including outlines or spaces for inserting pictures. Photo frame decals may feature decorative motifs or tree and collage shapes and are intended for easy, non-damaging display of photos on walls.</t>
  </si>
  <si>
    <t>A removable decal with a white, dry-erase surface that allows for writing and erasing using dry-erase markers. These adhesive-backed items can be applied to walls, doors, or other smooth surfaces to create a functional area for notes, reminders, or drawings.</t>
  </si>
  <si>
    <t>A decal designed to resemble a functional clock face, sometimes including clock hands or mechanisms, intended to be applied to a wall to create the appearance of a large clock. May be decorative only or function in combination with a clock movement.</t>
  </si>
  <si>
    <t>A decal designed to simulate the appearance of ceramic or porcelain tiles when applied to flat surfaces such as walls, backsplashes, or countertops. These are typically used for decorative updates and are often removable and repositionable.</t>
  </si>
  <si>
    <t>A removable and repositionable adhesive decal featuring surfaces compatible with dry-erase markers, chalk, or both. These flexible sheets can be applied to smooth, flat surfaces to create an erasable writing area for notes, schedules, or illustrations.</t>
  </si>
  <si>
    <t>A decorative vinyl or adhesive graphic intended to be affixed directly to a vertical surface. These items are primarily designed for use on interior walls and can include designs, shapes, or text to enhance the aesthetic of a space. Often removable and repositionable.</t>
  </si>
  <si>
    <t>A sticker or film designed for application to glass surfaces to provide privacy, decoration, or UV and heat blocking. These materials can be frosted, patterned, or clear with printed designs and often cover larger surface areas than standard decals.</t>
  </si>
  <si>
    <t>A decal intended for application on door surfaces, typically sized and designed specifically for doors. These may serve decorative, labeling, or privacy purposes and are removable without damaging the underlying surface.</t>
  </si>
  <si>
    <t>A coordinated set of individual components intended for arrangement in a repeated or continuous design. These sets allow for customizable layouts and configurations to create a cohesive visual pattern across a surface.</t>
  </si>
  <si>
    <t>Animals</t>
  </si>
  <si>
    <t>Astrology &amp; Stars</t>
  </si>
  <si>
    <t>Scenic &amp; Cityscapes</t>
  </si>
  <si>
    <t>Food &amp; Beverage</t>
  </si>
  <si>
    <t>Insects</t>
  </si>
  <si>
    <t>Patriotic</t>
  </si>
  <si>
    <t>Entertainment</t>
  </si>
  <si>
    <t>Plants &amp; Flowers</t>
  </si>
  <si>
    <t>Religious &amp; Spiritual</t>
  </si>
  <si>
    <t>Nautical &amp; Beach</t>
  </si>
  <si>
    <t>Abstract</t>
  </si>
  <si>
    <t>Sports</t>
  </si>
  <si>
    <t>People</t>
  </si>
  <si>
    <t>Geography</t>
  </si>
  <si>
    <t>Fantasy &amp; Sci-Fi</t>
  </si>
  <si>
    <t>Landscape &amp; Nature</t>
  </si>
  <si>
    <t>Text &amp; Numbers</t>
  </si>
  <si>
    <t>Furniture</t>
  </si>
  <si>
    <t>Novelty &amp; Humor</t>
  </si>
  <si>
    <t>STEM</t>
  </si>
  <si>
    <t>Fashion</t>
  </si>
  <si>
    <t>Buildings &amp; Architecture</t>
  </si>
  <si>
    <t>Transportation</t>
  </si>
  <si>
    <t>Bath &amp; Laundry</t>
  </si>
  <si>
    <t>History &amp; Language</t>
  </si>
  <si>
    <t>Cities &amp; Countries</t>
  </si>
  <si>
    <t>Disney/Pixar</t>
  </si>
  <si>
    <t>No Subject</t>
  </si>
  <si>
    <t>Education</t>
  </si>
  <si>
    <t>Birds</t>
  </si>
  <si>
    <t>U.S. States &amp; Territories</t>
  </si>
  <si>
    <t>Unavailable</t>
  </si>
  <si>
    <t>Non-human animals as the primary subject, including mammals, reptiles, amphibians, or aquatic creatures, depicted realistically, stylized, or abstractly. Excludes birds and insects, which have separate categories.</t>
  </si>
  <si>
    <t>Depicts astrology or celestial themes as the primary visual focus. Includes zodiac signs, constellations, horoscopes, stars, planets, and astronomical symbols. Excludes general night sky scenes or incidental star motifs unless the celestial theme is central.</t>
  </si>
  <si>
    <t>Depicts scenic landscapes, natural vistas, or cityscapes where the overall environment or view is the subject. Includes panoramic views, skyline representations, and scenic backdrops. Excludes isolated natural features or architectural elements not representing a whole scene.</t>
  </si>
  <si>
    <t>The product's primary subject is food or beverages, including fruits, vegetables, prepared dishes, or drinks. Use only when the food or beverage is the central visual focus, not incidental or background.</t>
  </si>
  <si>
    <t>Depicts one or more insects (e.g., butterflies, beetles, bees) as the primary subject, in realistic or stylized form. Excludes other arthropods (like spiders or crustaceans) and instances where insects are minor background elements.</t>
  </si>
  <si>
    <t>Conveys patriotism, national pride, or national symbols as the primary subject. Includes flags, national emblems, iconic landmarks, or colors associated with patriotism. Excludes generic decorative motifs without clear patriotic association.</t>
  </si>
  <si>
    <t>Subject matter centered on the entertainment industry, media, or performing arts, encompassing themes, iconography, film, music, theater, and notable personalities. This includes references to popular culture and well-known entertainment events.</t>
  </si>
  <si>
    <t>Depicts botanical subjects, including plants, flowers, trees, or leaves, as the primary visual focus. This applies to realistic, stylized, or abstract representations. Exclude products where the botanical element is a minor decorative accent.</t>
  </si>
  <si>
    <t>The main subject is symbols, figures, or iconography associated with religious beliefs, spiritual traditions, or ritual practices. Applies only when the theme is the primary focus, not incidental.</t>
  </si>
  <si>
    <t>A design or subject whose central theme relates to oceanic, coastal, or maritime environments. This includes prominent representations of anchors, boats, sea creatures, shells, lighthouses, and beach scenery. Exclude incidental or minor motifs.</t>
  </si>
  <si>
    <t>Non-representational forms, shapes, colors, textures, or patterns as the main subject. The design lacks any clear or recognizable objects, people, animals, or scenes.</t>
  </si>
  <si>
    <t>Primary subject is sports or athletic activities, encompassing depictions or symbols of equipment, athletes, competitions, and iconography associated with organized or recreational competitive physical activity. Excludes generic movement or fitness themes not directly sports-related.</t>
  </si>
  <si>
    <t>The central subject is human figures or representations of people, whether realistic, stylized, abstract, or symbolic. This includes individuals, groups, portraits, and figures, and excludes animals or other subjects where people are secondary.</t>
  </si>
  <si>
    <t>The primary subject is geographic features, concepts, or representations, including maps, globes, continents, regions, and landforms. Excludes specific cities, countries, or where the geographic motif is a secondary element.</t>
  </si>
  <si>
    <t>Subject matter or imagery that depicts fantastical, mythical, speculative, or futuristic elements from fantasy and science fiction genres, such as imaginary worlds, creatures, or technology.</t>
  </si>
  <si>
    <t>A subject that depicts natural scenery or outdoor landscapes, including forests, mountains, rivers, and fields. The imagery is dominated by non-urban, non-architectural elements. Excludes cityscapes and items where a specific animal, plant, or flower is the main focus.</t>
  </si>
  <si>
    <t>The product's main visual subject is text, letters, numbers, or typographic elements. Use only when words, numerals, or letterforms are the central focus of the design.</t>
  </si>
  <si>
    <t>The product's main subject is a depiction of furnishings or freestanding functional objects used in an interior space. This includes realistic, stylized, or artistic representations where the furnishing is the principal focus, excluding minor or background elements.</t>
  </si>
  <si>
    <t>Features humorous, whimsical, or novelty elements intended primarily to amuse or entertain. This applies only when the humor or novelty is the main subject or decorative feature.</t>
  </si>
  <si>
    <t>Visual themes or motifs where Science, Technology, Engineering, or Mathematics (STEM) is the principal subject. Includes imagery of scientific instruments, mathematical symbols, or engineering concepts. Excludes incidental references not central to the product's focus.</t>
  </si>
  <si>
    <t>Primary subject or central decorative element is fashion or fashion-related concepts. Includes motifs of clothing, accessories, runways, mannequins, and other symbols of the fashion industry. Excludes depictions where fashion is secondary or incidental.</t>
  </si>
  <si>
    <t>Depiction of man-made structures and architectural elements (buildings, bridges, monuments) as the primary subject. Excludes broad scenes where architecture is secondary.</t>
  </si>
  <si>
    <t>Depicts vehicles or modes of transportation, such as cars, trains, planes, and boats, as the central subject or primary design element. Includes realistic, stylized, or abstract representations of transport means and infrastructure. Excludes incidental references.</t>
  </si>
  <si>
    <t>Subject matter where the primary focus is bathing, washing, or laundry activities, including symbols or motifs associated with hygiene and washroom spaces.</t>
  </si>
  <si>
    <t>Subject, theme, or imagery focused on historical events, notable figures, ancient cultures, language, literature, writing systems, or linguistic symbols.</t>
  </si>
  <si>
    <t>Depicts a specific city, country, or geographic location through recognizable skylines, landmarks, flags, maps, or other elements that clearly identify the place. Excludes generalized architecture, geography, or nature scenes.</t>
  </si>
  <si>
    <t>Features officially licensed characters, scenes, or iconography directly associated with Disney or Pixar intellectual properties. Includes classic and modern franchises. Excludes generic, non-licensed cartoon-like subjects.</t>
  </si>
  <si>
    <t>Applicable when the product features no discernible subject, theme, or representational imagery. Used for items that are purely functional, geometric, abstract, solid color, or pattern-based.</t>
  </si>
  <si>
    <t>Depicts or represents education, academic subjects, learning environments, or associated symbols and objects as the central theme. Includes motifs like books, globes, chalkboards, and graduation imagery. Excludes incidental references.</t>
  </si>
  <si>
    <t>The product's central focus is one or more avian species. Apply to realistic, stylized, or abstract representations where the bird is the primary subject. Exclude products where birds are minor elements or background features.</t>
  </si>
  <si>
    <t>The main subject or design is a representation of one or more U.S. states or territories, including state outlines, maps, flags, symbols, landmarks, or regional emblems. Excludes general patriotic themes or incidental references.</t>
  </si>
  <si>
    <t>Answer can be set as unavailable.</t>
  </si>
  <si>
    <t>Satin</t>
  </si>
  <si>
    <t>Glossy</t>
  </si>
  <si>
    <t>Matte</t>
  </si>
  <si>
    <t>Low Gloss</t>
  </si>
  <si>
    <t>Glitter</t>
  </si>
  <si>
    <t>Mirrored</t>
  </si>
  <si>
    <t>3D</t>
  </si>
  <si>
    <t>Glow in the Dark</t>
  </si>
  <si>
    <t>High Gloss</t>
  </si>
  <si>
    <t>A surface finish that provides a subtle, soft sheen between matte and high gloss. It diffuses light gently, appearing smoother and more luminous than a matte finish but less reflective than a high-gloss surface.</t>
  </si>
  <si>
    <t>A high-sheen, reflective finish that creates a smooth, mirror-like surface. This finish enhances color vibrancy and depth while providing a durable, easy-to-clean surface that highlights architectural details and textures.</t>
  </si>
  <si>
    <t>A non-reflective, flat surface finish with little to no sheen. Matte surfaces diffuse light, producing a muted look that reduces glare and effectively hides dust, scuffs, and fingerprints.</t>
  </si>
  <si>
    <t>A surface finish with a low level of sheen that produces subtle, diffuse reflections. It offers a soft, understated appearance that is less reflective than standard gloss but more lustrous than a matte finish, effectively minimizing glare and helping to mask minor surface imperfections.</t>
  </si>
  <si>
    <t>A decorative surface finish characterized by the inclusion of small, multi-faceted reflective particles. These particles catch and reflect light from various angles to create a shimmering, multi-dimensional sparkling effect.</t>
  </si>
  <si>
    <t>A highly reflective, smooth surface finish that provides a clear, undistorted reflection similar to a mirror. This finish is characterized by exceptional shine and clarity, often used to enhance light, create an illusion of depth, or provide a modern aesthetic.</t>
  </si>
  <si>
    <t>A surface effect that creates a physical or visual illusion of depth, volume, and dimension. This multi-dimensional appearance is typically achieved through layering, embossing, or sculptural relief, making the design appear raised or recessed relative to a flat background.</t>
  </si>
  <si>
    <t>A luminous surface finish that absorbs light and later emits a visible glow in darkness. Designed for visibility and decorative effects, especially at night or in low-light environments.</t>
  </si>
  <si>
    <t>A surface finish with a high level of shininess or luster, producing a mirror-like, highly reflective appearance. High gloss finishes maximize light reflection and create a vivid visual impact, standing out more than standard glossy finishes.</t>
  </si>
  <si>
    <t>Fabric</t>
  </si>
  <si>
    <t>Vinyl</t>
  </si>
  <si>
    <t>Canvas</t>
  </si>
  <si>
    <t>Paper</t>
  </si>
  <si>
    <t>Plastic</t>
  </si>
  <si>
    <t>PVC</t>
  </si>
  <si>
    <t>Polycarbonate (PC)</t>
  </si>
  <si>
    <t>Polyethylene Plastic</t>
  </si>
  <si>
    <t>Glass</t>
  </si>
  <si>
    <t>Stainless Steel</t>
  </si>
  <si>
    <t>Polypropylene</t>
  </si>
  <si>
    <t>Aluminum</t>
  </si>
  <si>
    <t>Acrylic</t>
  </si>
  <si>
    <t>Foam</t>
  </si>
  <si>
    <t>Cardboard / Paper</t>
  </si>
  <si>
    <t>Gel</t>
  </si>
  <si>
    <t>Cardboard</t>
  </si>
  <si>
    <t>Leather</t>
  </si>
  <si>
    <t>Ceramic</t>
  </si>
  <si>
    <t>Copper</t>
  </si>
  <si>
    <t>Faux Leather</t>
  </si>
  <si>
    <t>Iron</t>
  </si>
  <si>
    <t>Leather / Faux Leather</t>
  </si>
  <si>
    <t>Medium Density Fiberboard (MDF)</t>
  </si>
  <si>
    <t>Nylon</t>
  </si>
  <si>
    <t>Plastic / Acrylic</t>
  </si>
  <si>
    <t>Polyester</t>
  </si>
  <si>
    <t>Polymer</t>
  </si>
  <si>
    <t>Polyvinyl Chloride (PVC)</t>
  </si>
  <si>
    <t>Polyurethane</t>
  </si>
  <si>
    <t>Porcelain</t>
  </si>
  <si>
    <t>Polyurethane (PU)</t>
  </si>
  <si>
    <t>Rubber</t>
  </si>
  <si>
    <t>Recycled P.E.T</t>
  </si>
  <si>
    <t>Sponge</t>
  </si>
  <si>
    <t>Synthetic</t>
  </si>
  <si>
    <t>Steel</t>
  </si>
  <si>
    <t>Solid Wood</t>
  </si>
  <si>
    <t>MDF</t>
  </si>
  <si>
    <t>Particle Board / Chipboard</t>
  </si>
  <si>
    <t>Plywood / Laminate Board</t>
  </si>
  <si>
    <t>Paper / Printed Veneer</t>
  </si>
  <si>
    <t>Real Wood Veneer</t>
  </si>
  <si>
    <t>A flexible material made by weaving, knitting, or bonding natural or synthetic fibers. Use only as a general descriptor when the specific fiber content (e.g., cotton, polyester) is unknown or not the primary defining material.</t>
  </si>
  <si>
    <t>Synthetic plastic polymer, commonly polyvinyl chloride (PVC). Flexible and durable, it is valued for its water resistance, easy maintenance, and can be manufactured in both flexible and rigid forms.</t>
  </si>
  <si>
    <t>Canvas is a highly durable, heavy, plain-woven fabric. It is typically constructed from cotton, linen, or synthetic fibers, prized for its strength, stiffness, and excellent resistance to abrasion and wear.</t>
  </si>
  <si>
    <t>A material made primarily from cellulose fibers derived from plant sources or recycled materials. It is typically a lightweight, thin, and flexible sheet, but can also be used in dense, molded, or rigid forms like paperboard or cardboard.</t>
  </si>
  <si>
    <t>A synthetic polymer material that is lightweight, durable, moisture-resistant, and easily molded into a wide variety of forms. It encompasses common polymers such as polyethylene, polypropylene, and PVC, for use when plastic is a main or structural component of the product.</t>
  </si>
  <si>
    <t>Polyvinyl chloride (PVC) is a synthetic thermoplastic polymer known for its durability, flexibility, and resistance to moisture and chemicals. It can be manufactured as a rigid or flexible material.</t>
  </si>
  <si>
    <t>Polycarbonate (PC) is a highly durable, transparent thermoplastic polymer known for its exceptional strength, impact resistance, and optical clarity. It is lightweight and can withstand high temperatures.</t>
  </si>
  <si>
    <t>Polyethylene (PE) is a versatile, lightweight, and durable thermoplastic polymer. It is available as low-density (LDPE) for flexible uses and high-density (HDPE) for more rigid, structural components, known for its strong resistance to moisture, chemicals, and impact.</t>
  </si>
  <si>
    <t>A hard, brittle, transparent or translucent non-crystalline solid, manufactured primarily from silica (sand) by melting ingredients at high temperatures and cooling rapidly.</t>
  </si>
  <si>
    <t>A durable, iron-based metal alloy containing a minimum of 10.5% chromium, which forms a protective surface layer that provides exceptional resistance to rust, corrosion, and staining. Known for its strength, high longevity, heat resistance, and ease of cleaning.</t>
  </si>
  <si>
    <t>Polypropylene is a versatile, lightweight thermoplastic polymer and synthetic fiber from the polyolefin family. It is valued for its durability, flexibility, chemical resistance, and low moisture absorption, making it suitable for a wide range of molded parts, films, and textiles.</t>
  </si>
  <si>
    <t>Aluminum is a lightweight, silvery-white, non-ferrous metal known for its excellent strength-to-weight ratio, malleability, and high natural resistance to corrosion and rust.</t>
  </si>
  <si>
    <t>A durable, lightweight synthetic thermoplastic polymer (PMMA) known for its transparency, rigidity, and high impact resistance. This material is used as a shatter-resistant alternative to glass, and must be the primary structural or visible material.</t>
  </si>
  <si>
    <t>A lightweight, cellular material formed by trapping gas bubbles in a polymer matrix, such as polyurethane or polyethylene. It is valued for its cushioning, shock-absorbing, and insulating properties, and may be rigid or flexible.</t>
  </si>
  <si>
    <t>Products constructed primarily from paper-based materials, encompassing thin, flexible paper and thicker, rigid cardboard (e.g., paperboard or corrugated fiberboard). Derived from cellulose pulp, these materials are valued for being lightweight, inexpensive, and recyclable.</t>
  </si>
  <si>
    <t>A semi-solid, jelly-like material, typically a polymer or silicone compound, valued for its soft, flexible nature and cushioning or temperature-regulating properties.</t>
  </si>
  <si>
    <t>A heavy-duty, stiff paper-based material composed of compressed cellulose fibers, typically presented as thick paperboard or layered corrugated fiberboard. It is lightweight, often used for temporary structural components, and lacks long-term durability and moisture resistance.</t>
  </si>
  <si>
    <t>A material produced by tanning or chemically treating animal skins and hides, making them strong, flexible, and resistant to decay. Most commonly sourced from cattle, sheep, goats, or pigs. Characteristics may vary based on the source animal and processing method.</t>
  </si>
  <si>
    <t>An inorganic, non-metallic material (such as porcelain, stoneware, or earthenware) made from clay or similar minerals. It is shaped and hardened by firing at high temperatures, resulting in a product valued for its hardness, durability, and heat resistance.</t>
  </si>
  <si>
    <t>A reddish-brown, non-ferrous metal element that is highly conductive, malleable, and resistant to corrosion. It is prized for its distinctive color and will develop a protective patina over time.</t>
  </si>
  <si>
    <t>A synthetic material engineered to replicate the appearance and texture of genuine leather, often constructed from a fabric backing coated with polyurethane (PU) or polyvinyl chloride (PVC). It is an affordable, water-resistant, and animal-free alternative.</t>
  </si>
  <si>
    <t>Iron is a strong, hard, dense, ferrous metal typically used as a principal structural material in wrought or cast forms. Due to its susceptibility to rust, it usually requires a protective finish. Only select this value if iron is the main material, excluding alloys like steel and cast iron.</t>
  </si>
  <si>
    <t>Leather is tanned animal hide, and faux leather is a synthetic substitute, often made from PU or PVC, designed to mimic its appearance, texture, and properties.</t>
  </si>
  <si>
    <t>Medium Density Fiberboard (MDF) is an engineered wood product composed of fine wood fibers bonded with resin under high heat and pressure, forming dense, smooth, and dimensionally stable panels.</t>
  </si>
  <si>
    <t>A strong, lightweight synthetic polyamide known for exceptional tensile strength, abrasion resistance, and flexibility. Use only when Nylon is a main or structural component, not for thread or minor trim.</t>
  </si>
  <si>
    <t>A synthetic material category including general polymers (plastic) and polymethyl methacrylate (acrylic). Both are lightweight, durable, and moisture-resistant. Acrylic is a clear or colored thermoplastic valued for its rigidity and glass-like appearance.</t>
  </si>
  <si>
    <t>A versatile, durable synthetic polymer derived from petroleum. It is valued for its high strength, wrinkle and moisture resistance, and is processed into fibers for textiles or molded into plastic forms.</t>
  </si>
  <si>
    <t>A material, either natural or synthetic, composed of large molecules made of repeating structural units (monomers). This value represents a broad category including plastics, resins, and rubbers, and should only be used when a more specific polymer type is not identified.</t>
  </si>
  <si>
    <t>Polyvinyl Chloride (PVC) is a synthetic thermoplastic polymer known for its durability, chemical resistance, and versatility. It is inherently water-resistant and can be manufactured in both rigid and flexible forms for a wide range of uses.</t>
  </si>
  <si>
    <t>Polyurethane is a highly versatile synthetic polymer that can be formulated as a flexible foam, a rigid plastic, a durable coating, or a sealant. It is valued for its resilience, flexibility, durability, and resistance to water and abrasion.</t>
  </si>
  <si>
    <t>A hard, dense, non-porous ceramic material created by firing refined clay and minerals at high temperatures. It is vitrified, highly durable, and typically white or translucent with a smooth, refined finish.</t>
  </si>
  <si>
    <t>Polyurethane (PU) is a versatile, durable synthetic polymer. It is used as flexible foam, rigid solids, protective coatings, and films, often prized for its flexibility, moisture resistance, and ability to mimic faux leather.</t>
  </si>
  <si>
    <t>An elastic and pliable polymer (elastomer) derived from natural latex or synthetic sources. It is a durable, water-resistant material valued for its resilience, shock absorption, and non-slip properties.</t>
  </si>
  <si>
    <t>Recycled P.E.T is a synthetic material derived from recycled polyethylene terephthalate (PET) plastic, commonly sourced from post-consumer bottles.</t>
  </si>
  <si>
    <t>A soft, porous, and highly absorbent material, typically made from natural sea sponge, cellulose, or synthetic foams like polyurethane. It is valued for its cushioning and ability to retain liquids.</t>
  </si>
  <si>
    <t>Material created through chemical synthesis that is not derived from natural plant or animal sources. This category includes man-made fibers, plastics, and resins like polyester, nylon, and acrylic.</t>
  </si>
  <si>
    <t>A durable, strong, and versatile metal alloy composed primarily of iron and carbon. Steel is valued for its high strength, rigidity, and resistance to deformation, often used for structural components. It may require a protective coating to prevent corrosion.</t>
  </si>
  <si>
    <t>Natural wood cut directly from a tree, used in its full solid form without manufactured layering, adhesives, fillers, or composite materials like plywood or MDF. It is valued for its strength, durability, and unique grain patterns.</t>
  </si>
  <si>
    <t>Medium-Density Fiberboard (MDF) is an engineered wood product made by breaking down wood residuals into fine fibers, combining them with wax and resin binders, and forming dense panels under high heat and pressure. It features a smooth, uniform surface ideal for painting, machining, or veneering.</t>
  </si>
  <si>
    <t>Particle Board, also known as chipboard, is an engineered wood product manufactured by compressing wood chips, sawdust, or shavings with a synthetic resin binder under heat and pressure. It is a cost-effective, uniform substrate that is typically less dense and more susceptible to moisture than MDF or plywood.</t>
  </si>
  <si>
    <t>Plywood is an engineered wood panel made by gluing thin layers of wood veneer with alternating grain directions for enhanced strength and stability. Laminate board consists of a composite core, such as plywood or MDF, bonded with a durable decorative or protective synthetic surface layer.</t>
  </si>
  <si>
    <t>A thin layer of paper engineered with a printed pattern or design, typically mimicking wood grain or other natural materials, applied to a substrate material.</t>
  </si>
  <si>
    <t>A thin layer of genuine timber sliced from a tree log and bonded to a stable core substrate, retaining the natural grain, texture, and unique organic variations of solid wood.</t>
  </si>
  <si>
    <t>Multi-Surface</t>
  </si>
  <si>
    <t>Flat Surface</t>
  </si>
  <si>
    <t>Textured Wall</t>
  </si>
  <si>
    <t>Brick Wall</t>
  </si>
  <si>
    <t>Cement Wall</t>
  </si>
  <si>
    <t>Glass Wall</t>
  </si>
  <si>
    <t>Existing Tile</t>
  </si>
  <si>
    <t>Chalkboard</t>
  </si>
  <si>
    <t>Appliance</t>
  </si>
  <si>
    <t>Mirror</t>
  </si>
  <si>
    <t>Wallpaper</t>
  </si>
  <si>
    <t>Painted Gypsum</t>
  </si>
  <si>
    <t>Acrylic Panel</t>
  </si>
  <si>
    <t>Orange Peel Wall</t>
  </si>
  <si>
    <t>Gypsum Wall</t>
  </si>
  <si>
    <t>Laminate</t>
  </si>
  <si>
    <t>Plywood Wall</t>
  </si>
  <si>
    <t>Drywall</t>
  </si>
  <si>
    <t>Stucco Wall</t>
  </si>
  <si>
    <t>Ceramic Tile Wall</t>
  </si>
  <si>
    <t>Concrete</t>
  </si>
  <si>
    <t>Stone Wall</t>
  </si>
  <si>
    <t>Medium Density Fiberboard</t>
  </si>
  <si>
    <t>Multi-Surface refers to compatibility with multiple distinct surface types, indicating that the product is engineered or supplied with mounting solutions suitable for a stated range of surfaces, such as drywall, tile, glass, metal, or other materials. Do not treat ordinary compatibility with an unspecified flat wall alone as Multi-Surface.</t>
  </si>
  <si>
    <t>Refers to a wall or installation surface that is continuously even and planar, without significant texture, protrusions, or recesses. This is the general compatibility value for smooth or level surfaces when product information does not specify a material-specific requirement.</t>
  </si>
  <si>
    <t>Refers to a vertical surface intentionally finished with a raised or irregular texture, such as orange peel, knockdown, or stipple. Indicates that a product or mounting system is compatible with surfaces exhibiting low-to-moderate variation rather than being limited to smooth finishes.</t>
  </si>
  <si>
    <t>Refers to a vertical surface constructed from individual bricks, typically made of clay or concrete, joined with mortar. These surfaces can be structural or decorative and vary between smooth and rough textures. Compatibility indicates the product can be secured using appropriate mounting hardware or adhesives.</t>
  </si>
  <si>
    <t>A wall primarily constructed from cement, such as poured concrete or cement blocks, often used for foundational or structural support. These surfaces are solid, durable, and highly resistant to weathering, and may range from smooth to highly textured.</t>
  </si>
  <si>
    <t>Constructed primarily from wood, an organic material derived from trees, where the specific type (such as solid, reclaimed, hardwood, or manufactured) is not identified. Use for items that are clearly wooden but do not meet the criteria for more specific wood sub-categories.</t>
  </si>
  <si>
    <t>Refers to a vertical surface or partition constructed primarily of glass panels. Indicates that a product is compatible with or can be securely adhered to smooth, non-porous glass surfaces typically found in interior environments.</t>
  </si>
  <si>
    <t>A smooth, corrosion-resistant metallic surface characterized by its durable, non-porous properties. Commonly used in kitchens or commercial environments, it provides a functional and sleek finish that supports mounting or integration when used with compatible hardware or adhesives.</t>
  </si>
  <si>
    <t>Refers to a surface already covered with mounted ceramic, porcelain, or stone tiles. Compatibility indicates that a product can be installed or affixed directly onto the clean, flat, non-porous surface of these existing tiles without requiring their removal.</t>
  </si>
  <si>
    <t>Refers to a smooth, reusable, usually dark-colored surface specifically designed for writing or drawing with chalk or chalk markers. These surfaces can be made from porous materials, like painted wood, or non-porous materials, such as slate or porcelain, and are easily erased for repeated use.</t>
  </si>
  <si>
    <t>Refers to the finished, vertical exterior surface of household appliances, typically composed of metal, glass, or plastic. Compatibility indicates the product can be safely applied or installed on these smooth, non-porous surfaces.</t>
  </si>
  <si>
    <t>A flat, highly reflective glass surface. In the context of compatibility, indicates that the item can be securely adhered to or mounted on a clean mirror surface.</t>
  </si>
  <si>
    <t>A thin decorative covering made from paper, vinyl, or fabric that is adhered to an interior wall surface to provide a finished aesthetic. Patterns, textures, or images may be applied to the material to enhance the visual appeal of a space.</t>
  </si>
  <si>
    <t>Refers to gypsum wallboard (also known as drywall or plasterboard) that has been coated with paint to create a finished interior surface. It is commonly used for walls and ceilings in residential and commercial construction, providing a smooth substrate for decorative finishes.</t>
  </si>
  <si>
    <t>A flat, lightweight sheet made of acrylic (polymethyl methacrylate), a clear or colored synthetic plastic material often used as a durable, shatter-resistant substitute for glass. It provides a smooth surface used for various decorative, protective, or structural applications.</t>
  </si>
  <si>
    <t>A type of wall finish characterized by a subtle, dimpled texture resembling the skin of an orange. Created by spraying drywall compound, this common interior surface provides visual interest and helps conceal minor imperfections while remaining relatively smooth.</t>
  </si>
  <si>
    <t>Refers to an interior wall constructed from gypsum board (also known as drywall or plasterboard), which consists of a core of compressed gypsum encased in paper facing. It provides a smooth, uniform surface suitable for finishing with paint, wallpaper, or other decorative treatments.</t>
  </si>
  <si>
    <t>A multi-layered synthetic material made by bonding layers of paper or fabric to a substrate with resin, topped with a protective finish. It is characterized by a smooth, durable, and often decorative surface designed to replicate the appearance of natural materials.</t>
  </si>
  <si>
    <t>Refers to a wall surface constructed from sheets of plywood, an engineered wood product made from multiple layers of wood veneer glued together. These surfaces are sturdy, generally smooth, and suitable for both structural and decorative interior applications.</t>
  </si>
  <si>
    <t>Refers to a panel made from gypsum plaster pressed between thick sheets of paper. It is used for constructing interior walls and ceilings, providing a smooth, flat surface suitable for various finishes such as painting or wallpapering.</t>
  </si>
  <si>
    <t>Refers to a wall surface finished with stucco, a hard, dense plaster typically composed of cement, sand, lime, and water. It is characterized by a range of finishes from smooth to highly textured and is used for both interior and exterior architectural surfaces.</t>
  </si>
  <si>
    <t>Refers to a wall surface finished with ceramic tiles, which are hard, water-resistant units made from fired clay. The surface is typically smooth, non-porous, and glazed, making it suitable for mounting or adhering compatible items.</t>
  </si>
  <si>
    <t>Designed to resemble the appearance of poured concrete or cement, featuring the subtle mottling, color variations, and textures characteristic of the material. This aesthetic is typically plain and unpatterned, offering a modern, industrial look through a range of neutral, earthy hues.</t>
  </si>
  <si>
    <t>Refers to a vertical surface composed of natural or engineered stone, such as granite, limestone, or slate, constructed with or without mortar. These surfaces are durable, may vary from smooth to irregular in profile, and are found in both interior accent and exterior structural applications.</t>
  </si>
  <si>
    <t>An engineered wood product made from wood fibers, resin, and wax, compressed into a dense, stable panel. Characterized by a smooth, uniform surface and consistent density, it is free of knots and grain patterns, making it an ideal substrate for various finishes and machining.</t>
  </si>
  <si>
    <t>Yes</t>
  </si>
  <si>
    <t>No</t>
  </si>
  <si>
    <t>Does Not Apply</t>
  </si>
  <si>
    <t>The product is available with permanent, customer-provided text or design—such as a name, initial, or monogram—specified at the time of order. This custom input is incorporated into the item using methods like engraving, printing, or embroidery, and is not a generic, mass-produced phrase.</t>
  </si>
  <si>
    <t>Product does not accept any unique, customer-supplied text, names, initials, or monograms. The product's design and appearance are fixed, featuring only pre-set, manufacturer-designed elements.</t>
  </si>
  <si>
    <t>Answer can be set to not applicable.</t>
  </si>
  <si>
    <t>Bathroom</t>
  </si>
  <si>
    <t>Kitchen</t>
  </si>
  <si>
    <t>Bedroom</t>
  </si>
  <si>
    <t>Living Room</t>
  </si>
  <si>
    <t>Laundry Room</t>
  </si>
  <si>
    <t>Nursery</t>
  </si>
  <si>
    <t>Dining Room</t>
  </si>
  <si>
    <t>Pantry</t>
  </si>
  <si>
    <t>Home Office</t>
  </si>
  <si>
    <t>Game Room</t>
  </si>
  <si>
    <t>Foyer</t>
  </si>
  <si>
    <t>Playroom</t>
  </si>
  <si>
    <t>Patio</t>
  </si>
  <si>
    <t>Closet</t>
  </si>
  <si>
    <t>Restaurant Dining Room</t>
  </si>
  <si>
    <t>Basement</t>
  </si>
  <si>
    <t>Garage/Shop</t>
  </si>
  <si>
    <t>Commercial Office</t>
  </si>
  <si>
    <t>Backyard</t>
  </si>
  <si>
    <t>Mudroom/Deck</t>
  </si>
  <si>
    <t>School Classroom</t>
  </si>
  <si>
    <t>Hotel Room</t>
  </si>
  <si>
    <t>Lobby/Reception</t>
  </si>
  <si>
    <t>Hallway</t>
  </si>
  <si>
    <t>Studio</t>
  </si>
  <si>
    <t>Art School</t>
  </si>
  <si>
    <t>Commercial Kitchen</t>
  </si>
  <si>
    <t>A room or designated area intended for personal hygiene, bathing, and other sanitation-related activities, typically equipped with a toilet, washbasin, and bathtub or shower. This environment is generally characterized by higher humidity levels and frequent exposure to moisture.</t>
  </si>
  <si>
    <t>A room or area primarily designed and equipped for the preparation, cooking, and serving of food, often including specialized appliances and infrastructure for ventilation, hygiene, and safety.</t>
  </si>
  <si>
    <t>A private room within a home or residence designed and furnished primarily for sleeping and personal retreat. Not intended for use in hotel rooms or multi-purpose spaces.</t>
  </si>
  <si>
    <t>A primary social and gathering space in a residence designed for general everyday use, including relaxation and social interaction among household members and guests.</t>
  </si>
  <si>
    <t>A room intended for washing and drying clothes, often containing appliances and significant moisture presence. It is a dedicated space for laundering and related household activities such as folding, ironing, and linen storage.</t>
  </si>
  <si>
    <t>A room specifically designed for the care, sleeping, and early development of infants and young children, typically within a residential or childcare setting.</t>
  </si>
  <si>
    <t>A dedicated space within a residential or commercial setting specifically designed for the purpose of serving and consuming meals.</t>
  </si>
  <si>
    <t>A small room, closet, or cabinet typically located in or near a kitchen, dedicated to the storage of food provisions, dishes, or other kitchen essentials.</t>
  </si>
  <si>
    <t>A dedicated workspace or room within a private residence specifically designed for professional activities, remote work, or academic study. Designed to promote productivity and focus within a home environment. Not intended for commercial or shared office settings.</t>
  </si>
  <si>
    <t>A room or dedicated area within a residence or facility designed primarily for recreational activities, games, and entertainment. This space is intended for leisure, socialization, and play, often accommodating digital gaming setups, table games, or various indoor hobbies.</t>
  </si>
  <si>
    <t>An entrance hall or open area located near the front door of a building or home, typically serving as a transition space between the exterior and the interior.</t>
  </si>
  <si>
    <t>A room designated for play, recreation, and activities for children, typically within a household or childcare setting. It is designed to facilitate open-ended play, creativity, and leisure while providing a safe environment for development.</t>
  </si>
  <si>
    <t>An outdoor paved or stone area, typically located at ground level and adjacent to a residential or commercial building, designed for dining, recreation, or social use.</t>
  </si>
  <si>
    <t>A small, enclosed storage area within a building, typically used for organizing or storing clothing, linens, or household items. This space is distinct from pantries, general storage rooms, or laundry rooms and is designed for confined, personal storage.</t>
  </si>
  <si>
    <t>The primary area within a commercial food service establishment designed for seating and serving patrons.</t>
  </si>
  <si>
    <t>A room or group of rooms located entirely or partially below ground level in a residential, commercial, or institutional building, often utilized for storage, utility services, or additional living space.</t>
  </si>
  <si>
    <t>An enclosed or semi-enclosed area primarily used for vehicle storage, workshop activities, repairs, DIY projects, or tool and equipment storage. These spaces are typically characterized by a need for high durability and may be attached to or separate from a primary residence.</t>
  </si>
  <si>
    <t>A workplace or business environment where administrative, clerical, or managerial work is conducted.</t>
  </si>
  <si>
    <t>An exterior area associated with a residential or institutional property, typically located at the rear of the building, used for recreation, gardening, or relaxation. This space is exposed to outdoor environmental conditions and may include both open and covered areas.</t>
  </si>
  <si>
    <t>Transitional or entry spaces, such as mudrooms or attached outdoor platforms, designed to manage outdoor gear, dirt, and moisture. These areas often serve as a buffer between exterior and interior living spaces.</t>
  </si>
  <si>
    <t>A designated educational space within a school or similar academic institution utilized for formal teaching, learning, and group instruction.</t>
  </si>
  <si>
    <t>A private guest accommodation space within a hotel or lodging facility designed for temporary occupancy. This setting typically requires materials and finishes that are durable, easy to maintain, and suitable for high-traffic hospitality environments.</t>
  </si>
  <si>
    <t>An entry, reception, or waiting area located near the main entrance of a commercial, hospitality, or multi-residential building.</t>
  </si>
  <si>
    <t>An interior corridor or passageway within a building that serves as a route for circulation, typically connecting various rooms, entrances, or sections.</t>
  </si>
  <si>
    <t>A multifunctional space or workroom designed for creative production, such as art, photography, or music, as well as a compact residential unit where living and sleeping areas are combined into a single open-concept room.</t>
  </si>
  <si>
    <t>A classroom or studio environment dedicated to the instruction and practice of visual or fine arts, typically within an educational institution. These spaces are designed to support creative activities and may require durable surfaces suitable for artistic work.</t>
  </si>
  <si>
    <t>A kitchen located in a commercial or institutional setting, such as a restaurant, cafeteria, or catering facility. These environments are designed for high-volume food production and are typically subject to specific health, safety, and commercial building codes.</t>
  </si>
  <si>
    <t>United States</t>
  </si>
  <si>
    <t>Canada</t>
  </si>
  <si>
    <t>China</t>
  </si>
  <si>
    <t>Germany</t>
  </si>
  <si>
    <t>India</t>
  </si>
  <si>
    <t>Indonesia</t>
  </si>
  <si>
    <t>Italy</t>
  </si>
  <si>
    <t>Japan</t>
  </si>
  <si>
    <t>Mexico</t>
  </si>
  <si>
    <t>Vietnam</t>
  </si>
  <si>
    <t>United Kingdom</t>
  </si>
  <si>
    <t>Denmark</t>
  </si>
  <si>
    <t>France</t>
  </si>
  <si>
    <t>Sweden</t>
  </si>
  <si>
    <t>Spain</t>
  </si>
  <si>
    <t>Poland</t>
  </si>
  <si>
    <t>Turkey</t>
  </si>
  <si>
    <t>Nepal</t>
  </si>
  <si>
    <t>Iran, Islamic Republic of</t>
  </si>
  <si>
    <t>Uzbekistan</t>
  </si>
  <si>
    <t>Russian Federation</t>
  </si>
  <si>
    <t>Kazakhstan</t>
  </si>
  <si>
    <t>Tajikistan</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</si>
  <si>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</si>
  <si>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</si>
  <si>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</si>
  <si>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</si>
  <si>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</si>
  <si>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</si>
  <si>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</si>
  <si>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</si>
  <si>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</si>
  <si>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</si>
  <si>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</si>
  <si>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</si>
  <si>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</si>
  <si>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</si>
  <si>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</si>
  <si>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</si>
  <si>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</si>
  <si>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</si>
  <si>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</si>
  <si>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</si>
  <si>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</si>
  <si>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</si>
  <si>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</si>
  <si>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</si>
  <si>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</si>
  <si>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</si>
  <si>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</si>
  <si>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</si>
  <si>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</si>
  <si>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</si>
  <si>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</si>
  <si>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</si>
  <si>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</si>
  <si>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</si>
  <si>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</si>
  <si>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</si>
  <si>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</si>
  <si>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</si>
  <si>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</si>
  <si>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</si>
  <si>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</si>
  <si>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</si>
  <si>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</si>
  <si>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</si>
  <si>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</si>
  <si>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</si>
  <si>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</si>
  <si>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</si>
  <si>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</si>
  <si>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</si>
  <si>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</si>
  <si>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</si>
  <si>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</si>
  <si>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</si>
  <si>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</si>
  <si>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</si>
  <si>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</si>
  <si>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</si>
  <si>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</si>
  <si>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</si>
  <si>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</si>
  <si>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</si>
  <si>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</si>
  <si>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</si>
  <si>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</si>
  <si>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</si>
  <si>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</si>
  <si>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</si>
  <si>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</si>
  <si>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</si>
  <si>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French Guiana</t>
  </si>
  <si>
    <t>French Polynesia</t>
  </si>
  <si>
    <t>French Southern Territories</t>
  </si>
  <si>
    <t>Gabon</t>
  </si>
  <si>
    <t>Gambia</t>
  </si>
  <si>
    <t>Georgia</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</si>
  <si>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</si>
  <si>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</si>
  <si>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</si>
  <si>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</si>
  <si>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</si>
  <si>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</si>
  <si>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</si>
  <si>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</si>
  <si>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</si>
  <si>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</si>
  <si>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</si>
  <si>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</si>
  <si>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</si>
  <si>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</si>
  <si>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</si>
  <si>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</si>
  <si>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</si>
  <si>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</si>
  <si>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</si>
  <si>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Iraq</t>
  </si>
  <si>
    <t>Ireland</t>
  </si>
  <si>
    <t>Isle of Man</t>
  </si>
  <si>
    <t>Israel</t>
  </si>
  <si>
    <t>Jamaica</t>
  </si>
  <si>
    <t>Jersey</t>
  </si>
  <si>
    <t>Jordan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</si>
  <si>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</si>
  <si>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</si>
  <si>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</si>
  <si>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</si>
  <si>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</si>
  <si>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</si>
  <si>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</si>
  <si>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</si>
  <si>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</si>
  <si>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</si>
  <si>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</si>
  <si>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</si>
  <si>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</si>
  <si>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</si>
  <si>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</si>
  <si>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</si>
  <si>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</si>
  <si>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</si>
  <si>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</si>
  <si>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</si>
  <si>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</si>
  <si>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</si>
  <si>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</si>
  <si>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</si>
  <si>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</si>
  <si>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</si>
  <si>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</si>
  <si>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</si>
  <si>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Micronesia, Federated States of</t>
  </si>
  <si>
    <t>Moldova, Republic of</t>
  </si>
  <si>
    <t>Monaco</t>
  </si>
  <si>
    <t>Mongolia</t>
  </si>
  <si>
    <t>Montenegro</t>
  </si>
  <si>
    <t>Montserrat</t>
  </si>
  <si>
    <t>Morocco</t>
  </si>
  <si>
    <t>Mozambique</t>
  </si>
  <si>
    <t>Myanmar</t>
  </si>
  <si>
    <t>Namibia</t>
  </si>
  <si>
    <t>Nauru</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</si>
  <si>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</si>
  <si>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</si>
  <si>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</si>
  <si>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</si>
  <si>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</si>
  <si>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</si>
  <si>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</si>
  <si>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</si>
  <si>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</si>
  <si>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</si>
  <si>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</si>
  <si>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</si>
  <si>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</si>
  <si>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</si>
  <si>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</si>
  <si>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</si>
  <si>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</si>
  <si>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</si>
  <si>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</si>
  <si>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</si>
  <si>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</si>
  <si>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Portugal</t>
  </si>
  <si>
    <t>Puerto Rico</t>
  </si>
  <si>
    <t>Qatar</t>
  </si>
  <si>
    <t>Reunion</t>
  </si>
  <si>
    <t>Romania</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</si>
  <si>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</si>
  <si>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</si>
  <si>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</si>
  <si>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</si>
  <si>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</si>
  <si>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</si>
  <si>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</si>
  <si>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</si>
  <si>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</si>
  <si>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</si>
  <si>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</si>
  <si>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</si>
  <si>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</si>
  <si>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</si>
  <si>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</si>
  <si>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</si>
  <si>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</si>
  <si>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</si>
  <si>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</si>
  <si>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</si>
  <si>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</si>
  <si>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</si>
  <si>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</si>
  <si>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Sri Lanka</t>
  </si>
  <si>
    <t>Sudan</t>
  </si>
  <si>
    <t>Suriname</t>
  </si>
  <si>
    <t>Svalbard and Jan Mayen</t>
  </si>
  <si>
    <t>Swaziland</t>
  </si>
  <si>
    <t>Switzerland</t>
  </si>
  <si>
    <t>Syrian Arab Republic</t>
  </si>
  <si>
    <t>Taiwan</t>
  </si>
  <si>
    <t>Tanzania, United Republic of</t>
  </si>
  <si>
    <t>Thailand</t>
  </si>
  <si>
    <t>Timor-Leste</t>
  </si>
  <si>
    <t>Togo</t>
  </si>
  <si>
    <t>Tokelau</t>
  </si>
  <si>
    <t>Tonga</t>
  </si>
  <si>
    <t>Trinidad and Tobago</t>
  </si>
  <si>
    <t>Tunisia</t>
  </si>
  <si>
    <t>Turkmenistan</t>
  </si>
  <si>
    <t>Turks and Caicos Islands</t>
  </si>
  <si>
    <t>Tuvalu</t>
  </si>
  <si>
    <t>Uganda</t>
  </si>
  <si>
    <t>Ukraine</t>
  </si>
  <si>
    <t>United Arab Emirates</t>
  </si>
  <si>
    <t>United States Minor Outlying Islands</t>
  </si>
  <si>
    <t>Uruguay</t>
  </si>
  <si>
    <t>Vanuatu</t>
  </si>
  <si>
    <t>Venezuela</t>
  </si>
  <si>
    <t>Virgin Islands, British</t>
  </si>
  <si>
    <t>Virgin Islands, U.S.</t>
  </si>
  <si>
    <t>Wallis and Futuna</t>
  </si>
  <si>
    <t>Western Sahara</t>
  </si>
  <si>
    <t>Yemen</t>
  </si>
  <si>
    <t>Zambia</t>
  </si>
  <si>
    <t>Zimbabwe</t>
  </si>
  <si>
    <t>Kosovo</t>
  </si>
  <si>
    <t>A country in North America, officially known as the United States of America.</t>
  </si>
  <si>
    <t>A country in North America, officially known as Canada.</t>
  </si>
  <si>
    <t>A country in East Asia, officially known as the People's Republic of China.</t>
  </si>
  <si>
    <t>A country in Central Europe, officially known as the Federal Republic of Germany.</t>
  </si>
  <si>
    <t>A country in South Asia, officially known as the Republic of India.</t>
  </si>
  <si>
    <t>A country in Southeast Asia, officially known as the Republic of Indonesia.</t>
  </si>
  <si>
    <t>A country in Southern Europe, officially known as the Italian Republic.</t>
  </si>
  <si>
    <t>An island country in East Asia, officially known as Japan.</t>
  </si>
  <si>
    <t>A country in the southern portion of North America, officially known as the United Mexican States.</t>
  </si>
  <si>
    <t>A country in Southeast Asia, officially known as the Socialist Republic of Vietnam.</t>
  </si>
  <si>
    <t>A country in north-western Europe, officially known as the United Kingdom of Great Britain and Northern Ireland.</t>
  </si>
  <si>
    <t>A country in Northern Europe, officially known as the Kingdom of Denmark.</t>
  </si>
  <si>
    <t>A country in Western Europe, officially known as the French Republic.</t>
  </si>
  <si>
    <t>A country in Northern Europe, officially known as the Kingdom of Sweden.</t>
  </si>
  <si>
    <t>A country in Southwestern Europe, officially known as the Kingdom of Spain.</t>
  </si>
  <si>
    <t>A country in Central Europe, officially known as the Republic of Poland.</t>
  </si>
  <si>
    <t>A transcontinental country located mainly on the Anatolian Peninsula in Western Asia, officially known as the Republic of Turkey.</t>
  </si>
  <si>
    <t>A landlocked country in South Asia, officially known as Nepal.</t>
  </si>
  <si>
    <t>A country in Western Asia, officially known as the Islamic Republic of Iran.</t>
  </si>
  <si>
    <t>A country in Central Asia, officially known as the Republic of Uzbekistan.</t>
  </si>
  <si>
    <t>A country in Eastern Europe and Northern Asia, officially known as the Russian Federation.</t>
  </si>
  <si>
    <t>A country in Central Asia, officially known as the Republic of Kazakhstan.</t>
  </si>
  <si>
    <t>A landlocked country in Central Asia, officially known as the Republic of Tajikistan.</t>
  </si>
  <si>
    <t>A landlocked country located at the crossroads of Central and South Asia, officially known as the Islamic Republic of Afghanistan.</t>
  </si>
  <si>
    <t>An autonomous and demilitarized region of Finland, officially known as the Åland Islands.</t>
  </si>
  <si>
    <t>A country in southeastern Europe, officially known as the Republic of Albania.</t>
  </si>
  <si>
    <t>A country in North Africa, officially known as the People's Democratic Republic of Algeria.</t>
  </si>
  <si>
    <t>An unincorporated territory of the United States in the South Pacific Ocean, officially known as American Samoa.</t>
  </si>
  <si>
    <t>A small landlocked country in the Pyrenees mountains between France and Spain, officially known as the Principality of Andorra.</t>
  </si>
  <si>
    <t>A country on the west coast of Southern Africa, officially known as the Republic of Angola.</t>
  </si>
  <si>
    <t>A British Overseas Territory in the Caribbean, officially known as Anguilla.</t>
  </si>
  <si>
    <t>The southernmost continent on Earth, containing the geographic South Pole; not under the sovereignty of any country and governed by the Antarctic Treaty System.</t>
  </si>
  <si>
    <t>An island country in the Caribbean, officially known as Antigua and Barbuda.</t>
  </si>
  <si>
    <t>A country in South America, officially known as the Argentine Republic.</t>
  </si>
  <si>
    <t>A country in the South Caucasus region of Eurasia, officially known as the Republic of Armenia.</t>
  </si>
  <si>
    <t>A constituent country of the Kingdom of the Netherlands located in the southern Caribbean Sea, officially known as Aruba.</t>
  </si>
  <si>
    <t>A country in Oceania, officially known as the Commonwealth of Australia.</t>
  </si>
  <si>
    <t>A country in central Europe, officially known as the Republic of Austria.</t>
  </si>
  <si>
    <t>A country in the South Caucasus region of Eurasia, officially known as the Republic of Azerbaijan.</t>
  </si>
  <si>
    <t>An island country within the Lucayan Archipelago in the Atlantic, officially known as the Commonwealth of The Bahamas.</t>
  </si>
  <si>
    <t>A country in Western Asia, officially known as the Kingdom of Bahrain.</t>
  </si>
  <si>
    <t>A country in South Asia, officially known as the People's Republic of Bangladesh.</t>
  </si>
  <si>
    <t>An island country in the Caribbean, officially known as Barbados.</t>
  </si>
  <si>
    <t>A country in Eastern Europe, officially known as the Republic of Belarus.</t>
  </si>
  <si>
    <t>A country in Western Europe, officially known as the Kingdom of Belgium.</t>
  </si>
  <si>
    <t>A country located on the eastern coast of Central America, officially known as Belize.</t>
  </si>
  <si>
    <t>A country in West Africa, officially known as the Republic of Benin.</t>
  </si>
  <si>
    <t>A British Overseas Territory in the North Atlantic Ocean, officially known as Bermuda.</t>
  </si>
  <si>
    <t>A landlocked country in South Asia, officially known as the Kingdom of Bhutan.</t>
  </si>
  <si>
    <t>A country in West-Central South America, officially known as the Plurinational State of Bolivia.</t>
  </si>
  <si>
    <t>A country in Southeastern Europe, officially known as Bosnia and Herzegovina.</t>
  </si>
  <si>
    <t>A landlocked country in Southern Africa, officially known as the Republic of Botswana.</t>
  </si>
  <si>
    <t>A dependent island of Norway located in the South Atlantic Ocean, officially known as Bouvet Island.</t>
  </si>
  <si>
    <t>A country in South America, officially known as the Federative Republic of Brazil.</t>
  </si>
  <si>
    <t>A British Overseas Territory in the Indian Ocean, officially known as the British Indian Ocean Territory.</t>
  </si>
  <si>
    <t>A country in Southeast Asia, officially known as the Nation of Brunei, the Abode of Peace (Brunei Darussalam).</t>
  </si>
  <si>
    <t>A country in Southeastern Europe, officially known as the Republic of Bulgaria.</t>
  </si>
  <si>
    <t>A landlocked country in West Africa, officially known as Burkina Faso.</t>
  </si>
  <si>
    <t>A landlocked country in East Africa, officially known as the Republic of Burundi.</t>
  </si>
  <si>
    <t>A country in Southeast Asia, officially known as the Kingdom of Cambodia.</t>
  </si>
  <si>
    <t>A country in Central Africa, officially known as the Republic of Cameroon.</t>
  </si>
  <si>
    <t>An island country in the central Atlantic Ocean, officially known as the Republic of Cabo Verde.</t>
  </si>
  <si>
    <t>A British Overseas Territory in the western Caribbean Sea, officially known as the Cayman Islands.</t>
  </si>
  <si>
    <t>A landlocked country in Central Africa, officially known as the Central African Republic.</t>
  </si>
  <si>
    <t>A landlocked country in north-central Africa, officially known as the Republic of Chad.</t>
  </si>
  <si>
    <t>A country on the western edge of South America, officially known as the Republic of Chile.</t>
  </si>
  <si>
    <t>An Australian external territory in the Indian Ocean, officially known as Christmas Island.</t>
  </si>
  <si>
    <t>An Australian external territory in the Indian Ocean, officially known as the Territory of Cocos (Keeling) Islands.</t>
  </si>
  <si>
    <t>A country in South America, officially known as the Republic of Colombia.</t>
  </si>
  <si>
    <t>An island country in the Indian Ocean, officially known as the Union of the Comoros.</t>
  </si>
  <si>
    <t>A country in Central Africa, officially known as the Republic of the Congo.</t>
  </si>
  <si>
    <t>A country in Central Africa, officially known as the Democratic Republic of the Congo.</t>
  </si>
  <si>
    <t>A self-governing territory in free association with New Zealand, officially known as the Cook Islands.</t>
  </si>
  <si>
    <t>A country in Central America, officially known as the Republic of Costa Rica.</t>
  </si>
  <si>
    <t>A country in West Africa, commonly known as Côte d'Ivoire, officially the Republic of Côte d'Ivoire (Ivory Coast).</t>
  </si>
  <si>
    <t>A country in southeast Europe, officially known as the Republic of Croatia.</t>
  </si>
  <si>
    <t>An island country in the Caribbean, officially known as the Republic of Cuba.</t>
  </si>
  <si>
    <t>An island country in the Eastern Mediterranean, officially known as the Republic of Cyprus.</t>
  </si>
  <si>
    <t>A country in Central Europe, officially known as the Czech Republic or Czechia.</t>
  </si>
  <si>
    <t>A country in the Horn of Africa, officially known as the Republic of Djibouti.</t>
  </si>
  <si>
    <t>An island country in the Caribbean, officially known as the Commonwealth of Dominica.</t>
  </si>
  <si>
    <t>A country on the island of Hispaniola in the Caribbean region, officially known as the Dominican Republic.</t>
  </si>
  <si>
    <t>A country on the northwest coast of South America, officially known as the Republic of Ecuador.</t>
  </si>
  <si>
    <t>A country in North Africa, officially known as the Arab Republic of Egypt.</t>
  </si>
  <si>
    <t>A country in Central America, officially known as the Republic of El Salvador.</t>
  </si>
  <si>
    <t>A country on the west coast of Central Africa, officially known as the Republic of Equatorial Guinea.</t>
  </si>
  <si>
    <t>A country in the Horn of Africa, officially known as the State of Eritrea.</t>
  </si>
  <si>
    <t>A country in Northern Europe, officially known as the Republic of Estonia.</t>
  </si>
  <si>
    <t>A country located in the Horn of Africa, officially known as the Federal Democratic Republic of Ethiopia.</t>
  </si>
  <si>
    <t>A British Overseas Territory in the South Atlantic Ocean, officially known as the Falkland Islands (Malvinas).</t>
  </si>
  <si>
    <t>An autonomous territory within the Kingdom of Denmark, located in the North Atlantic Ocean.</t>
  </si>
  <si>
    <t>An island country in the South Pacific, officially known as the Republic of Fiji.</t>
  </si>
  <si>
    <t>A country in Northern Europe, officially known as the Republic of Finland.</t>
  </si>
  <si>
    <t>An overseas department of France located on the northern coast of South America.</t>
  </si>
  <si>
    <t>An overseas collectivity of France in the South Pacific, officially known as French Polynesia.</t>
  </si>
  <si>
    <t>French Southern and Antarctic Lands (TAAF), an overseas territory of France consisting of islands and territories in the southern Indian Ocean.</t>
  </si>
  <si>
    <t>A country on the west coast of Central Africa, officially known as the Gabonese Republic.</t>
  </si>
  <si>
    <t>A country in West Africa, officially known as the Republic of The Gambia.</t>
  </si>
  <si>
    <t>A country at the intersection of Europe and Asia, officially known as Georgia.</t>
  </si>
  <si>
    <t>A country in West Africa, officially known as the Republic of Ghana.</t>
  </si>
  <si>
    <t>A British Overseas Territory located on the southern coast of the Iberian Peninsula, officially known as Gibraltar.</t>
  </si>
  <si>
    <t>A country located in southeastern Europe, officially known as the Hellenic Republic (Greece).</t>
  </si>
  <si>
    <t>An autonomous territory within the Kingdom of Denmark, located between the Arctic and Atlantic Oceans, known as Greenland.</t>
  </si>
  <si>
    <t>An island country in the Caribbean, officially known as Grenada.</t>
  </si>
  <si>
    <t>An overseas region of France located in the Caribbean.</t>
  </si>
  <si>
    <t>An unincorporated and organized territory of the United States in the western Pacific Ocean.</t>
  </si>
  <si>
    <t>A country in Central America, officially known as the Republic of Guatemala.</t>
  </si>
  <si>
    <t>A British Crown dependency located in the English Channel, considered a separate jurisdiction from the United Kingdom.</t>
  </si>
  <si>
    <t>A country in West Africa, officially known as the Republic of Guinea.</t>
  </si>
  <si>
    <t>A country in West Africa, officially known as the Republic of Guinea-Bissau.</t>
  </si>
  <si>
    <t>A country on the northern mainland of South America, officially known as the Cooperative Republic of Guyana.</t>
  </si>
  <si>
    <t>A country in the Caribbean, officially known as the Republic of Haiti.</t>
  </si>
  <si>
    <t>An Australian external territory in the southern Indian Ocean, consisting of Heard Island and McDonald Islands; uninhabited.</t>
  </si>
  <si>
    <t>A sovereign city-state and the headquarters of the Roman Catholic Church, officially known as Vatican City State (Holy See).</t>
  </si>
  <si>
    <t>A country in Central America, officially known as the Republic of Honduras.</t>
  </si>
  <si>
    <t>A Special Administrative Region of China, officially known as Hong Kong SAR.</t>
  </si>
  <si>
    <t>A country in Central Europe, officially known as Hungary.</t>
  </si>
  <si>
    <t>An island country in the North Atlantic, officially known as Iceland.</t>
  </si>
  <si>
    <t>A country in Western Asia, officially known as the Republic of Iraq.</t>
  </si>
  <si>
    <t>A country in north-western Europe, occupying most of the island of Ireland.</t>
  </si>
  <si>
    <t>A British Crown dependency located in the Irish Sea between Great Britain and Ireland, considered separate from the United Kingdom.</t>
  </si>
  <si>
    <t>A country in the Middle East, officially known as the State of Israel.</t>
  </si>
  <si>
    <t>An island country in the Caribbean Sea, officially known as Jamaica.</t>
  </si>
  <si>
    <t>A British Crown dependency located in the English Channel, considered separate from the United Kingdom.</t>
  </si>
  <si>
    <t>A country in Western Asia, officially known as the Hashemite Kingdom of Jordan.</t>
  </si>
  <si>
    <t>A country in East Africa, officially known as the Republic of Kenya.</t>
  </si>
  <si>
    <t>An island country in the central Pacific Ocean, officially known as the Republic of Kiribati.</t>
  </si>
  <si>
    <t>A country in East Asia, officially known as the Democratic People's Republic of Korea or North Korea.</t>
  </si>
  <si>
    <t>A country in East Asia, officially known as the Republic of Korea or South Korea.</t>
  </si>
  <si>
    <t>A country in Western Asia, officially known as the State of Kuwait.</t>
  </si>
  <si>
    <t>A landlocked country in Central Asia, officially known as the Kyrgyz Republic or Kyrgyzstan.</t>
  </si>
  <si>
    <t>A country in Southeast Asia, officially known as the Lao People's Democratic Republic.</t>
  </si>
  <si>
    <t>A country in the Baltic region of Northern Europe, officially known as the Republic of Latvia.</t>
  </si>
  <si>
    <t>A country in Western Asia, officially known as the Lebanese Republic.</t>
  </si>
  <si>
    <t>A landlocked country in Southern Africa, officially known as the Kingdom of Lesotho.</t>
  </si>
  <si>
    <t>A country on the west coast of Africa, officially known as the Republic of Liberia.</t>
  </si>
  <si>
    <t>A country in North Africa, officially known as Libya (Libyan Arab Jamahiriya being a former official name).</t>
  </si>
  <si>
    <t>A country in Central Europe, officially known as the Principality of Liechtenstein.</t>
  </si>
  <si>
    <t>A country in the Baltic region of Europe, officially known as the Republic of Lithuania.</t>
  </si>
  <si>
    <t>A country in Western Europe, officially known as the Grand Duchy of Luxembourg.</t>
  </si>
  <si>
    <t>A Special Administrative Region of China, officially known as Macao SAR.</t>
  </si>
  <si>
    <t>A country in Southeast Europe, officially known as the Republic of North Macedonia; previously referred to in international agreements as the former Yugoslav Republic of Macedonia.</t>
  </si>
  <si>
    <t>An island country in the Indian Ocean, officially known as the Republic of Madagascar.</t>
  </si>
  <si>
    <t>A landlocked country in southeastern Africa, officially known as the Republic of Malawi.</t>
  </si>
  <si>
    <t>A country in Southeast Asia, officially known as Malaysia.</t>
  </si>
  <si>
    <t>An island country in South Asia, officially known as the Republic of Maldives.</t>
  </si>
  <si>
    <t>A landlocked country in West Africa, officially known as the Republic of Mali.</t>
  </si>
  <si>
    <t>An island country in the Mediterranean Sea, officially known as the Republic of Malta.</t>
  </si>
  <si>
    <t>An island country in the central Pacific Ocean, officially known as the Republic of the Marshall Islands.</t>
  </si>
  <si>
    <t>An overseas territorial collectivity of France located in the Caribbean, officially known as Martinique.</t>
  </si>
  <si>
    <t>A country in Northwest Africa, officially known as the Islamic Republic of Mauritania.</t>
  </si>
  <si>
    <t>An island country in the Indian Ocean, officially known as the Republic of Mauritius.</t>
  </si>
  <si>
    <t>An overseas department and region of France consisting of one main island in the Indian Ocean, officially known as Mayotte.</t>
  </si>
  <si>
    <t>An island country in the western Pacific Ocean, officially known as the Federated States of Micronesia.</t>
  </si>
  <si>
    <t>A country in Eastern Europe, officially known as the Republic of Moldova.</t>
  </si>
  <si>
    <t>A sovereign city-state on the French Riviera in Western Europe, officially known as the Principality of Monaco.</t>
  </si>
  <si>
    <t>A landlocked country in East and Central Asia, officially known as Mongolia.</t>
  </si>
  <si>
    <t>A country in Southeastern Europe, officially known as Montenegro.</t>
  </si>
  <si>
    <t>A British Overseas Territory in the Caribbean, officially known as Montserrat.</t>
  </si>
  <si>
    <t>A country in North Africa, officially known as the Kingdom of Morocco.</t>
  </si>
  <si>
    <t>A country in Southeast Africa, officially known as the Republic of Mozambique.</t>
  </si>
  <si>
    <t>A country in Southeast Asia, officially known as the Republic of the Union of Myanmar.</t>
  </si>
  <si>
    <t>A country in southern Africa, officially known as the Republic of Namibia.</t>
  </si>
  <si>
    <t>A small island country in Micronesia, northeast of Australia, officially known as the Republic of Nauru.</t>
  </si>
  <si>
    <t>A country in Western Europe, officially known as the Kingdom of the Netherlands.</t>
  </si>
  <si>
    <t>A former autonomous Caribbean country within the Kingdom of the Netherlands, dissolved in 2010. Its territories are now special municipalities or constituent countries within the Kingdom.</t>
  </si>
  <si>
    <t>A special collectivity of France comprising dozens of islands in the South Pacific.</t>
  </si>
  <si>
    <t>An island country in the southwestern Pacific Ocean, officially known as New Zealand.</t>
  </si>
  <si>
    <t>A country in Central America, officially known as the Republic of Nicaragua.</t>
  </si>
  <si>
    <t>A landlocked country in West Africa, officially known as the Republic of Niger.</t>
  </si>
  <si>
    <t>A country in West Africa, officially known as the Federal Republic of Nigeria.</t>
  </si>
  <si>
    <t>An island country in the South Pacific Ocean, officially known as Niue, in free association with New Zealand.</t>
  </si>
  <si>
    <t>An external territory of Australia located in the Pacific Ocean, officially known as Norfolk Island.</t>
  </si>
  <si>
    <t>A commonwealth of the United States and group of islands in the northwestern Pacific Ocean, with political status as an unincorporated and organized territory.</t>
  </si>
  <si>
    <t>A country in Northern Europe, officially known as the Kingdom of Norway.</t>
  </si>
  <si>
    <t>A country on the southeastern coast of the Arabian Peninsula, officially known as the Sultanate of Oman.</t>
  </si>
  <si>
    <t>A country in South Asia, officially known as the Islamic Republic of Pakistan.</t>
  </si>
  <si>
    <t>An island country in the western Pacific Ocean, officially known as the Republic of Palau.</t>
  </si>
  <si>
    <t>A territory in the Middle East recognized by the United Nations as the Occupied Palestinian Territory, comprising the West Bank and Gaza Strip.</t>
  </si>
  <si>
    <t>A country in Central America, officially known as the Republic of Panama.</t>
  </si>
  <si>
    <t>A country in Oceania, officially known as the Independent State of Papua New Guinea.</t>
  </si>
  <si>
    <t>A country in South America, officially known as the Republic of Paraguay.</t>
  </si>
  <si>
    <t>A country in western South America, officially known as the Republic of Peru.</t>
  </si>
  <si>
    <t>An island country in Southeast Asia in the western Pacific Ocean, officially known as the Republic of the Philippines.</t>
  </si>
  <si>
    <t>A British Overseas Territory in the southern Pacific Ocean comprising four volcanic islands; the only inhabited island is Pitcairn.</t>
  </si>
  <si>
    <t>A country in southwestern Europe, officially known as the Portuguese Republic.</t>
  </si>
  <si>
    <t>An unincorporated territory of the United States located in the Caribbean, officially known as the Commonwealth of Puerto Rico.</t>
  </si>
  <si>
    <t>A country on the Arabian Peninsula in Western Asia, officially known as the State of Qatar.</t>
  </si>
  <si>
    <t>An overseas department and region of France located in the Indian Ocean, east of Madagascar.</t>
  </si>
  <si>
    <t>A country in southeastern Europe, officially known as Romania.</t>
  </si>
  <si>
    <t>A landlocked country in East-Central Africa, officially known as the Republic of Rwanda.</t>
  </si>
  <si>
    <t>A French overseas collectivity located in the Caribbean, officially known as Saint Barthélemy.</t>
  </si>
  <si>
    <t>A British Overseas Territory in the South Atlantic Ocean, officially known as Saint Helena, Ascension and Tristan da Cunha.</t>
  </si>
  <si>
    <t>An island country in the Caribbean, officially known as the Federation of Saint Kitts and Nevis.</t>
  </si>
  <si>
    <t>An island country in the Caribbean Sea, officially known as Saint Lucia.</t>
  </si>
  <si>
    <t>A French overseas collectivity located in the Caribbean, officially known as Saint Martin.</t>
  </si>
  <si>
    <t>A self-governing territorial overseas collectivity of France in the northwestern Atlantic Ocean, officially known as Saint Pierre and Miquelon.</t>
  </si>
  <si>
    <t>An island country in the Caribbean, officially known as Saint Vincent and the Grenadines.</t>
  </si>
  <si>
    <t>An island country in the South Pacific Ocean, officially known as the Independent State of Samoa.</t>
  </si>
  <si>
    <t>A microstate surrounded by Italy, officially known as the Republic of San Marino.</t>
  </si>
  <si>
    <t>An island country in the Gulf of Guinea, Central Africa, officially known as the Democratic Republic of São Tomé and Príncipe.</t>
  </si>
  <si>
    <t>A country in Western Asia, officially known as the Kingdom of Saudi Arabia.</t>
  </si>
  <si>
    <t>A country located on the west coast of Africa, officially known as the Republic of Senegal.</t>
  </si>
  <si>
    <t>A country in Southeast Europe, officially known as the Republic of Serbia.</t>
  </si>
  <si>
    <t>An archipelago and country consisting of 115 islands in the Indian Ocean, officially known as the Republic of Seychelles.</t>
  </si>
  <si>
    <t>A country on the southwest coast of West Africa, officially known as the Republic of Sierra Leone.</t>
  </si>
  <si>
    <t>A sovereign city-state and island country in Southeast Asia, officially known as Singapore.</t>
  </si>
  <si>
    <t>A landlocked country in Central Europe, officially known as the Slovak Republic or Slovakia.</t>
  </si>
  <si>
    <t>A country in Southern Europe, officially known as the Republic of Slovenia.</t>
  </si>
  <si>
    <t>An island country in Oceania, officially known as the Solomon Islands.</t>
  </si>
  <si>
    <t>A country in the Horn of Africa, officially known as the Federal Republic of Somalia.</t>
  </si>
  <si>
    <t>A country located at the southern tip of Africa, officially known as the Republic of South Africa.</t>
  </si>
  <si>
    <t>A British Overseas Territory in the southern Atlantic Ocean comprising South Georgia and the South Sandwich Islands.</t>
  </si>
  <si>
    <t>An island country in South Asia, officially known as the Democratic Socialist Republic of Sri Lanka.</t>
  </si>
  <si>
    <t>A country in Northeast Africa, officially known as the Republic of the Sudan.</t>
  </si>
  <si>
    <t>A country on the northeastern Atlantic coast of South America, officially known as the Republic of Suriname.</t>
  </si>
  <si>
    <t>Two territories under Norwegian sovereignty in the Arctic Ocean: Svalbard archipelago and Jan Mayen island.</t>
  </si>
  <si>
    <t>A country in Southern Africa, officially known as the Kingdom of Eswatini (formerly Swaziland).</t>
  </si>
  <si>
    <t>A landlocked country in Central Europe, officially known as the Swiss Confederation.</t>
  </si>
  <si>
    <t>A country in Western Asia, officially known as the Syrian Arab Republic.</t>
  </si>
  <si>
    <t>A self-governing island in East Asia, officially known as the Republic of China (Taiwan); claimed by the People's Republic of China.</t>
  </si>
  <si>
    <t>A country in East Africa, officially known as the United Republic of Tanzania.</t>
  </si>
  <si>
    <t>A country in Southeast Asia, officially known as the Kingdom of Thailand.</t>
  </si>
  <si>
    <t>A country in Southeast Asia, officially known as the Democratic Republic of Timor-Leste.</t>
  </si>
  <si>
    <t>A country in West Africa, officially known as the Togolese Republic.</t>
  </si>
  <si>
    <t>A dependent territory of New Zealand in the southern Pacific Ocean, officially known as Tokelau.</t>
  </si>
  <si>
    <t>A Polynesian kingdom in the South Pacific, officially known as the Kingdom of Tonga.</t>
  </si>
  <si>
    <t>An island country in the Caribbean, officially known as the Republic of Trinidad and Tobago.</t>
  </si>
  <si>
    <t>A country in North Africa, officially known as the Republic of Tunisia.</t>
  </si>
  <si>
    <t>A country in Central Asia, officially known as Turkmenistan.</t>
  </si>
  <si>
    <t>A British Overseas Territory in the Atlantic Ocean, officially known as the Turks and Caicos Islands.</t>
  </si>
  <si>
    <t>An island country in the Pacific Ocean, officially known as Tuvalu.</t>
  </si>
  <si>
    <t>A landlocked country in East Africa, officially known as the Republic of Uganda.</t>
  </si>
  <si>
    <t>A country in Eastern Europe, officially known as Ukraine.</t>
  </si>
  <si>
    <t>A country in Western Asia, officially known as the United Arab Emirates.</t>
  </si>
  <si>
    <t>A group of unincorporated United States islands and atolls in the Pacific Ocean, officially known as the United States Minor Outlying Islands.</t>
  </si>
  <si>
    <t>A country in South America, officially known as the Oriental Republic of Uruguay.</t>
  </si>
  <si>
    <t>A Pacific island country in Oceania, officially known as the Republic of Vanuatu.</t>
  </si>
  <si>
    <t>A country located on the northern coast of South America, officially known as the Bolivarian Republic of Venezuela.</t>
  </si>
  <si>
    <t>A British Overseas Territory in the Caribbean, officially known as the Virgin Islands, British.</t>
  </si>
  <si>
    <t>An unincorporated territory of the United States in the Caribbean, officially known as the United States Virgin Islands.</t>
  </si>
  <si>
    <t>A French overseas collectivity in the South Pacific comprising three main volcanic tropical islands and several islets.</t>
  </si>
  <si>
    <t>A disputed territory in North Africa, known as Western Sahara, with an unresolved legal status.</t>
  </si>
  <si>
    <t>A country in Western Asia, officially known as the Republic of Yemen.</t>
  </si>
  <si>
    <t>A landlocked country in southern Africa, officially known as the Republic of Zambia.</t>
  </si>
  <si>
    <t>A landlocked country in southern Africa, officially known as the Republic of Zimbabwe.</t>
  </si>
  <si>
    <t>A partially recognized country in Southeast Europe, officially referred to as the Republic of Kosovo.</t>
  </si>
  <si>
    <t>Birthday</t>
  </si>
  <si>
    <t>Graduation</t>
  </si>
  <si>
    <t>Wedding</t>
  </si>
  <si>
    <t>Valentine's Day</t>
  </si>
  <si>
    <t>St. Patrick's Day</t>
  </si>
  <si>
    <t>Passover</t>
  </si>
  <si>
    <t>Easter</t>
  </si>
  <si>
    <t>Mother's Day</t>
  </si>
  <si>
    <t>Father's Day</t>
  </si>
  <si>
    <t>Independence Day</t>
  </si>
  <si>
    <t>Halloween</t>
  </si>
  <si>
    <t>Thanksgiving</t>
  </si>
  <si>
    <t>Hanukkah</t>
  </si>
  <si>
    <t>Christmas</t>
  </si>
  <si>
    <t>Kwanzaa</t>
  </si>
  <si>
    <t>New Year's</t>
  </si>
  <si>
    <t>New Baby</t>
  </si>
  <si>
    <t>No Holiday</t>
  </si>
  <si>
    <t>Day of the Dead</t>
  </si>
  <si>
    <t>Cinco de Mayo</t>
  </si>
  <si>
    <t>Mardi Gras</t>
  </si>
  <si>
    <t>Shabbat</t>
  </si>
  <si>
    <t>Retirement</t>
  </si>
  <si>
    <t>Bar and Bat Mitzvah</t>
  </si>
  <si>
    <t>Rosh Hashanah</t>
  </si>
  <si>
    <t>Baptism</t>
  </si>
  <si>
    <t>Features explicit Birthday-specific imagery, motifs (e.g., balloons, cakes, candles, party hats), or phrases (e.g., 'Birthday,' 'Happy Birthday'). Exclude generic celebratory motifs without explicit reference to a birthday.</t>
  </si>
  <si>
    <t>Applies to products featuring Graduation-specific motifs (e.g., cap, diploma, gown) or explicit phrases (e.g., "Graduation", "Class of XXXX (year)"). Exclude generic celebratory items without a direct graduation reference.</t>
  </si>
  <si>
    <t>Products featuring explicit Wedding or Engagement themes, including iconography (diamond rings, two gold rings, wedding attire) or phrases such as "His &amp; Hers," "Mr &amp; Mrs," "Bride &amp; Groom," "Newlyweds," "Vows," or wedding party roles.</t>
  </si>
  <si>
    <t>Applies to products featuring explicit Valentine's Day shapes or phrases. Shapes include hearts, cupid, and lips. Phrases include "Valentine", "Happy Valentine's Day", "Be Mine", "Love is in the Air", "I Love You", and "XO".</t>
  </si>
  <si>
    <t>Requires St. Patrick's Day-specific imagery (leprechauns, shamrocks/clovers, pots of gold with or without rainbows) or phrases ("St. Patrick's Day," "Happy St. Patrick's Day," "Lucky") to be present as the product's shape, print, or text.</t>
  </si>
  <si>
    <t>Applies to products featuring Passover-specific motifs, shapes, or phrases. Motifs include Seder Plates and Matzah; phrases include "Passover," "Happy Pesach," and "Seder." Only use for genuine Passover themes; exclude generic Judaica or non-specific seasonal designs.</t>
  </si>
  <si>
    <t>For products whose design, shape, print, or text features explicit Easter-specific elements. This includes motifs such as bunnies, eggs, chicks, flowers, crosses, and phrases like "Easter" or "Happy Easter." Do not apply to generic spring or floral motifs without a direct Easter reference.</t>
  </si>
  <si>
    <t>Products explicitly themed for Mother's Day, featuring phrases such as "Mom", "Mother", "Mommy", "Happy Mother's Day", "Best Mom", or "I Love You Mom". The product's primary theme or message must clearly associate with celebrating or honoring mothers on this specific occasion.</t>
  </si>
  <si>
    <t>Applies to products explicitly themed for Father's Day, featuring phrases like "Dad", "Father", "Happy Father's Day", "Best Dad", or "#1 Dad". Exclude generic masculine or family-related products unless the Father's Day occasion is clearly referenced.</t>
  </si>
  <si>
    <t>Products explicitly referencing Independence Day or 4th of July through shape, printed objects, or words. Themed objects include American Flags, Stars &amp; Stripes, and fireworks. Phrases include "Independence Day", "4th of July", "Fourth of July", "USA", "America", "God Bless America", and "Freedom"</t>
  </si>
  <si>
    <t>Products featuring Halloween-themed motifs, object shapes, or text. Motifs include jack-o-lanterns, skeletons, ghosts, spiders and webs, bats, black cats, witches, monsters, and candy corn. Phrases include "Halloween," "Happy Halloween," "Boo," and "Trick or Treat!".</t>
  </si>
  <si>
    <t>The product features motifs (e.g., turkeys, pilgrims, pumpkins/squash, harvest imagery) or phrases (e.g., "Thanksgiving," "Happy Turkey Day," "Thankful") explicitly associated with the Thanksgiving holiday. Do not use for generic autumn or harvest decor lacking explicit Thanksgiving reference.</t>
  </si>
  <si>
    <t>Product features an explicit Hanukkah motif, shape, or phrase. Qualifying imagery includes Menorah (9 candle holder), Dreidel, and Star of David. Qualifying phrases include "Hanukkah" and "Happy Hanukkah." Do not use for generic blue/white color schemes or stars unless Hanukkah is clearly referenced by text or symbol.</t>
  </si>
  <si>
    <t>Applies if the product's shape, printed design, or contained words/phrases are explicitly Christmas-themed. Examples of motifs include Christmas trees, Santa Claus, ornaments, reindeer, and related phrases. Exclude generic winter or seasonal themes lacking a direct Christmas reference.</t>
  </si>
  <si>
    <t>Applies to products in the shape of or featuring a printed motif or text related to Kwanzaa. Core symbols include the Kinara (seven-candle holder), Unity Cup, and the Pan-African colors (red, black, green). The design or phrase must explicitly reference Kwanzaa.</t>
  </si>
  <si>
    <t>Products designed or labeled for New Year's celebrations. Theme includes phrases like "Happy New Year," "Ring in the New Year," "New Year's Eve," or "Happy XXXX (year)," and motifs such as clocks striking midnight, fireworks, confetti, or champagne glasses. Exclude generic party themes without an explicit New Year's reference.</t>
  </si>
  <si>
    <t>Products themed for celebrating the arrival of a newborn. This includes explicit phrases such as 'It's a Girl,' 'It's a Boy,' or 'Welcome Baby,' and symbolic motifs like storks, baby bottles, rattles, pacifiers, or footprints. Do not use for generic baby items or products that only feature pastel colors without explicit New Baby icons or wording.</t>
  </si>
  <si>
    <t>For products with no theme, motif, symbol, or design element explicitly tied to a specific holiday or occasion. This value applies when there is an absence of all holiday-specific references, language, or colors.</t>
  </si>
  <si>
    <t>Design or text specifically celebrating Day of the Dead (Día de los Muertos or All Souls' Day). Acceptable motifs include decorated sugar skulls (calaveras), marigold flowers, candles, and pan de muerto. Exclude products related to Halloween or generic spooky themes.</t>
  </si>
  <si>
    <t>Intended for Cinco de Mayo celebrations. Applies to products featuring specific holiday motifs (Mexican flag, piñatas, cacti, sombreros, maracas, tacos, margaritas) or phrases ("Cinco de Mayo," "Fiesta")</t>
  </si>
  <si>
    <t>Intended for Mardi Gras celebrations, featuring the traditional colors (purple, green, gold), phrases (e.g., "Mardi Gras," "Fat Tuesday," "laissez les bons temps rouler"), or shapes (e.g., fleur de lis, masks, coins) associated with the holiday.</t>
  </si>
  <si>
    <t>The Jewish Sabbath, observed weekly from Friday evening to Saturday evening. Applies to products featuring explicit Shabbat themes, phrases such as "Shabbat Shalom," or imagery related to core rituals like candle lighting, challah bread, and Kiddush cups, distinct from generic Jewish symbols.</t>
  </si>
  <si>
    <t>The product's theme or design is explicitly related to the retirement milestone or celebration. This includes messages (e.g., 'Happy Retirement') and imagery symbolizing the transition from work to leisure or a new life chapter.</t>
  </si>
  <si>
    <t>This is for products themed, designed, or explicitly associated with the Jewish coming-of-age ceremonies (Bar Mitzvah/Bat Mitzvah). Indicators include phrases such as 'Mazel Tov,' 'Bar Mitzvah,' 'Bat Mitzvah,' and traditional Jewish symbols like the Star of David or Torah scrolls. Apply only to items clearly referencing this specific rite of passage, not generic Jewish or celebratory themes.</t>
  </si>
  <si>
    <t>The product is themed for Rosh Hashanah, the Jewish New Year, if it features associated imagery, symbols, or phrases. Common motifs include the shofar (ram's horn), apples, honey, pomegranates, or greetings like "Shana Tova." Exclude products with only generic fruit, fall, or New Year's themes without explicit holiday reference.</t>
  </si>
  <si>
    <t>Themed around or commemorating the religious rite of Baptism or Christening. This includes products featuring associated symbols (e.g., crosses, doves, water, fonts) or explicit text/phrases such as "Baptism," "Christening," "Blessed," or "God Bless."</t>
  </si>
  <si>
    <t>Made in USA</t>
  </si>
  <si>
    <t>Made in USA of Imported Materials</t>
  </si>
  <si>
    <t>Product of Canada</t>
  </si>
  <si>
    <t>Made In Canada</t>
  </si>
  <si>
    <t>Use this tag value only if the product's final assembly or processing, all significant processing, and all or virtually all ingredients or components are made and sourced in the United States (including the 50 states, D.C., and U.S. territories and possessions) with no or negligible foreign content. The claim should meet the FTC's 'all or virtually all' standard for an unqualified 'Made in USA' representation. Marketers must have substantiation for the claim and should not use it for products with any significant foreign parts, processing, or content. Reference: FTC Made in USA Labeling Rule.</t>
  </si>
  <si>
    <t>Use this tag value if the product's final assembly or processing takes place in the U.S., but significant components or materials are imported, and the claim meets the FTC requirements for a qualified 'Made in USA' statement. The claim must specify that while some U.S. content or processing is present, the product does not meet the 'all or virtually all' threshold required for an unqualified claim. For example: 'Made in USA of U.S. and imported parts.' This claim must be truthful, substantiated, and not likely to mislead consumers regarding the amount or importance of U.S. content. Reference: FTC guidance on qualified Made in USA claims.</t>
  </si>
  <si>
    <t>Use this value if the last substantial transformation of the product occurred in Canada and at least 98% of the total direct costs of producing or manufacturing the goods are Canadian. This is a stricter claim than 'Made in Canada.' Ensure labeling and advertising adhere to Canadian regulations. See https://www.competitionbureau.gc.ca/eic/site/cb-bc.nsf/eng/02228.html.</t>
  </si>
  <si>
    <t>Use this designation if the last substantial transformation of the product occurred in Canada; at least 51% of the total direct costs of producing or manufacturing the goods are Canadian; and the representation is accompanied by an appropriate qualifying statement (such as 'with imported parts').</t>
  </si>
  <si>
    <t>The product is certified or confirmed to be 100% BPA-free, indicating that it does not contain Bisphenol A (BPA) in any material or component. This applies to all surfaces, particularly those intended for contact with food or beverages, to ensure safety and regulatory compliance.</t>
  </si>
  <si>
    <t>Indicates that the specified feature, characteristic, component, compliance standard, or certification does not apply to or is not present on the item.</t>
  </si>
  <si>
    <t>Sports Teams</t>
  </si>
  <si>
    <t>Celebrities</t>
  </si>
  <si>
    <t>Entertainment/Characters</t>
  </si>
  <si>
    <t>Corporate Brands</t>
  </si>
  <si>
    <t>Fashion Brands</t>
  </si>
  <si>
    <t>Products officially licensed by sports teams or leagues. Licensees have rights to use the team’s name, logo, mascot, or related intellectual property on fan merchandise such as apparel, home décor, memorabilia, or collectibles. Examples include ceiling fans featuring official team logos and colors.</t>
  </si>
  <si>
    <t>Products that carry the image, name, signature, or other intellectual property of a celebrity or public figure, produced under an official licensing agreement. Includes items endorsed by or co-created with celebrities.</t>
  </si>
  <si>
    <t>Merchandise featuring intellectual property from entertainment properties such as movies, TV shows, comic books, or video games, including characters, logos, or artwork, licensed by the property owner. Examples include superhero, film franchise, or cartoon character products.</t>
  </si>
  <si>
    <t>Products officially licensed by corporations or well-known commercial brands. This category covers merchandise using brand names, trademarks, or logos of established companies for product collaborations, extensions, or co-branding.</t>
  </si>
  <si>
    <t>Products that are officially licensed by fashion brands or designers, where the licensee has rights to use the brand’s identity, logo, or signature designs. This can include collaborations in apparel, footwear, accessories, and related merchandise.</t>
  </si>
  <si>
    <t>Mold / Mildew Resistant</t>
  </si>
  <si>
    <t>Water Resistant</t>
  </si>
  <si>
    <t>No Durability Features</t>
  </si>
  <si>
    <t>Fade Resistant</t>
  </si>
  <si>
    <t>Heat Resistant</t>
  </si>
  <si>
    <t>Stain Resistant</t>
  </si>
  <si>
    <t>Tip Resistant</t>
  </si>
  <si>
    <t>Waterproof</t>
  </si>
  <si>
    <t>Shatter Resistant</t>
  </si>
  <si>
    <t>Weather Resistant</t>
  </si>
  <si>
    <t>Rust Resistant</t>
  </si>
  <si>
    <t>Anodic Protection</t>
  </si>
  <si>
    <t>Predator Resistant</t>
  </si>
  <si>
    <t>Drill Resistant</t>
  </si>
  <si>
    <t>Condensation Free</t>
  </si>
  <si>
    <t>Antimicrobial</t>
  </si>
  <si>
    <t>Pry Resistant</t>
  </si>
  <si>
    <t>Fray Resistant</t>
  </si>
  <si>
    <t>Non-Staining</t>
  </si>
  <si>
    <t>Made from materials or treated to inhibit the growth of mold and mildew, maintaining appearance, hygiene, and durability when exposed to moisture or humidity.</t>
  </si>
  <si>
    <t>Capable of resisting water penetration to a significant degree, offering protection against light rain, splashes, and humidity. It is not entirely impervious and cannot withstand heavy exposure or full immersion.</t>
  </si>
  <si>
    <t>Does not possess any specialized durability features or protective qualities as described in the other answer values.</t>
  </si>
  <si>
    <t>Designed or treated to resist discoloration, bleaching, or loss of vibrancy caused by exposure to sunlight, washing, or environmental factors, thereby maintaining the product's intended color and appearance.</t>
  </si>
  <si>
    <t>Capable of withstanding high temperatures without melting, warping, deforming, or deteriorating.</t>
  </si>
  <si>
    <t>The product incorporates materials, coatings, or finishes designed to repel or resist the absorption and penetration of common staining substances, facilitating easier cleaning and preserving the original appearance.</t>
  </si>
  <si>
    <t>Designed to minimize the risk of overturning when external force is applied, typically incorporating features like a low center of gravity, a broad base, or stabilizing hardware</t>
  </si>
  <si>
    <t>Constructed to be fully impervious to water, preventing all liquid penetration through the material or seams under both normal and prolonged exposure conditions.</t>
  </si>
  <si>
    <t>Designed to resist breaking or shattering upon impact, minimizing the formation of sharp or multiple hazardous fragments.</t>
  </si>
  <si>
    <t>Surface or finish that has been treated to reduce or resist visible smudges, fingerprints, and marks, helping to maintain a clean aesthetic with frequent handling.</t>
  </si>
  <si>
    <t>Constructed from materials or coatings that prevent or significantly delay the formation of rust (iron oxide) when exposed to moisture, maintaining appearance and structural integrity.</t>
  </si>
  <si>
    <t>A corrosion control method using an electrochemical process to create a passive oxide layer on a metal surface, which increases durability and resistance to wear.</t>
  </si>
  <si>
    <t>Constructed to deter or resist intrusion and damage from animal predators, wildlife, or pests.</t>
  </si>
  <si>
    <t>Constructed with hardened materials or reinforced features to prevent or significantly impede penetration or damage from common drilling tools. This characteristic is primarily used for security or tamper resistance.</t>
  </si>
  <si>
    <t>Designed and constructed to prevent or greatly minimize the formation of moisture condensation on interior or exterior surfaces, keeping the product and surrounding area dry.</t>
  </si>
  <si>
    <t>Incorporates materials, coatings, or treatments that inhibit the growth and spread of microorganisms, such as bacteria, fungi, and mold, on the product surface. This feature enhances hygiene, maintains cleanliness, and reduces potential odors and degradation.</t>
  </si>
  <si>
    <t>Engineered with robust construction and reinforced components to resist being forcibly opened, separated, or damaged by leveraging or prying tools.</t>
  </si>
  <si>
    <t>Resistant to the unraveling, splitting, or wearing away of fibers or material at edges, seams, or surfaces, preserving structural integrity and a clean appearance through use and abrasion.</t>
  </si>
  <si>
    <t>Constructed from materials or finishes that prevent absorption and resist permanent discoloration from common staining agents and spills.</t>
  </si>
  <si>
    <t>Removable</t>
  </si>
  <si>
    <t>Retractable</t>
  </si>
  <si>
    <t>Reversible</t>
  </si>
  <si>
    <t>Configurable / Modular</t>
  </si>
  <si>
    <t>Trimmable</t>
  </si>
  <si>
    <t>Rotating</t>
  </si>
  <si>
    <t>Lift Assist</t>
  </si>
  <si>
    <t>Double Sided</t>
  </si>
  <si>
    <t>Glider</t>
  </si>
  <si>
    <t>Adjustable</t>
  </si>
  <si>
    <t>Stackable</t>
  </si>
  <si>
    <t>No Adjustability Features</t>
  </si>
  <si>
    <t>Components or parts of the product that can be detached or separated from the main item, often without specialized tools, for purposes like cleaning, replacement, or reconfiguration</t>
  </si>
  <si>
    <t>A feature where a component is designed to be extended out for use and subsequently withdrawn, pulled, or slid back into the main product body, typically to reduce footprint or conceal the component when not needed.</t>
  </si>
  <si>
    <t>Design feature that allows the entire product or a main component to be flipped, rotated, or turned over for use on either side, providing dual function, different aesthetics, or a change in orientation.</t>
  </si>
  <si>
    <t>Allows the product or its components to be rearranged, added, or removed for different configurations or modular setups.</t>
  </si>
  <si>
    <t>The product or its components are designed to be shortened, cut, or otherwise modified by the user to achieve a custom fit for a specific space or installation requirement.</t>
  </si>
  <si>
    <t>Allows a product or component to turn on a central axis, enabling variable orientation, positioning, or access.</t>
  </si>
  <si>
    <t>A mechanism, powered or spring-assisted, designed to reduce the physical effort required to lift, open, or adjust product components, or to assist a user in transitioning from a seated to a standing position.</t>
  </si>
  <si>
    <t>Features two fully finished and functional sides, allowing the product to be used, displayed, or accessed from both the front and back.</t>
  </si>
  <si>
    <t>A mechanism that provides a smooth, controlled, linear movement along a fixed track or surface. This feature is used for either a gentle, soothing motion or for easily repositioning a component or the entire product.</t>
  </si>
  <si>
    <t>A feature that allows the user to manually change the product's position, angle, height, dimension, or configuration.</t>
  </si>
  <si>
    <t>Designed so that multiple, matching units can be securely placed atop or nested within one another for compact, vertical storage or space-saving use.</t>
  </si>
  <si>
    <t>Indicates the item has a fixed configuration and lacks any mechanisms or components that allow for alteration of its dimensions, height, angle, or positioning.</t>
  </si>
  <si>
    <t>Black</t>
  </si>
  <si>
    <t>Brown</t>
  </si>
  <si>
    <t>White</t>
  </si>
  <si>
    <t>Green</t>
  </si>
  <si>
    <t>Beige</t>
  </si>
  <si>
    <t>Pink</t>
  </si>
  <si>
    <t>Orange</t>
  </si>
  <si>
    <t>Purple</t>
  </si>
  <si>
    <t>Silver</t>
  </si>
  <si>
    <t>Gold</t>
  </si>
  <si>
    <t>Clear</t>
  </si>
  <si>
    <t>Cream</t>
  </si>
  <si>
    <t>Ivory</t>
  </si>
  <si>
    <t>Tan</t>
  </si>
  <si>
    <t>Teal</t>
  </si>
  <si>
    <t>Navy</t>
  </si>
  <si>
    <t>A color between green and violet on the visible spectrum, ranging from pale sky blue to deep royal blue. Use this value when blue is the main or most visible color of the product.</t>
  </si>
  <si>
    <t>The darkest color, resulting from the absence or complete absorption of visible light. Use this value when black is the primary or predominant color of the product.</t>
  </si>
  <si>
    <t>A composite, neutral color ranging from light tan to deep dark brown, resembling earth, wood, or chocolate. Apply when brown is the dominant visible color.</t>
  </si>
  <si>
    <t>The purest, lightest color with no hue, reflecting nearly all visible light, and free of significant yellow, ivory, or gray undertones.</t>
  </si>
  <si>
    <t>The definition was synthesized by combining the most universal elements from multiple variations. It establishes the color's position on the spectrum (between blue and yellow), describes the range of shades (pale to deep forest), and includes the instruction that the color must be the major visible component, ensuring the definition is universal for all products.</t>
  </si>
  <si>
    <t>A neutral, achromatic color ranging from light silver-gray to dark charcoal. Excludes metallic silver, beige, taupe, or any shade with a distinct blue or brown tint.</t>
  </si>
  <si>
    <t>A primary color with a spectrum of shades, ranging from soft rose and bright scarlet to deep crimson and burgundy.</t>
  </si>
  <si>
    <t>A light, neutral color that is a pale, sandy yellowish-brown, resembling unbleached linen or natural wool. This shade is lighter than tan or brown.</t>
  </si>
  <si>
    <t>A bright, primary color located between green and orange on the visible spectrum, ranging from pale pastel shades to vivid, deep golden tones.</t>
  </si>
  <si>
    <t>A light tint of red, created by mixing red with white, covering all shades from pale pastels like blush to deep, vibrant fuchsia.</t>
  </si>
  <si>
    <t>A vivid color between red and yellow on the color spectrum. Applies to all shades, from light tangerine to deep rust.</t>
  </si>
  <si>
    <t>A color resulting from the combination of red and blue hues, encompassing all shades from light lavender to deep violet. Use for products where purple is the dominant visible color.</t>
  </si>
  <si>
    <t>A metallic, reflective color resembling polished silver metal. It is a light gray or grayish-white tone that may feature a shiny or matte surface.</t>
  </si>
  <si>
    <t>A metallic yellow tone that mimics the appearance of gold metal. This includes shiny, reflective, glossy, or matte finishes.</t>
  </si>
  <si>
    <t>Transparent or translucent appearance with no distinguishable color or pigmentation.</t>
  </si>
  <si>
    <t>A soft, pale yellowish-white color. It is warmer and more yellow-toned than pure white or ivory, but lighter than beige.</t>
  </si>
  <si>
    <t>A creamy off-white color with subtle yellow or beige undertones. It is warmer in tone than pure white.</t>
  </si>
  <si>
    <t>A pale to medium brown color, generally with warm yellow or beige undertones, resembling natural sand or lightly tanned leather.</t>
  </si>
  <si>
    <t>A cool-toned, medium to dark blue-green color that sits between blue and green on the color spectrum.</t>
  </si>
  <si>
    <t>A very dark shade of blue, often associated with naval uniforms or the deep night sky.</t>
  </si>
  <si>
    <t>Handle(s)</t>
  </si>
  <si>
    <t>Paste</t>
  </si>
  <si>
    <t>A permanent or attached component (such as a strap, grip, or structure) that offers a secure handhold to facilitate the lifting, moving, maneuvering, or adjustment of the product.</t>
  </si>
  <si>
    <t>A thick, semi-solid adhesive substance included for the purpose of bonding two surfaces together. It is typically applied by spreading and provides a functional attachment once cured or dried.</t>
  </si>
  <si>
    <t>Justice League (All Characters)</t>
  </si>
  <si>
    <t>Disney Princesses (All Characters)</t>
  </si>
  <si>
    <t>The Avengers (All Characters)</t>
  </si>
  <si>
    <t>Mickey Mouse Clubhouse</t>
  </si>
  <si>
    <t>Harry Potter</t>
  </si>
  <si>
    <t>Frozen</t>
  </si>
  <si>
    <t>Charlie Brown</t>
  </si>
  <si>
    <t>Dr. Seuss</t>
  </si>
  <si>
    <t>Disney Fairies (All Characters)</t>
  </si>
  <si>
    <t>Star Wars</t>
  </si>
  <si>
    <t>Toy Story</t>
  </si>
  <si>
    <t>The Little Mermaid</t>
  </si>
  <si>
    <t>The Wizard of Oz</t>
  </si>
  <si>
    <t>Teenage Mutant Ninja Turtles</t>
  </si>
  <si>
    <t>Finding Nemo</t>
  </si>
  <si>
    <t>Spongebob Squarepants</t>
  </si>
  <si>
    <t>Minions</t>
  </si>
  <si>
    <t>Cars</t>
  </si>
  <si>
    <t>Hello Kitty</t>
  </si>
  <si>
    <t>Angry Birds</t>
  </si>
  <si>
    <t>Dumbo</t>
  </si>
  <si>
    <t>The Big Bang Theory</t>
  </si>
  <si>
    <t>My Little Pony</t>
  </si>
  <si>
    <t>Thomas The Tank Engine &amp; Friends</t>
  </si>
  <si>
    <t>Betty Boop</t>
  </si>
  <si>
    <t>Doc McStuffins</t>
  </si>
  <si>
    <t>Tom &amp; Jerry</t>
  </si>
  <si>
    <t>Dragons</t>
  </si>
  <si>
    <t>Berenstain Bears</t>
  </si>
  <si>
    <t>The Walking Dead</t>
  </si>
  <si>
    <t>Winnie the Pooh</t>
  </si>
  <si>
    <t>Scooby-Doo</t>
  </si>
  <si>
    <t>Beauty &amp; the Beast</t>
  </si>
  <si>
    <t>Bubble Guppies</t>
  </si>
  <si>
    <t>Monsters Inc.</t>
  </si>
  <si>
    <t>Looney Tunes</t>
  </si>
  <si>
    <t>Pokemon</t>
  </si>
  <si>
    <t>The Lion King</t>
  </si>
  <si>
    <t>Sesame Street</t>
  </si>
  <si>
    <t>Barbie</t>
  </si>
  <si>
    <t>Asterix</t>
  </si>
  <si>
    <t>Dora the Explorer</t>
  </si>
  <si>
    <t>Star Trek</t>
  </si>
  <si>
    <t>The Muppets</t>
  </si>
  <si>
    <t>Transformers</t>
  </si>
  <si>
    <t>Curious George</t>
  </si>
  <si>
    <t>The Simpsons</t>
  </si>
  <si>
    <t>Yogi Bear and Friends</t>
  </si>
  <si>
    <t>Angelina Ballerina</t>
  </si>
  <si>
    <t>The Polar Express</t>
  </si>
  <si>
    <t>Peter Pan</t>
  </si>
  <si>
    <t>Jake and the Neverland Pirates</t>
  </si>
  <si>
    <t>Pinocchio</t>
  </si>
  <si>
    <t>Frankenstein</t>
  </si>
  <si>
    <t>Sofia the First</t>
  </si>
  <si>
    <t>Peter Rabbit</t>
  </si>
  <si>
    <t>Planes</t>
  </si>
  <si>
    <t>Despicable Me</t>
  </si>
  <si>
    <t>Alice In Wonderland</t>
  </si>
  <si>
    <t>A Nightmare On Elm Street</t>
  </si>
  <si>
    <t>Among Us</t>
  </si>
  <si>
    <t>Bambi</t>
  </si>
  <si>
    <t>Baby Shark's Big Show</t>
  </si>
  <si>
    <t>A Christmas Story</t>
  </si>
  <si>
    <t>101 Dalmatians</t>
  </si>
  <si>
    <t>Avatar</t>
  </si>
  <si>
    <t>Captain Marvel</t>
  </si>
  <si>
    <t>DuckTales</t>
  </si>
  <si>
    <t>The Batman</t>
  </si>
  <si>
    <t>Fantastic Beasts and Where To Find Them</t>
  </si>
  <si>
    <t>The Office</t>
  </si>
  <si>
    <t>Blaze and the Monster Machines</t>
  </si>
  <si>
    <t>Blue's Clues</t>
  </si>
  <si>
    <t>Dance Moms</t>
  </si>
  <si>
    <t>Birds of Prey</t>
  </si>
  <si>
    <t>Black Panther</t>
  </si>
  <si>
    <t>E.T.</t>
  </si>
  <si>
    <t>Demon Slayer: Kimetsu no Yaiba</t>
  </si>
  <si>
    <t>Daniel Tiger's Neighborhood</t>
  </si>
  <si>
    <t>Finding Dory</t>
  </si>
  <si>
    <t>Beetlejuice</t>
  </si>
  <si>
    <t>Descendants</t>
  </si>
  <si>
    <t>Doom</t>
  </si>
  <si>
    <t>DC Super Hero Girls</t>
  </si>
  <si>
    <t>CoComelon</t>
  </si>
  <si>
    <t>City Streets</t>
  </si>
  <si>
    <t>Cruella</t>
  </si>
  <si>
    <t>Child's Play</t>
  </si>
  <si>
    <t>Darling In The FRANXX</t>
  </si>
  <si>
    <t>Encanto</t>
  </si>
  <si>
    <t>Fortnite</t>
  </si>
  <si>
    <t>Gravity Falls</t>
  </si>
  <si>
    <t>Friends</t>
  </si>
  <si>
    <t>Genshin Impact</t>
  </si>
  <si>
    <t>Gudetama: An Eggcellent Adventure</t>
  </si>
  <si>
    <t>Ghostbusters</t>
  </si>
  <si>
    <t>Friday the 13th</t>
  </si>
  <si>
    <t>Guardians of the Galaxy</t>
  </si>
  <si>
    <t>Godzilla</t>
  </si>
  <si>
    <t>Gremlins</t>
  </si>
  <si>
    <t>Hawkeye</t>
  </si>
  <si>
    <t>IT</t>
  </si>
  <si>
    <t>JoJo Siwa</t>
  </si>
  <si>
    <t>Hulk</t>
  </si>
  <si>
    <t>Jujutsu Kaisen</t>
  </si>
  <si>
    <t>Hocus Pocus</t>
  </si>
  <si>
    <t>Lego</t>
  </si>
  <si>
    <t>L.O.L. Surprise</t>
  </si>
  <si>
    <t>Halo</t>
  </si>
  <si>
    <t>Lady and the Tramp</t>
  </si>
  <si>
    <t>Mira: Royal Detective</t>
  </si>
  <si>
    <t>Iron Man</t>
  </si>
  <si>
    <t>My Neighbor Totoro</t>
  </si>
  <si>
    <t>My Hero Academia</t>
  </si>
  <si>
    <t>Monster Jam</t>
  </si>
  <si>
    <t>Lilo &amp; Stitch</t>
  </si>
  <si>
    <t>Naruto</t>
  </si>
  <si>
    <t>Monopoly</t>
  </si>
  <si>
    <t>Power Rangers</t>
  </si>
  <si>
    <t>Step Brothers</t>
  </si>
  <si>
    <t>Jurassic World</t>
  </si>
  <si>
    <t>Spirited Away</t>
  </si>
  <si>
    <t>Spider-Man</t>
  </si>
  <si>
    <t>Mario Kart</t>
  </si>
  <si>
    <t>PJ Masks</t>
  </si>
  <si>
    <t>Space Jam</t>
  </si>
  <si>
    <t>Squad Goals</t>
  </si>
  <si>
    <t>Sleeping Beauty</t>
  </si>
  <si>
    <t>Kung Fu Panda</t>
  </si>
  <si>
    <t>Puppy Dog Pals</t>
  </si>
  <si>
    <t>Space Jam 2</t>
  </si>
  <si>
    <t>Loki - Marvel</t>
  </si>
  <si>
    <t>Luca</t>
  </si>
  <si>
    <t>Rocky</t>
  </si>
  <si>
    <t>Rick and Morty</t>
  </si>
  <si>
    <t>Raya and The Last Dragon</t>
  </si>
  <si>
    <t>Squid Games</t>
  </si>
  <si>
    <t>Peppa Pig</t>
  </si>
  <si>
    <t>Stranger Things</t>
  </si>
  <si>
    <t>Lost in Space</t>
  </si>
  <si>
    <t>Moana</t>
  </si>
  <si>
    <t>Paw Patrol</t>
  </si>
  <si>
    <t>Party Town</t>
  </si>
  <si>
    <t>Minecraft</t>
  </si>
  <si>
    <t>Shopkins</t>
  </si>
  <si>
    <t>Spies in Space</t>
  </si>
  <si>
    <t>Snow White and the Seven Dwarfs</t>
  </si>
  <si>
    <t>Jaws</t>
  </si>
  <si>
    <t>Pocoyo</t>
  </si>
  <si>
    <t>Rudolph the Red-Nosed Reindeer</t>
  </si>
  <si>
    <t>Sonic the Hedgehog</t>
  </si>
  <si>
    <t>Superman</t>
  </si>
  <si>
    <t>Suicide Squad</t>
  </si>
  <si>
    <t>Wonder Woman</t>
  </si>
  <si>
    <t>The Mandalorian</t>
  </si>
  <si>
    <t>The Ring of Fire</t>
  </si>
  <si>
    <t>The Pirates of The Caribbean</t>
  </si>
  <si>
    <t>Trolls</t>
  </si>
  <si>
    <t>The Matrix</t>
  </si>
  <si>
    <t>The Sandlot</t>
  </si>
  <si>
    <t>Tron</t>
  </si>
  <si>
    <t>The Aristocats</t>
  </si>
  <si>
    <t>The Nightmare Before Christmas</t>
  </si>
  <si>
    <t>The Lion Guard</t>
  </si>
  <si>
    <t>The Grinch</t>
  </si>
  <si>
    <t>The Golden Girls</t>
  </si>
  <si>
    <t>Top Gun</t>
  </si>
  <si>
    <t>The Eternals</t>
  </si>
  <si>
    <t>The Lord of the Rings</t>
  </si>
  <si>
    <t>The Peanuts Movie</t>
  </si>
  <si>
    <t>The Octonauts</t>
  </si>
  <si>
    <t>The Godfather</t>
  </si>
  <si>
    <t>Texas Chainsaw Massacre</t>
  </si>
  <si>
    <t>To All The Boys</t>
  </si>
  <si>
    <t>Bluey - Bluey</t>
  </si>
  <si>
    <t>Dungeons &amp; Dragons</t>
  </si>
  <si>
    <t>Features official branding, logos, or imagery associated with the Justice League, a fictional superhero team appearing in American comic books published by DC Comics. Roster includes characters such as Superman, Batman, Wonder Woman, the Flash, Green Lantern, Aquaman, and Martian Manhunter.</t>
  </si>
  <si>
    <t>Features official branding, logos, imagery, or thematic elements associated with the collective lineup of characters from The Walt Disney Company's Disney Princess media franchise.</t>
  </si>
  <si>
    <t>Features official branding, logos, artwork, or themes associated with The Avengers franchise, representing the ensemble team or multiple superhero characters collectively.</t>
  </si>
  <si>
    <t>Features official branding, logos, colors, or imagery associated with Mickey Mouse Clubhouse, an animated interactive television series produced by Disney Television Animation.</t>
  </si>
  <si>
    <t>Features official branding, logos, imagery, or themes associated with Harry Potter, a fantasy media franchise and shared fictional universe created by J.K. Rowling.</t>
  </si>
  <si>
    <t>Features official branding, characters, themes, or imagery associated with Disney's Frozen media franchise.</t>
  </si>
  <si>
    <t>Features official branding, logos, imagery, or themes associated with Charlie Brown, the iconic character from the Peanuts comic strip created by Charles M. Schulz.</t>
  </si>
  <si>
    <t>Features official branding, characters, or thematic design elements associated with the literary and artistic works of Dr. Seuss.</t>
  </si>
  <si>
    <t>Features official branding, imagery, or thematic elements associated with the Disney Fairies media franchise and its characters, including Tinker Bell and her fairy friends from Pixie Hollow.</t>
  </si>
  <si>
    <t>Features official branding, characters, themes, logos, or imagery associated with Star Wars, an American epic space opera media franchise created by George Lucas.</t>
  </si>
  <si>
    <t>Features official branding, characters, or themes from the Disney Pixar Toy Story media franchise, including iconic imagery associated with characters like Sheriff Woody and Buzz Lightyear.</t>
  </si>
  <si>
    <t>Features official branding, logos, colors, or themes associated with The Little Mermaid, a Disney media franchise originally based on the fairy tale by Hans Christian Andersen. Suitable for any product officially affiliated with or themed after this franchise.</t>
  </si>
  <si>
    <t>Features official branding, logos, characters, or imagery associated with The Wizard of Oz, a classic 1939 American musical fantasy film based on the novel by L. Frank Baum.</t>
  </si>
  <si>
    <t>Features official branding, characters, colors, or themes associated with the Teenage Mutant Ninja Turtles, an American media franchise revolving around four anthropomorphic turtle superheroes.</t>
  </si>
  <si>
    <t>Features official branding, characters, logos, or thematic imagery from Finding Nemo, an animated film franchise produced by Pixar Animation Studios.</t>
  </si>
  <si>
    <t>Features official branding, characters, imagery, or thematic elements from the Nickelodeon animated television series SpongeBob SquarePants.</t>
  </si>
  <si>
    <t>Features official branding, logos, imagery, or themes associated with the Minions franchise from Illumination's Despicable Me universe.</t>
  </si>
  <si>
    <t>Features branding, imagery, or themes associated with Cars, a Disney/Pixar media franchise focused on a world populated by anthropomorphic vehicles.</t>
  </si>
  <si>
    <t>Features official branding, imagery, or thematic elements associated with Hello Kitty, the fictional cartoon character created and owned by the Japanese company Sanrio.</t>
  </si>
  <si>
    <t>Features official branding, logos, colors, or imagery associated with Angry Birds, an entertainment and video game franchise created by Rovio Entertainment.</t>
  </si>
  <si>
    <t>Features official branding, imagery, or thematic elements associated with Dumbo, the classic Disney animated media franchise featuring the iconic flying elephant character.</t>
  </si>
  <si>
    <t>Features official branding, logos, colors, or themes associated with The Big Bang Theory, an American television sitcom.</t>
  </si>
  <si>
    <t>Features official branding, logos, colors, or imagery associated with My Little Pony, an entertainment franchise and toyline developed by Hasbro.</t>
  </si>
  <si>
    <t>Features official branding, characters, or thematic elements from the Thomas &amp; Friends television series and franchise.</t>
  </si>
  <si>
    <t>Features official branding, logos, imagery, or stylistic elements associated with Betty Boop, the iconic 1930s animated cartoon character created by Fleischer Studios, known for her vintage flapper aesthetic and playful charm.</t>
  </si>
  <si>
    <t>Features official branding, logos, colors, or imagery associated with Doc McStuffins, an animated children's television series centering on a young girl who operates a clinic for toys and stuffed animals.</t>
  </si>
  <si>
    <t>Features official branding, logos, imagery, or character motifs associated with Tom &amp; Jerry, the classic animated franchise featuring the comedic rivalry of Tom the cat and Jerry the mouse.</t>
  </si>
  <si>
    <t>Features official branding, logos, imagery, or themes associated with the Dragons media franchise, including How to Train Your Dragon.</t>
  </si>
  <si>
    <t>Indicates the product features official branding, themes, characters, or imagery associated with The Berenstain Bears, a children's literature and animated television franchise created by Stan and Jan Berenstain.</t>
  </si>
  <si>
    <t>Features official branding, logos, imagery, or thematic elements associated with The Walking Dead, a popular post-apocalyptic horror media franchise originating from the comic book and television series.</t>
  </si>
  <si>
    <t>Features official branding, characters, imagery, or themes associated with Winnie the Pooh, the fictional honey-loving teddy bear franchise originally created by A. A. Milne.</t>
  </si>
  <si>
    <t>Features official branding, logos, colors, or imagery associated with Scooby-Doo, an animated media franchise centered around a group of teenage detectives and their talking Great Dane, originally created by Hanna-Barbera.</t>
  </si>
  <si>
    <t>Indicates the item features official branding, imagery, characters, or themes associated with Disney's Beauty and the Beast media franchise.</t>
  </si>
  <si>
    <t>Features official branding, characters, or thematic elements from Bubble Guppies, an animated children's television series created by Nickelodeon.</t>
  </si>
  <si>
    <t>Features official branding, logos, characters, or thematic elements associated with Monsters, Inc., an animated media franchise produced by Pixar Animation Studios.</t>
  </si>
  <si>
    <t>Features official branding, characters, logos, or imagery associated with Looney Tunes, an animated media franchise owned by Warner Bros. Entertainment.</t>
  </si>
  <si>
    <t>Features official branding, logos, insignia, or thematic elements associated with Pokémon, a globally recognized media franchise originally created by Nintendo, Game Freak, and Creatures.</t>
  </si>
  <si>
    <t>Features official branding, characters, imagery, or themes associated with The Lion King, an animated media franchise created by Disney.</t>
  </si>
  <si>
    <t>Features official branding, characters, or thematic imagery associated with Sesame Street, a long-running educational children's television program.</t>
  </si>
  <si>
    <t>Features official branding, imagery, or stylistic elements associated with the Barbie franchise, typically characterized by the iconic cursive logo and signature vibrant pink aesthetics.</t>
  </si>
  <si>
    <t>Features official branding, logos, colors, or imagery associated with Asterix, a beloved French comic book series created by writer René Goscinny and illustrator Albert Uderzo.</t>
  </si>
  <si>
    <t>Features official branding, characters, colors, or imagery associated with Dora the Explorer, an animated children's television series and multimedia franchise created by Nickelodeon.</t>
  </si>
  <si>
    <t>Features branding, imagery, themes, or official logos associated with the Star Trek science fiction entertainment franchise.</t>
  </si>
  <si>
    <t>Features official branding, logos, imagery, or themes associated with The Muppets, an entertainment franchise created by Jim Henson featuring characters such as Kermit the Frog and Miss Piggy.</t>
  </si>
  <si>
    <t>Features official branding, logos, characters, or themes associated with Transformers, a popular entertainment franchise centered on transforming alien robots.</t>
  </si>
  <si>
    <t>Features official branding, logos, imagery, or thematic elements associated with Curious George, the fictional monkey and title character from the children's picture book and animated television series.</t>
  </si>
  <si>
    <t>Features official branding, characters, imagery, or themes associated with The Simpsons, a long-running American animated sitcom created by Matt Groening.</t>
  </si>
  <si>
    <t>Features official branding, logos, imagery, or themes associated with Yogi Bear and related characters from the Hanna-Barbera animated franchise.</t>
  </si>
  <si>
    <t>Features official branding, characters, or thematic elements from Angelina Ballerina, a children's book and animated television series about an anthropomorphic mouse who aspires to become a ballerina.</t>
  </si>
  <si>
    <t>Features the official branding, logo, colors, or imagery associated with The Polar Express, a festive holiday book and animated film franchise.</t>
  </si>
  <si>
    <t>Features official branding, characters, logos, themes, or imagery associated with Peter Pan, the fictional boy who refuses to grow up created by J. M. Barrie.</t>
  </si>
  <si>
    <t>Features official branding, characters, or imagery associated with Jake and the Neverland Pirates, an animated children's television series.</t>
  </si>
  <si>
    <t>Features official branding, logos, imagery, or thematic elements associated with Pinocchio, the classic character and story originally created by Carlo Collodi.</t>
  </si>
  <si>
    <t>Features branding, imagery, or themes associated with Frankenstein, the classic gothic horror character and media franchise based on the novel by Mary Shelley.</t>
  </si>
  <si>
    <t>Features official branding, characters, colors, or imagery associated with Sofia the First, an animated children's television series produced by Disney.</t>
  </si>
  <si>
    <t>Features official branding, logos, colors, or imagery associated with Peter Rabbit, the fictional children's book character created by author Beatrix Potter, known for his signature blue jacket and mischievous nature.</t>
  </si>
  <si>
    <t>Features official branding, logos, characters, or imagery associated with Planes, an animated film franchise and spin-off of Pixar's Cars series.</t>
  </si>
  <si>
    <t>Features official branding, characters, or themes from Despicable Me, an animated media franchise produced by Illumination, centering on the character Gru and the iconic yellow Minions.</t>
  </si>
  <si>
    <t>Features official branding, characters, imagery, or thematic elements associated with Alice in Wonderland, the multimedia franchise based on the classic stories by Lewis Carroll.</t>
  </si>
  <si>
    <t>Features official branding, characters, logos, or imagery associated with A Nightmare on Elm Street, a supernatural slasher horror media franchise created by Wes Craven.</t>
  </si>
  <si>
    <t>Features official branding, logos, imagery, or thematic elements associated with Among Us, a popular multiplayer online game and media franchise.</t>
  </si>
  <si>
    <t>Features official branding, characters, themes, or imagery associated with Bambi, the classic Disney animated media franchise.</t>
  </si>
  <si>
    <t>Features branding, imagery, or thematic elements associated with Baby Shark's Big Show!, an animated preschool television series based on the Pinkfong character brand.</t>
  </si>
  <si>
    <t>Features official branding, logos, imagery, or themes associated with A Christmas Story, a classic holiday comedy film. Suitable for merchandise officially affiliated with or themed after this media franchise.</t>
  </si>
  <si>
    <t>Features official branding, characters, imagery, or thematic elements associated with the Disney media franchise 101 Dalmatians.</t>
  </si>
  <si>
    <t>Features imagery, branding, logos, or thematic elements from the American epic science fiction media franchise Avatar, created by James Cameron. Suitable for items officially affiliated with or themed after this media property.</t>
  </si>
  <si>
    <t>Features official branding, logos, insignia, or thematic elements associated with Captain Marvel, a superhero character franchise from Marvel Comics and the Marvel Cinematic Universe.</t>
  </si>
  <si>
    <t>Features official branding, logos, imagery, or thematic elements associated with DuckTales, an American animated television series franchise produced by Disney Television Animation. Suitable for any product officially affiliated with or themed after this media property.</t>
  </si>
  <si>
    <t>Features official branding, logos, imagery, or themes associated with The Batman, a superhero film franchise centered on the DC Comics character.</t>
  </si>
  <si>
    <t>Indicates that the item features official branding, logos, characters, themes, or imagery from the Fantastic Beasts film series.</t>
  </si>
  <si>
    <t>Features official branding, logos, imagery, or themes associated with The Office, an American mockumentary sitcom television series. Suitable for any product officially affiliated with or themed after this television show.</t>
  </si>
  <si>
    <t>Features official branding, characters, or thematic elements from Blaze and the Monster Machines, an animated children's television series focused on STEM education.</t>
  </si>
  <si>
    <t>Features official branding, logos, imagery, or thematic elements associated with Blue's Clues, an interactive educational children's television series.</t>
  </si>
  <si>
    <t>Features official branding, logos, colors, or imagery associated with Dance Moms, an American reality television series.</t>
  </si>
  <si>
    <t>Features official branding, logos, characters, or thematic elements associated with Birds of Prey, a DC Comics media franchise and superhero team.</t>
  </si>
  <si>
    <t>Features official branding, characters, imagery, or themes associated with Black Panther, a media franchise and superhero character created by Marvel.</t>
  </si>
  <si>
    <t>Features official branding, logos, imagery, or themes associated with E.T. the Extra-Terrestrial, a classic 1982 American science fiction film directed by Steven Spielberg.</t>
  </si>
  <si>
    <t>Features official branding, logos, characters, or imagery associated with Demon Slayer: Kimetsu no Yaiba, a popular Japanese manga and anime franchise.</t>
  </si>
  <si>
    <t>Features official branding, characters, or thematic elements from Daniel Tiger's Neighborhood, an animated preschool television series inspired by Mister Rogers' Neighborhood.</t>
  </si>
  <si>
    <t>Features official branding, characters, colors, or imagery associated with Finding Dory, a 2016 Disney Pixar animated adventure comedy film. Suitable for any product officially affiliated with or themed after this media franchise.</t>
  </si>
  <si>
    <t>Features official branding, logos, imagery, or thematic elements associated with Beetlejuice, a comedy-horror media franchise originally created by Tim Burton.</t>
  </si>
  <si>
    <t>Features official branding, characters, logos, or imagery associated with the Descendants franchise, a musical fantasy media series centered on the children of classic Disney characters.</t>
  </si>
  <si>
    <t>Features official branding, logos, characters, or thematic elements associated with Doom, an iconic science fiction and first-person shooter media franchise.</t>
  </si>
  <si>
    <t>Features official branding, logos, or imagery associated with DC Super Hero Girls, an American media franchise centered on teenage versions of superheroes and supervillains from DC Comics.</t>
  </si>
  <si>
    <t>Features official branding, logos, characters, or imagery associated with CoComelon, a popular children's media franchise and show series.</t>
  </si>
  <si>
    <t>Features official branding, imagery, themes, or thematic elements associated with the 1931 American film pre-Code romantic melodrama City Streets.</t>
  </si>
  <si>
    <t>Features official branding, logos, character imagery, or thematic elements associated with Disney's Cruella franchise.</t>
  </si>
  <si>
    <t>Features official branding, logos, colors, imagery, or thematic elements associated with Child's Play, an American horror media franchise focused on the character Chucky. Suitable for items officially affiliated with or themed after this media series.</t>
  </si>
  <si>
    <t>Features official branding, logos, imagery, or themes associated with Darling in the Franxx, a Japanese science fiction mecha anime television series.</t>
  </si>
  <si>
    <t>Features official branding, characters, colors, or imagery associated with Encanto, a 2021 computer-animated musical fantasy comedy film produced by Walt Disney Animation Studios.</t>
  </si>
  <si>
    <t>Features official branding, characters, logos, or imagery associated with Fortnite, a popular online video game franchise developed by Epic Games.</t>
  </si>
  <si>
    <t>Features official branding, characters, logos, or thematic elements associated with Gravity Falls, an animated mystery-comedy television series.</t>
  </si>
  <si>
    <t>Features branding, logos, characters, or themes associated with Friends, a popular American television sitcom.</t>
  </si>
  <si>
    <t>Features official branding, logos, colors, characters, or thematic elements associated with Genshin Impact, an action role-playing video game developed by miHoYo.</t>
  </si>
  <si>
    <t>Features official branding, characters, logos, or thematic artwork from Gudetama: An Eggcellent Adventure, a Japanese live-action/animated streaming series featuring the popular Sanrio character. Suitable for any product officially affiliated with or themed after this media franchise.</t>
  </si>
  <si>
    <t>Features official branding, logos, character imagery, or thematic elements associated with Ghostbusters, an American supernatural comedy media franchise.</t>
  </si>
  <si>
    <t>Features official branding, logos, imagery, or thematic elements associated with Friday the 13th, an American horror media franchise focused on the character Jason Voorhees. Suitable for items officially affiliated with or themed after this media property.</t>
  </si>
  <si>
    <t>Features official branding, logos, character imagery, or themes associated with Guardians of the Galaxy, a fictional cosmic superhero team originating from Marvel Comics and the Marvel Cinematic Universe franchise.</t>
  </si>
  <si>
    <t>Features official branding, imagery, or themes associated with Godzilla, the iconic giant monster media franchise. Suitable for merchandise officially affiliated with or themed after this character or film series.</t>
  </si>
  <si>
    <t>Features official branding, characters, themes, or imagery associated with Gremlins, an American comedy horror media franchise produced by Warner Bros. and Amblin Entertainment.</t>
  </si>
  <si>
    <t>Features official branding, logos, or thematic elements associated with Hawkeye, a fictional superhero and media franchise from Marvel Comics and Marvel Studios.</t>
  </si>
  <si>
    <t>Features official branding, logos, imagery, or themes associated with the IT media franchise, based on the horror works by Stephen King.</t>
  </si>
  <si>
    <t>Features official branding, logos, imagery, or thematic elements associated with JoJo Siwa, an American media personality and entertainer. Suitable for products officially affiliated with or themed after this brand franchise.</t>
  </si>
  <si>
    <t>Features branding, imagery, or themes associated with the Hulk, a fictional superhero character from the Marvel Comics universe.</t>
  </si>
  <si>
    <t>Features official branding, characters, logos, or artwork associated with Jujutsu Kaisen, a Japanese manga and anime series created by Gege Akutami.</t>
  </si>
  <si>
    <t>Features official branding, logos, colors, or thematic elements associated with the Disney media franchise Hocus Pocus, including imagery related to the Sanderson Sisters.</t>
  </si>
  <si>
    <t>Features branding, imagery, or themes associated with Lego, a media franchise and entertainment universe spanning various films, television series, and video games.</t>
  </si>
  <si>
    <t>Features official branding, characters, logos, or thematic imagery from L.O.L. Surprise!, a popular toy and entertainment franchise.</t>
  </si>
  <si>
    <t>Features branding, imagery, or thematic elements associated with Halo, a popular science fiction media franchise centered on a series of video games.</t>
  </si>
  <si>
    <t>Features official branding, characters, artwork, or thematic elements associated with Lady and the Tramp, the classic Disney animated media franchise.</t>
  </si>
  <si>
    <t>Features official branding, characters, or imagery associated with Mira, Royal Detective, an animated children's television series inspired by Indian culture and customs.</t>
  </si>
  <si>
    <t>Features official branding, logos, imagery, or thematic elements associated with Iron Man, a fictional superhero appearing in media published by Marvel Comics.</t>
  </si>
  <si>
    <t>Features official branding, characters, or imagery from My Neighbor Totoro, an animated fantasy film created by Studio Ghibli.</t>
  </si>
  <si>
    <t>Features official branding, logos, imagery, or thematic elements associated with My Hero Academia, a popular Japanese superhero manga and anime media franchise.</t>
  </si>
  <si>
    <t>Features official branding, logos, imagery, or themes associated with Monster Jam, a live motorsport event tour and television show showcasing monster trucks. Suitable for merchandise officially affiliated with or themed after this franchise.</t>
  </si>
  <si>
    <t>Features official branding, characters, logos, or thematic imagery associated with Disney's Lilo &amp; Stitch media franchise. Suitable for merchandise officially affiliated with or themed after this property.</t>
  </si>
  <si>
    <t>Features official branding, characters, logos, or imagery associated with Naruto, a popular Japanese manga and anime series franchise.</t>
  </si>
  <si>
    <t>Features official branding, logos, artwork, or thematic elements associated with Monopoly, a popular property trading board game franchise.</t>
  </si>
  <si>
    <t>Features official branding, characters, or imagery associated with the Power Rangers, an American entertainment and superhero media franchise.</t>
  </si>
  <si>
    <t>Indicates the item features official branding, imagery, or themes associated with the movie Step Brothers.</t>
  </si>
  <si>
    <t>Features official branding, logos, characters, or imagery associated with the Jurassic World science fiction adventure media franchise.</t>
  </si>
  <si>
    <t>Features official branding, logos, imagery, or thematic elements associated with Spirited Away, an animated fantasy film written and directed by Hayao Miyazaki and produced by Studio Ghibli.</t>
  </si>
  <si>
    <t>Features official branding, characters, or thematic elements associated with Spider-Man, a fictional superhero franchise created by Marvel Comics.</t>
  </si>
  <si>
    <t>Features branding, logos, characters, or imagery associated with Mario Kart, a popular kart racing video game franchise developed and published by Nintendo.</t>
  </si>
  <si>
    <t>Features branding, imagery, or themes associated with PJ Masks, an animated children's television series featuring young superheroes.</t>
  </si>
  <si>
    <t>Features official branding, logos, imagery, or thematic elements associated with Space Jam, a media franchise that combines live-action basketball with animated characters.</t>
  </si>
  <si>
    <t>Features official branding, imagery, or themes associated with Squad Goals, typically representing friendship, teamwork, and solidarity. Suitable for items officially affiliated with or themed after this popular culture phrase or series.</t>
  </si>
  <si>
    <t>Features official branding, logos, imagery, or thematic artistic elements associated with the classic Disney animated media franchise, characters, or storylines of Sleeping Beauty.</t>
  </si>
  <si>
    <t>Features official branding, logos, colors, or imagery associated with Kung Fu Panda, an animated media franchise created by DreamWorks Animation. Suitable for any product officially affiliated with or themed after this entertainment property.</t>
  </si>
  <si>
    <t>Features official branding, logos, imagery, or themes associated with Puppy Dog Pals, an animated children's television series. Suitable for any product officially affiliated with or themed after this media franchise.</t>
  </si>
  <si>
    <t>Features official branding, logos, characters, or thematic elements associated with Space Jam: A New Legacy, a live-action/animated sports comedy film produced by Warner Bros. Pictures.</t>
  </si>
  <si>
    <t>Features official branding, logos, character imagery, or thematic elements associated with Loki, the character from the Marvel comic book landscape and the Marvel Cinematic Universe (MCU).</t>
  </si>
  <si>
    <t>Indicates that the item features official branding, themes, imagery, or stylistic elements inspired by or associated with Disney and Pixar's animated film Luca.</t>
  </si>
  <si>
    <t>Features official branding, imagery, or thematic elements associated with Rocky, a media franchise centered on a series of American boxing drama films.</t>
  </si>
  <si>
    <t>Features official branding, logos, character imagery, or thematic elements associated with Rick and Morty, an American adult animated science fiction sitcom created by Justin Roiland and Dan Harmon.</t>
  </si>
  <si>
    <t>Features official branding, characters, themes, or imagery associated with Raya and the Last Dragon, a 2021 American animated fantasy film produced by Walt Disney Animation Studios.</t>
  </si>
  <si>
    <t>Features the official branding, logo, colors, or imagery associated with Squid Game, a popular South Korean survival thriller drama television series.</t>
  </si>
  <si>
    <t>Features official branding, characters, logos, or imagery associated with Peppa Pig, a popular children's animated television series.</t>
  </si>
  <si>
    <t>Features official branding, logos, imagery, or themes associated with Stranger Things, a science-fiction horror-drama television series created by the Duffer Brothers for Netflix. Suitable for merchandise officially affiliated with or themed after this media franchise.</t>
  </si>
  <si>
    <t>Features branding, characters, or thematic elements from Lost in Space, a science fiction media franchise centered around a family of space colonists whose ship veers off course.</t>
  </si>
  <si>
    <t>Features official branding, characters, imagery, or thematic elements from Moana, a Disney animated media franchise. Suitable for any product officially affiliated with or themed after this movie or show series.</t>
  </si>
  <si>
    <t>Features branding, imagery, characters, or thematic elements from Paw Patrol, a popular children's animated television series and media franchise featuring a team of heroic rescue pups led by a boy named Ryder.</t>
  </si>
  <si>
    <t>Features official branding, logos, imagery, or thematic elements associated with Party Town.</t>
  </si>
  <si>
    <t>Features official branding, characters, imagery, or themes associated with Minecraft, an open-world sandbox video game franchise and its related media adaptations.</t>
  </si>
  <si>
    <t>Features official branding, characters, or imagery associated with Shopkins, a popular line of miniature collectible toys created by Moose Toys.</t>
  </si>
  <si>
    <t>Features branding, imagery, or thematic elements from Spies in Space, an entertainment media franchise or series.</t>
  </si>
  <si>
    <t>Features official branding, characters, imagery, or thematic elements associated with the classic Disney animated film or franchise Snow White and the Seven Dwarfs.</t>
  </si>
  <si>
    <t>Features official branding, logos, or imagery associated with Jaws, a classic thriller film and media franchise originally created by Peter Benchley.</t>
  </si>
  <si>
    <t>Features official branding, characters, logos, or thematic elements associated with Pocoyo, an animated preschool comedy television series and media franchise.</t>
  </si>
  <si>
    <t>Features official branding, logos, imagery, or thematic elements associated with Rudolph the Red-Nosed Reindeer, the classic Christmas television special and character franchise.</t>
  </si>
  <si>
    <t>Features official branding, characters, logos, or artwork associated with Sonic the Hedgehog, a popular media franchise and video game series created by Sega. Suitable for any item officially affiliated with or themed after this entertainment franchise.</t>
  </si>
  <si>
    <t>Features official branding, logos, imagery, or themes associated with Superman, a fictional superhero appearing in American comic books published by DC Comics.</t>
  </si>
  <si>
    <t>Features official branding, logos, imagery, or themes associated with Suicide Squad, a superhero team and media franchise from DC Comics.</t>
  </si>
  <si>
    <t>Features official branding, logos, colors, or imagery associated with Wonder Woman, a superheroine franchise from DC Comics. Suitable for any product officially affiliated with or themed after this character series.</t>
  </si>
  <si>
    <t>Features official branding, logos, character imagery, or thematic design elements associated with The Mandalorian, a live-action space western television series and media franchise within the Star Wars universe.</t>
  </si>
  <si>
    <t>Features official branding, logos, imagery, or thematic elements associated with the movie, television show, or entertainment media franchise titled The Ring of Fire.</t>
  </si>
  <si>
    <t>Features official branding, logos, imagery, or thematic elements associated with Pirates of the Caribbean, a Disney media franchise encompassing film series, characters, and theme park attractions centered on pirate adventure.</t>
  </si>
  <si>
    <t>Features official branding, logos, imagery, or thematic elements associated with Trolls, the animated media franchise created by DreamWorks Animation.</t>
  </si>
  <si>
    <t>Features official branding, logos, imagery, or themes associated with The Matrix, a science fiction action film and media franchise created by the Wachowskis.</t>
  </si>
  <si>
    <t>Features branding, imagery, or thematic elements associated with The Sandlot, a 1993 American coming-of-age sports comedy film.</t>
  </si>
  <si>
    <t>Features official branding, logos, colors, or imagery associated with Tron, an American science fiction media franchise created by Steven Lisberger and Bonnie MacBird.</t>
  </si>
  <si>
    <t>Features official branding, logos, colors, or imagery associated with The Aristocats, a classic animated musical comedy media franchise created by Walt Disney Productions.</t>
  </si>
  <si>
    <t>Features official branding, logos, character imagery, or themes associated with The Nightmare Before Christmas media franchise.</t>
  </si>
  <si>
    <t>Features official branding, logos, imagery, or thematic elements associated with The Lion Guard, an animated television series produced by Disney.</t>
  </si>
  <si>
    <t>Features official branding, characters, imagery, or thematic elements associated with The Grinch, a fictional holiday character created by Dr. Seuss.</t>
  </si>
  <si>
    <t>Features official branding, logos, imagery, or themes associated with The Golden Girls, an American television sitcom. Suitable for any product officially affiliated with or themed after this media franchise.</t>
  </si>
  <si>
    <t>Features official branding, logos, insignia, or thematic imagery associated with Top Gun, an American action drama multimedia franchise produced by Paramount Pictures.</t>
  </si>
  <si>
    <t>Features official branding, logos, characters, or themes associated with The Eternals, a group of immortal superheroes from the Marvel Cinematic Universe and Marvel Comics franchise.</t>
  </si>
  <si>
    <t>Features official branding, characters, themes, or imagery associated with The Lord of the Rings, an epic high fantasy franchise originally created by J.R.R. Tolkien.</t>
  </si>
  <si>
    <t>Features branding, imagery, or thematic elements associated with The Peanuts Movie, a 2015 computer-animated feature film based on Charles M. Schulz's classic Peanuts comic strip.</t>
  </si>
  <si>
    <t>Features official branding, characters, or thematic elements from The Octonauts, an animated children's television series focused on an international team of anthropomorphic animal explorers who go on underwater adventures.</t>
  </si>
  <si>
    <t>Features official branding, logos, imagery, or thematic elements associated with The Godfather, an acclaimed American crime film franchise based on the novel by Mario Puzo.</t>
  </si>
  <si>
    <t>Features official branding, logos, characters, or imagery associated with The Texas Chainsaw Massacre, an American horror film franchise.</t>
  </si>
  <si>
    <t>Features branding, imagery, or themes associated with To All the Boys, an American teenage romance media franchise based on the novel series by Jenny Han.</t>
  </si>
  <si>
    <t>Features official branding, logos, imagery, or thematic elements associated with the Australian animated television series Bluey.</t>
  </si>
  <si>
    <t>Features official branding, characters, logos, or imagery associated with Dungeons &amp; Dragons, a popular fantasy tabletop role-playing game franchise. Suitable for any product officially affiliated with or themed after this media property.</t>
  </si>
  <si>
    <t>Breathable</t>
  </si>
  <si>
    <t>Dual Sided</t>
  </si>
  <si>
    <t>Animated</t>
  </si>
  <si>
    <t>Non-Wall Damaging</t>
  </si>
  <si>
    <t>Reusable</t>
  </si>
  <si>
    <t>Vintage</t>
  </si>
  <si>
    <t>Window Clinging</t>
  </si>
  <si>
    <t>No General Features</t>
  </si>
  <si>
    <t>Refers to a material's ability to allow air to circulate and moisture vapor to pass through its structure. This property facilitates temperature regulation and prevents the accumulation of heat and moisture, enhancing overall comfort and hygiene.</t>
  </si>
  <si>
    <t>Refers to an item that features two usable surfaces or sides, often characterized by being reversible or having functional elements and aesthetic finishes on both its front and back.</t>
  </si>
  <si>
    <t>Refers to a visual style characterized by the use of illustrations, drawings, or computer-generated imagery that depicts lifelike motion, whimsical characters, or exaggerated features. This aesthetic typically employs bold outlines, vibrant colors, and simplified or stylized proportions.</t>
  </si>
  <si>
    <t>Refers to an item that features two usable or functional surfaces. This may include materials with print, text, or adhesive on both sides, or fabrics and boards designed to be reversible or bilateral in application.</t>
  </si>
  <si>
    <t>Refers to items designed for installation or use without causing permanent alterations or harm to wall surfaces. This typically includes products utilizing specialized adhesives, suction, or tension systems that can be removed or repositioned without leaving residue, holes, or chipped paint.</t>
  </si>
  <si>
    <t>Refers to an item designed and manufactured to be used multiple times for its original purpose. It is constructed from durable materials capable of withstanding repeated cleaning or sanitizing without compromising its structural integrity or functionality.</t>
  </si>
  <si>
    <t>Refers to items that originate from a previous era, typically 20 to 100 years old, or new products designed to authentically imitate the high-quality craftsmanship, distinct silhouettes, and recognizable aesthetic characteristics of a specific historical time period.</t>
  </si>
  <si>
    <t>Refers to a product designed to adhere to smooth surfaces, such as glass, through the use of static electricity or a non-permanent micro-suction technology. This adhesive-free application allows for easy positioning, removal, and reuse without leaving a sticky residue.</t>
  </si>
  <si>
    <t>The item does not possess any of the standard, supplementary, or miscellaneous design elements listed within the general features category.</t>
  </si>
  <si>
    <t>Newborn (Birth - 6 months old)</t>
  </si>
  <si>
    <t>Infant (6 - 12 Months)</t>
  </si>
  <si>
    <t>Toddler (1 - 3 Years)</t>
  </si>
  <si>
    <t>Pre-school (3 - 5 Years)</t>
  </si>
  <si>
    <t>Youth (5 - 8 Years)</t>
  </si>
  <si>
    <t>Pre-teen (9 - 12 Years)</t>
  </si>
  <si>
    <t>Teen (13+)</t>
  </si>
  <si>
    <t>Adult (18+)</t>
  </si>
  <si>
    <t>All Ages</t>
  </si>
  <si>
    <t>Adult</t>
  </si>
  <si>
    <t>Baby</t>
  </si>
  <si>
    <t>Kid</t>
  </si>
  <si>
    <t>Teen</t>
  </si>
  <si>
    <t>Toddler</t>
  </si>
  <si>
    <t>Designed or suitable for newborns from birth up to 6 months old, generally requiring maximum safety features and support.</t>
  </si>
  <si>
    <t>Products designed or intended for use by infants from 6 months up to 1 year of age. These items are developed to support developmental milestones such as sitting, crawling, and early standing while adhering to strict safety standards regarding materials and construction.</t>
  </si>
  <si>
    <t>Products designed or intended for children aged 12 months to 3 years (36 months). Items must adhere to strict safety standards for this age group, including regulations regarding small parts, choking hazards, and stable construction to support developing motor skills and safe exploration.</t>
  </si>
  <si>
    <t>Products intended for or safely usable by children in the preschool age range, approximately 3 to 5 years old. These items are designed to be developmentally appropriate for children refining motor skills and engaging in imaginative, social, or cooperative play.</t>
  </si>
  <si>
    <t>Intended for children aged 5 to 8 years, typically corresponding to early elementary or primary school levels. Products in this range are designed to accommodate the advancing motor skills, increased reasoning abilities, and developmental needs typical of youth in this age group.</t>
  </si>
  <si>
    <t>Products designed for or safe to be used by children aged 9 to 12 years, generally corresponding to the pre-teen or tween years. These items accommodate larger body sizes and support increasing independence, abstract thinking, and social development.</t>
  </si>
  <si>
    <t>Designed for or safe to be used by individuals ages 13 years and older, corresponding to teenagers and above. These products are typically sized and built to accommodate adolescent body size, weight, and interests, offering appropriate levels of durability and complexity.</t>
  </si>
  <si>
    <t>Products intended for use by adults aged 18 and older. These products are designed for adult physical and cognitive abilities and do not require child-specific safety adaptations or meet children's product safety standards.</t>
  </si>
  <si>
    <t>Products designed and determined to be safe for use across all age groups, from newborns through adults. These items feature universal designs or adjustable components that accommodate users of all ages and comply with safety standards relevant to the youngest intended user.</t>
  </si>
  <si>
    <t>Indicates that the product is designed for or intended to be used by individuals who have reached physical maturity or the legal age of majority. This classification typically emphasizes aesthetic, functional, or ergonomic features tailored to the needs and preferences of mature users.</t>
  </si>
  <si>
    <t>Refers to products specifically designed for infants and very young children, typically ranging from birth to approximately 24 months of age. These items prioritize safety, comfort, and developmental needs appropriate for this early life stage.</t>
  </si>
  <si>
    <t>Refers to a demographic stage of human development generally encompassing the period from early childhood through pre-adolescence, typically between the ages of 4 and 12 years. This classification follows the transition from toddlerhood and precedes the teenage years.</t>
  </si>
  <si>
    <t>Refers to individuals typically between the ages of 13 and 19. This classification identifies products designed for, or sized to accommodate, persons in this specific developmental stage between childhood and adulthood.</t>
  </si>
  <si>
    <t>Refers to a developmental stage in early childhood typically encompassing children between the ages of 1 and 3 years (12 to 36 months). This period is characterized by significant milestones in physical mobility, language acquisition, and increasing independence.</t>
  </si>
  <si>
    <t>The manufacturer's warranty explicitly covers use in commercial or non-residential settings. Specific coverage details, including duration, components, or exclusions, may differ from residential terms and must be confirmed in the manufacturer's documentation.</t>
  </si>
  <si>
    <t>The manufacturer's warranty is restricted to residential use and is void for products used in non-residential or commercial settings.</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</si>
  <si>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</si>
  <si>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</si>
  <si>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</si>
  <si>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</si>
  <si>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</si>
  <si>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</si>
  <si>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</si>
  <si>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</si>
  <si>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</si>
  <si>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</si>
  <si>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</si>
  <si>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</si>
  <si>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</si>
  <si>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</si>
  <si>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</si>
  <si>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</si>
  <si>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</si>
  <si>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</si>
  <si>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</si>
  <si>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</si>
  <si>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</si>
  <si>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</si>
  <si>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</si>
  <si>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</si>
  <si>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The manufacturer warranty covers the product for 30 days from the date of purchase when used in a commercial environment.</t>
  </si>
  <si>
    <t>Manufacturer's warranty coverage for 60 days from the original date of commercial purchase.</t>
  </si>
  <si>
    <t>Manufacturer's warranty is valid for 90 days from the original purchase date when the product is used in a commercial environment.</t>
  </si>
  <si>
    <t>Manufacturer warranty coverage is for a duration of 6 months from the original commercial purchase date.</t>
  </si>
  <si>
    <t>Manufacturer's warranty coverage for one year from the original commercial purchase date.</t>
  </si>
  <si>
    <t>Manufacturer warranty coverage is for 2 years, starting from the original commercial purchase date.</t>
  </si>
  <si>
    <t>Manufacturer's warranty covers the product for three (3) years from the original commercial purchase date.</t>
  </si>
  <si>
    <t>The manufacturer warranty provides coverage for 5 years from the original commercial purchase date.</t>
  </si>
  <si>
    <t>A manufacturer's warranty of 10 years for use in a commercial setting, beginning from the date of purchase.</t>
  </si>
  <si>
    <t>The manufacturer's commercial warranty covers the product for a period of 20 years from the original date of purchase.</t>
  </si>
  <si>
    <t>Manufacturer warranty coverage for a continuous period of 25 years, effective from the date of original commercial purchase</t>
  </si>
  <si>
    <t>Manufacturer warranty that covers the product for its entire working lifespan or the original purchaser's lifetime when used commercially, subject to the manufacturer's policy.</t>
  </si>
  <si>
    <t>Commercial warranty coverage for a period of 15 years from the original purchase date.</t>
  </si>
  <si>
    <t>The manufacturer's warranty provides 4 years of coverage from the original commercial purchase date.</t>
  </si>
  <si>
    <t>Manufacturer warranty coverage for 18 months from the date of purchase when the product is used in a commercial environment.</t>
  </si>
  <si>
    <t>Manufacturer's warranty coverage for six years from the original commercial purchase date.</t>
  </si>
  <si>
    <t>Manufacturer's warranty for 7 years from the original commercial purchase date.</t>
  </si>
  <si>
    <t>Warranty coverage for a continuous period of eight (8) years from the date of purchase for commercial use.</t>
  </si>
  <si>
    <t>Manufacturer's warranty is valid for a period of 9 years for product use in a commercial environment.</t>
  </si>
  <si>
    <t>Warranty coverage for a continuous period of 12 years from the original commercial purchase date</t>
  </si>
  <si>
    <t>The manufacturer warranty covers the product for a duration of 11 years when used in a commercial environment.</t>
  </si>
  <si>
    <t>The manufacturer provides warranty coverage for a continuous period of 13 years from the original commercial purchase date.</t>
  </si>
  <si>
    <t>Manufacturer's commercial warranty provides continuous product coverage for a period of 14 years from the original purchase date.</t>
  </si>
  <si>
    <t>No commercial warranty coverage is provided by the manufacturer.</t>
  </si>
  <si>
    <t>Indicates the item meets the compliance criteria, standard specifications, or verification requirements specified by the program or regulation.</t>
  </si>
  <si>
    <t>The product packaging is compliant with the Uniform Packaging and Labeling Regulation (UPLR) as specified in NIST Handbook 130. The packaging displays the identity of the commodity, the name and place of business of the manufacturer, packer, or distributor, and the net quantity of contents in a uniform location and in appropriate units (e.g., metric and U.S. customary for consumer goods), as required.</t>
  </si>
  <si>
    <t>The product packaging does not meet the Uniform Packaging and Labeling Regulation (UPLR) requirements as specified in NIST Handbook 130. One or more mandatory elements—such as the declaration of identity, manufacturer/distributor details, or net quantity of contents—are missing, incomplete, or not presented according to the regulation, or the required units of measure are not provided.</t>
  </si>
  <si>
    <t>Yes, this product is restricted from being sold or shipped to Canadian customers via Wayfair.ca and affiliated brands. It will not be available for purchase or delivery to Canada.</t>
  </si>
  <si>
    <t>No, this product is not restricted and can be sold or shipped to Canadian customers via Wayfair.ca and affiliated brands.</t>
  </si>
  <si>
    <t>1A</t>
  </si>
  <si>
    <t>3A or 6A</t>
  </si>
  <si>
    <t>Packaging has been certified by passing ISTA Procedure 1A. ISTA 1A is a non-simulation integrity performance test for individually packaged products weighing up to 150 lb (68 kg). It is a screening test that challenges the strength and robustness of the product and package combination using drop and vibration tests but does not simulate a defined transit environment.</t>
  </si>
  <si>
    <t>Packaging has been certified by passing either ISTA Procedure 3A or 6A. ISTA 3A is a general simulation performance test for single packaged-products (up to 150 lb/70 kg) shipped by parcel delivery systems and simulates hazards like drops, vibration, compression, and environmental conditions. ISTA 6A is a more advanced test protocol customized for specific retailer distribution systems (e.g., Amazon SIOC). Both confirm that the packaging can withstand typical shipping conditions as defined by those procedures.</t>
  </si>
  <si>
    <t>Indicates that the item holds one or more third-party sustainability or social responsibility certifications recognized within North America.</t>
  </si>
  <si>
    <t>Indicates that the specified attribute, certification, compliance standard, or feature is not applicable to, possessed by, or incorporated within the product.</t>
  </si>
  <si>
    <t>Stickalz</t>
  </si>
  <si>
    <t>Primary Variant</t>
  </si>
  <si>
    <t>Non-Primary Variant</t>
  </si>
  <si>
    <t>Not Variant</t>
  </si>
  <si>
    <t>Size</t>
  </si>
  <si>
    <t>Small Parcel</t>
  </si>
  <si>
    <t>LTL</t>
  </si>
  <si>
    <t>50</t>
  </si>
  <si>
    <t>55</t>
  </si>
  <si>
    <t>60</t>
  </si>
  <si>
    <t>65</t>
  </si>
  <si>
    <t>70</t>
  </si>
  <si>
    <t>77.5</t>
  </si>
  <si>
    <t>85</t>
  </si>
  <si>
    <t>92.5</t>
  </si>
  <si>
    <t>100</t>
  </si>
  <si>
    <t>110</t>
  </si>
  <si>
    <t>125</t>
  </si>
  <si>
    <t>150</t>
  </si>
  <si>
    <t>175</t>
  </si>
  <si>
    <t>200</t>
  </si>
  <si>
    <t>250</t>
  </si>
  <si>
    <t>300</t>
  </si>
  <si>
    <t>400</t>
  </si>
  <si>
    <t>500</t>
  </si>
  <si>
    <t>0</t>
  </si>
  <si>
    <t>48</t>
  </si>
  <si>
    <t>72</t>
  </si>
  <si>
    <t>96</t>
  </si>
  <si>
    <t>120</t>
  </si>
  <si>
    <t>144</t>
  </si>
  <si>
    <t>168</t>
  </si>
  <si>
    <t>192</t>
  </si>
  <si>
    <t>216</t>
  </si>
  <si>
    <t>240</t>
  </si>
  <si>
    <t>360</t>
  </si>
  <si>
    <t>480</t>
  </si>
  <si>
    <t>600</t>
  </si>
  <si>
    <t>720</t>
  </si>
  <si>
    <t>840</t>
  </si>
  <si>
    <t>960</t>
  </si>
  <si>
    <t>1080</t>
  </si>
  <si>
    <t>1200</t>
  </si>
  <si>
    <t>1320</t>
  </si>
  <si>
    <t>1440</t>
  </si>
  <si>
    <t>1680</t>
  </si>
  <si>
    <t>1800</t>
  </si>
  <si>
    <t>1920</t>
  </si>
  <si>
    <t>2040</t>
  </si>
  <si>
    <t>2160</t>
  </si>
  <si>
    <t>2280</t>
  </si>
  <si>
    <t>2400</t>
  </si>
  <si>
    <t>2520</t>
  </si>
  <si>
    <t>2640</t>
  </si>
  <si>
    <t>2760</t>
  </si>
  <si>
    <t>2880</t>
  </si>
  <si>
    <t>3000</t>
  </si>
  <si>
    <t>3120</t>
  </si>
  <si>
    <t>A-alpha-C (2-Amino-9H-pyrido[2,3-b]indole)</t>
  </si>
  <si>
    <t>Abiraterone acetate</t>
  </si>
  <si>
    <t>Acetaldehyde</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</si>
  <si>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</si>
  <si>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</si>
  <si>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</si>
  <si>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</si>
  <si>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</si>
  <si>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</si>
  <si>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</si>
  <si>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</si>
  <si>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</si>
  <si>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</si>
  <si>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</si>
  <si>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</si>
  <si>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 when associated with alcohol abuse</t>
  </si>
  <si>
    <t>Aldrin</t>
  </si>
  <si>
    <t>All-trans retinoic acid</t>
  </si>
  <si>
    <t>Aloe Vera, non-decolorized whole leaf extract</t>
  </si>
  <si>
    <t>Alprazolam</t>
  </si>
  <si>
    <t>Amantadine hydrochloride</t>
  </si>
  <si>
    <t>Amikacin sulfate</t>
  </si>
  <si>
    <t>2-Aminoanthraquinone</t>
  </si>
  <si>
    <t>p-Aminoazobenzene</t>
  </si>
  <si>
    <t>o-Aminoazotoluene</t>
  </si>
  <si>
    <t>4-Aminobiphenyl (4-aminodiphenyl)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</si>
  <si>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</si>
  <si>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</si>
  <si>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</si>
  <si>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</si>
  <si>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</si>
  <si>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</si>
  <si>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</si>
  <si>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</si>
  <si>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</si>
  <si>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</si>
  <si>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</si>
  <si>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</si>
  <si>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</si>
  <si>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</si>
  <si>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Analgesic mixtures containing Phenacetin</t>
  </si>
  <si>
    <t>Androstenedione</t>
  </si>
  <si>
    <t>Angiotensin converting enzyme  (ACE) inhibitors</t>
  </si>
  <si>
    <t>Aniline</t>
  </si>
  <si>
    <t>Aniline hydrochloride</t>
  </si>
  <si>
    <t>o-Anisidine</t>
  </si>
  <si>
    <t>o-Anisidine hydrochloride</t>
  </si>
  <si>
    <t>Anisindione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</si>
  <si>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</si>
  <si>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</si>
  <si>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</si>
  <si>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</si>
  <si>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</si>
  <si>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</si>
  <si>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</si>
  <si>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</si>
  <si>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</si>
  <si>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</si>
  <si>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</si>
  <si>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</si>
  <si>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</si>
  <si>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</si>
  <si>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</si>
  <si>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</si>
  <si>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</si>
  <si>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</si>
  <si>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</si>
  <si>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</si>
  <si>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</si>
  <si>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</si>
  <si>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</si>
  <si>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</si>
  <si>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</si>
  <si>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</si>
  <si>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</si>
  <si>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</si>
  <si>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</si>
  <si>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</si>
  <si>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</si>
  <si>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</si>
  <si>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</si>
  <si>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</si>
  <si>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</si>
  <si>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</si>
  <si>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</si>
  <si>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</si>
  <si>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Betel quid with tobacco</t>
  </si>
  <si>
    <t>Betel quid without tobacco</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</si>
  <si>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</si>
  <si>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</si>
  <si>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</si>
  <si>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</si>
  <si>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</si>
  <si>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</si>
  <si>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</si>
  <si>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</si>
  <si>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</si>
  <si>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</si>
  <si>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</si>
  <si>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</si>
  <si>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</si>
  <si>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</si>
  <si>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</si>
  <si>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</si>
  <si>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1-Bromopropane (1-BP)</t>
  </si>
  <si>
    <t>Bromoxynil</t>
  </si>
  <si>
    <t>Bromoxynil octanoate</t>
  </si>
  <si>
    <t>Butabarbital sodium</t>
  </si>
  <si>
    <t>1,3-Butadiene</t>
  </si>
  <si>
    <t>1,4-Butanediol dimethanesulfonate (Busulfan)</t>
  </si>
  <si>
    <t>Butylated hydroxyanisole</t>
  </si>
  <si>
    <t>Butyl benzyl phthalate (BBP)d</t>
  </si>
  <si>
    <t>beta-Butyrolactone</t>
  </si>
  <si>
    <t>Cacodylic acid</t>
  </si>
  <si>
    <t>Cadmium</t>
  </si>
  <si>
    <t>Cadmium and cadmium compounds</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</si>
  <si>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</si>
  <si>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</si>
  <si>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</si>
  <si>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</si>
  <si>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</si>
  <si>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</si>
  <si>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</si>
  <si>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</si>
  <si>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</si>
  <si>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</si>
  <si>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</si>
  <si>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</si>
  <si>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</si>
  <si>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</si>
  <si>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</si>
  <si>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</si>
  <si>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</si>
  <si>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</si>
  <si>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</si>
  <si>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</si>
  <si>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</si>
  <si>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</si>
  <si>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</si>
  <si>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</si>
  <si>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</si>
  <si>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</si>
  <si>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</si>
  <si>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</si>
  <si>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</si>
  <si>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</si>
  <si>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</si>
  <si>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</si>
  <si>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</si>
  <si>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</si>
  <si>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Chloromethyl methyl ether (technical grade)</t>
  </si>
  <si>
    <t>3-Chloro-2-methylpropene</t>
  </si>
  <si>
    <t>1-Chloro-4-nitrobenzene</t>
  </si>
  <si>
    <t>4-Chloro-o-phenylenediamine</t>
  </si>
  <si>
    <t>Chloroprene</t>
  </si>
  <si>
    <t>Chlorothalonil</t>
  </si>
  <si>
    <t>p-Chloro-o-toluidine</t>
  </si>
  <si>
    <t>p-Chloro-o-toluidine, strong acid salts of</t>
  </si>
  <si>
    <t>5-Chloro-o-toluidine and its strong acid salts</t>
  </si>
  <si>
    <t>Chlorotrianisene</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</si>
  <si>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</si>
  <si>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</si>
  <si>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</si>
  <si>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</si>
  <si>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</si>
  <si>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</si>
  <si>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</si>
  <si>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</si>
  <si>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</si>
  <si>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</si>
  <si>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</si>
  <si>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</si>
  <si>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</si>
  <si>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</si>
  <si>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</si>
  <si>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</si>
  <si>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</si>
  <si>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</si>
  <si>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</si>
  <si>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</si>
  <si>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</si>
  <si>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</si>
  <si>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</si>
  <si>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</si>
  <si>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</si>
  <si>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</si>
  <si>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</si>
  <si>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</si>
  <si>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</si>
  <si>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</si>
  <si>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</si>
  <si>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</si>
  <si>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</si>
  <si>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</si>
  <si>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</si>
  <si>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</si>
  <si>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</si>
  <si>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</si>
  <si>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</si>
  <si>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</si>
  <si>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</si>
  <si>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</si>
  <si>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</si>
  <si>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</si>
  <si>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</si>
  <si>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</si>
  <si>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</si>
  <si>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</si>
  <si>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</si>
  <si>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</si>
  <si>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</si>
  <si>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</si>
  <si>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</si>
  <si>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</si>
  <si>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</si>
  <si>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</si>
  <si>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2,4-D butyric acid</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</si>
  <si>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</si>
  <si>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</si>
  <si>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</si>
  <si>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</si>
  <si>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</si>
  <si>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</si>
  <si>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</si>
  <si>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</si>
  <si>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</si>
  <si>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</si>
  <si>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</si>
  <si>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</si>
  <si>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</si>
  <si>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</si>
  <si>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</si>
  <si>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</si>
  <si>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</si>
  <si>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</si>
  <si>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</si>
  <si>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</si>
  <si>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</si>
  <si>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</si>
  <si>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</si>
  <si>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</si>
  <si>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</si>
  <si>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</si>
  <si>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</si>
  <si>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</si>
  <si>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</si>
  <si>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</si>
  <si>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</si>
  <si>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</si>
  <si>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</si>
  <si>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</si>
  <si>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</si>
  <si>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</si>
  <si>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</si>
  <si>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</si>
  <si>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</si>
  <si>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</si>
  <si>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</si>
  <si>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Dichlorophene</t>
  </si>
  <si>
    <t>Dichlorphenamide</t>
  </si>
  <si>
    <t>1,2-Dichloropropane</t>
  </si>
  <si>
    <t>1,3-Dichloro-2-propanol (1,3-DCP)</t>
  </si>
  <si>
    <t>1,3-Dichloropropene</t>
  </si>
  <si>
    <t>Dicumarol</t>
  </si>
  <si>
    <t>Dieldrin</t>
  </si>
  <si>
    <t>Diepoxybutane</t>
  </si>
  <si>
    <t>Diesel engine exhaust</t>
  </si>
  <si>
    <t>Diethanolamine</t>
  </si>
  <si>
    <t>Di(2-ethylhexyl)phthalate (DEHP)</t>
  </si>
  <si>
    <t>1,2-Diethylhydrazine</t>
  </si>
  <si>
    <t>Diethylstilbestrol (DES)</t>
  </si>
  <si>
    <t>Diethyl sulfate</t>
  </si>
  <si>
    <t>Diflunisal</t>
  </si>
  <si>
    <t>Diglycidyl resorcinol ether (DGRE)</t>
  </si>
  <si>
    <t>Dihydroergotamine mesylate</t>
  </si>
  <si>
    <t>Dihydrosafrole</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</si>
  <si>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</si>
  <si>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</si>
  <si>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</si>
  <si>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</si>
  <si>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</si>
  <si>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</si>
  <si>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</si>
  <si>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</si>
  <si>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</si>
  <si>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</si>
  <si>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</si>
  <si>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</si>
  <si>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</si>
  <si>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</si>
  <si>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</si>
  <si>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</si>
  <si>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</si>
  <si>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2,6-Dimethyl-N-nitrosomorpholine (DMNM)</t>
  </si>
  <si>
    <t>Dimethyl sulfate</t>
  </si>
  <si>
    <t>N,N-Dimethyl-p-toluidine</t>
  </si>
  <si>
    <t>Dimethylvinylchloride</t>
  </si>
  <si>
    <t>Di-n-butyl phthalate (DBP)</t>
  </si>
  <si>
    <t>3,7-Dinitrofluoranthene</t>
  </si>
  <si>
    <t>3,9-Dinitrofluoranthene</t>
  </si>
  <si>
    <t>1,3-Dinitropyrene</t>
  </si>
  <si>
    <t>1,6-Dinitropyrene</t>
  </si>
  <si>
    <t>1,8-Dinitropyrene</t>
  </si>
  <si>
    <t>2,4-Dinitrotoluene</t>
  </si>
  <si>
    <t>2,6-Dinitrotoluene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</si>
  <si>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</si>
  <si>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</si>
  <si>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</si>
  <si>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</si>
  <si>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</si>
  <si>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</si>
  <si>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</si>
  <si>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</si>
  <si>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</si>
  <si>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</si>
  <si>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</si>
  <si>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</si>
  <si>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</si>
  <si>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</si>
  <si>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</si>
  <si>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</si>
  <si>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</si>
  <si>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</si>
  <si>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</si>
  <si>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</si>
  <si>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</si>
  <si>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</si>
  <si>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</si>
  <si>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</si>
  <si>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</si>
  <si>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Estradiol 17B</t>
  </si>
  <si>
    <t>Estragole</t>
  </si>
  <si>
    <t>Estrogens, steroidal</t>
  </si>
  <si>
    <t>Estrogen-progestogen (combined) used as menopausal therapy</t>
  </si>
  <si>
    <t>Estrone</t>
  </si>
  <si>
    <t>Estropipate</t>
  </si>
  <si>
    <t>Ethanol in alcoholic beverages</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</si>
  <si>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</si>
  <si>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</si>
  <si>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</si>
  <si>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</si>
  <si>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</si>
  <si>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</si>
  <si>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</si>
  <si>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</si>
  <si>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</si>
  <si>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</si>
  <si>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</si>
  <si>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</si>
  <si>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</si>
  <si>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</si>
  <si>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</si>
  <si>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</si>
  <si>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</si>
  <si>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</si>
  <si>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</si>
  <si>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</si>
  <si>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</si>
  <si>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</si>
  <si>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</si>
  <si>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</si>
  <si>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</si>
  <si>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</si>
  <si>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</si>
  <si>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</si>
  <si>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</si>
  <si>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</si>
  <si>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</si>
  <si>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</si>
  <si>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</si>
  <si>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</si>
  <si>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</si>
  <si>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</si>
  <si>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 (gas)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</si>
  <si>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</si>
  <si>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</si>
  <si>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</si>
  <si>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</si>
  <si>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</si>
  <si>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</si>
  <si>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</si>
  <si>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</si>
  <si>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</si>
  <si>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</si>
  <si>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</si>
  <si>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</si>
  <si>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</si>
  <si>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</si>
  <si>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</si>
  <si>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</si>
  <si>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</si>
  <si>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</si>
  <si>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</si>
  <si>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</si>
  <si>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</si>
  <si>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</si>
  <si>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</si>
  <si>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</si>
  <si>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</si>
  <si>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</si>
  <si>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</si>
  <si>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</si>
  <si>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</si>
  <si>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</si>
  <si>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</si>
  <si>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</si>
  <si>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Hexachlorodibenzodioxin</t>
  </si>
  <si>
    <t>Hexachloroethane</t>
  </si>
  <si>
    <t>2,4-Hexadienal (89% trans, trans isomer; 11% cis, trans isomer)</t>
  </si>
  <si>
    <t>Hexafluoroacetone</t>
  </si>
  <si>
    <t>Hexamethylphosphoramide</t>
  </si>
  <si>
    <t>Histrelin acetate</t>
  </si>
  <si>
    <t>Hydramethylnon</t>
  </si>
  <si>
    <t>Hydrazine</t>
  </si>
  <si>
    <t>Hydrazine sulfate</t>
  </si>
  <si>
    <t>Hydrazobenzene (1,2-Diphenylhydrazine)</t>
  </si>
  <si>
    <t>1-Hydroxyanthraquinone</t>
  </si>
  <si>
    <t>Hydroxyurea</t>
  </si>
  <si>
    <t>Idarubicin hydrochloride</t>
  </si>
  <si>
    <t>Ifosfamide</t>
  </si>
  <si>
    <t>Iodine-131</t>
  </si>
  <si>
    <t>Imazalil</t>
  </si>
  <si>
    <t>Indeno[1,2,3-cd]pyrene</t>
  </si>
  <si>
    <t>Indium phosphide</t>
  </si>
  <si>
    <t>IQ (2-Amino-3-methylimidazo[4,5-f] quinoline)</t>
  </si>
  <si>
    <t>Iprodione</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</si>
  <si>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</si>
  <si>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</si>
  <si>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</si>
  <si>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</si>
  <si>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</si>
  <si>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</si>
  <si>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</si>
  <si>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</si>
  <si>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</si>
  <si>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</si>
  <si>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</si>
  <si>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</si>
  <si>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</si>
  <si>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</si>
  <si>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</si>
  <si>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Leuprolide acetate</t>
  </si>
  <si>
    <t>Levodopa</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</si>
  <si>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</si>
  <si>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</si>
  <si>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</si>
  <si>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</si>
  <si>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</si>
  <si>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</si>
  <si>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</si>
  <si>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</si>
  <si>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</si>
  <si>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</si>
  <si>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</si>
  <si>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</si>
  <si>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</si>
  <si>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</si>
  <si>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</si>
  <si>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</si>
  <si>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</si>
  <si>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</si>
  <si>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</si>
  <si>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</si>
  <si>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</si>
  <si>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</si>
  <si>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</si>
  <si>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</si>
  <si>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</si>
  <si>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</si>
  <si>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</si>
  <si>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</si>
  <si>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</si>
  <si>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</si>
  <si>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</si>
  <si>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</si>
  <si>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</si>
  <si>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</si>
  <si>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</si>
  <si>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</si>
  <si>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</si>
  <si>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</si>
  <si>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</si>
  <si>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</si>
  <si>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</si>
  <si>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</si>
  <si>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</si>
  <si>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</si>
  <si>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</si>
  <si>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</si>
  <si>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</si>
  <si>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</si>
  <si>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</si>
  <si>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</si>
  <si>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</si>
  <si>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</si>
  <si>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2-Methylimidazole</t>
  </si>
  <si>
    <t>4-Methylimidazole</t>
  </si>
  <si>
    <t>Methyl iodide</t>
  </si>
  <si>
    <t>Methyl isobutyl ketone</t>
  </si>
  <si>
    <t>Methyl isobutyl ketone (MIBK)</t>
  </si>
  <si>
    <t>Methyl isocyanate (MIC)</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</si>
  <si>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</si>
  <si>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</si>
  <si>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</si>
  <si>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</si>
  <si>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</si>
  <si>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</si>
  <si>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</si>
  <si>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</si>
  <si>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</si>
  <si>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</si>
  <si>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</si>
  <si>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</si>
  <si>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</si>
  <si>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</si>
  <si>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</si>
  <si>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</si>
  <si>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</si>
  <si>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</si>
  <si>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</si>
  <si>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</si>
  <si>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</si>
  <si>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</si>
  <si>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</si>
  <si>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</si>
  <si>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</si>
  <si>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</si>
  <si>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</si>
  <si>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</si>
  <si>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</si>
  <si>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</si>
  <si>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</si>
  <si>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</si>
  <si>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</si>
  <si>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</si>
  <si>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</si>
  <si>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</si>
  <si>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</si>
  <si>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</si>
  <si>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</si>
  <si>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</si>
  <si>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</si>
  <si>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</si>
  <si>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</si>
  <si>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</si>
  <si>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</si>
  <si>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</si>
  <si>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</si>
  <si>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</si>
  <si>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</si>
  <si>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</si>
  <si>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</si>
  <si>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</si>
  <si>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</si>
  <si>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</si>
  <si>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</si>
  <si>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</si>
  <si>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</si>
  <si>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</si>
  <si>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Nitrobenzene</t>
  </si>
  <si>
    <t>4-Nitrobiphenyl</t>
  </si>
  <si>
    <t>6-Nitrochrysene</t>
  </si>
  <si>
    <t>Nitrofen (technical grade)</t>
  </si>
  <si>
    <t>2-Nitrofluorene</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</si>
  <si>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</si>
  <si>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</si>
  <si>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</si>
  <si>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</si>
  <si>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</si>
  <si>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</si>
  <si>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</si>
  <si>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</si>
  <si>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</si>
  <si>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</si>
  <si>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</si>
  <si>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</si>
  <si>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</si>
  <si>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</si>
  <si>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</si>
  <si>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</si>
  <si>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</si>
  <si>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</si>
  <si>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</si>
  <si>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</si>
  <si>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</si>
  <si>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</si>
  <si>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</si>
  <si>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</si>
  <si>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</si>
  <si>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</si>
  <si>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</si>
  <si>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</si>
  <si>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</si>
  <si>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</si>
  <si>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</si>
  <si>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</si>
  <si>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</si>
  <si>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</si>
  <si>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</si>
  <si>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</si>
  <si>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</si>
  <si>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</si>
  <si>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</si>
  <si>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</si>
  <si>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</si>
  <si>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</si>
  <si>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</si>
  <si>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</si>
  <si>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</si>
  <si>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(Norethindrone)/Ethinyl estradiol</t>
  </si>
  <si>
    <t>Norethynodrel</t>
  </si>
  <si>
    <t>Norgestrel</t>
  </si>
  <si>
    <t>Ochratoxin A</t>
  </si>
  <si>
    <t>Oil Orange SS</t>
  </si>
  <si>
    <t>Oral contraceptives, combined</t>
  </si>
  <si>
    <t>Oral contraceptives, sequential</t>
  </si>
  <si>
    <t>Oryzalin</t>
  </si>
  <si>
    <t>Oxadiazon</t>
  </si>
  <si>
    <t>Oxazepam</t>
  </si>
  <si>
    <t>Oxymetholone</t>
  </si>
  <si>
    <t>Oxytetracycline (internal use)</t>
  </si>
  <si>
    <t>Oxytetracycline hydrochloride (internal use)</t>
  </si>
  <si>
    <t>Oxythioquinox (Chinomethionat)</t>
  </si>
  <si>
    <t>Paclitaxel</t>
  </si>
  <si>
    <t>Palygorskite fibers (&gt; 5mm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</si>
  <si>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</si>
  <si>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</si>
  <si>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</si>
  <si>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</si>
  <si>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</si>
  <si>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</si>
  <si>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</si>
  <si>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</si>
  <si>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</si>
  <si>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</si>
  <si>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</si>
  <si>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</si>
  <si>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</si>
  <si>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</si>
  <si>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</si>
  <si>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</si>
  <si>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</si>
  <si>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</si>
  <si>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</si>
  <si>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</si>
  <si>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</si>
  <si>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</si>
  <si>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</si>
  <si>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</si>
  <si>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Phenylhydrazine and its salts</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</si>
  <si>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</si>
  <si>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</si>
  <si>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</si>
  <si>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</si>
  <si>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</si>
  <si>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</si>
  <si>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</si>
  <si>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</si>
  <si>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</si>
  <si>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</si>
  <si>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</si>
  <si>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</si>
  <si>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</si>
  <si>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</si>
  <si>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</si>
  <si>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</si>
  <si>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</si>
  <si>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</si>
  <si>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</si>
  <si>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</si>
  <si>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</si>
  <si>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</si>
  <si>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</si>
  <si>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</si>
  <si>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</si>
  <si>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</si>
  <si>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</si>
  <si>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</si>
  <si>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</si>
  <si>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</si>
  <si>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</si>
  <si>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</si>
  <si>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</si>
  <si>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</si>
  <si>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</si>
  <si>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</si>
  <si>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</si>
  <si>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</si>
  <si>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</si>
  <si>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</si>
  <si>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</si>
  <si>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</si>
  <si>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Radionuclides</t>
  </si>
  <si>
    <t>Reserpine</t>
  </si>
  <si>
    <t>Residual (heavy) fuel oils</t>
  </si>
  <si>
    <t>Resmethrin</t>
  </si>
  <si>
    <t>Retinol/retinyl esters, when in daily dosages in excess of 10,000 IU, or 3,000 retinol equivalents.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</si>
  <si>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</si>
  <si>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</si>
  <si>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</si>
  <si>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</si>
  <si>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</si>
  <si>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</si>
  <si>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</si>
  <si>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</si>
  <si>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</si>
  <si>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</si>
  <si>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</si>
  <si>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</si>
  <si>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</si>
  <si>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</si>
  <si>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</si>
  <si>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</si>
  <si>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</si>
  <si>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</si>
  <si>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</si>
  <si>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</si>
  <si>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</si>
  <si>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</si>
  <si>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</si>
  <si>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</si>
  <si>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</si>
  <si>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</si>
  <si>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</si>
  <si>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</si>
  <si>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</si>
  <si>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</si>
  <si>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</si>
  <si>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</si>
  <si>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</si>
  <si>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</si>
  <si>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</si>
  <si>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</si>
  <si>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</si>
  <si>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</si>
  <si>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</si>
  <si>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</si>
  <si>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</si>
  <si>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</si>
  <si>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</si>
  <si>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</si>
  <si>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</si>
  <si>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</si>
  <si>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</si>
  <si>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</si>
  <si>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</si>
  <si>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</si>
  <si>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</si>
  <si>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Tetranitromethane</t>
  </si>
  <si>
    <t>Thalidomide</t>
  </si>
  <si>
    <t>Thioacetamide</t>
  </si>
  <si>
    <t>4,4'-Thiodianiline</t>
  </si>
  <si>
    <t>Thiodicarb</t>
  </si>
  <si>
    <t>Thioguanine</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</si>
  <si>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</si>
  <si>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</si>
  <si>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</si>
  <si>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</si>
  <si>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</si>
  <si>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</si>
  <si>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</si>
  <si>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</si>
  <si>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</si>
  <si>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</si>
  <si>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</si>
  <si>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</si>
  <si>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</si>
  <si>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</si>
  <si>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</si>
  <si>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</si>
  <si>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</si>
  <si>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</si>
  <si>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</si>
  <si>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</si>
  <si>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</si>
  <si>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</si>
  <si>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</si>
  <si>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Trichloroethylene</t>
  </si>
  <si>
    <t>2,4,6-Trichlorophenol</t>
  </si>
  <si>
    <t>1,2,3-Trichloropropane</t>
  </si>
  <si>
    <t>Trientine hydrochloride</t>
  </si>
  <si>
    <t>Triforine</t>
  </si>
  <si>
    <t>Trilostane</t>
  </si>
  <si>
    <t>Trimethadione</t>
  </si>
  <si>
    <t>2,4,5-Trimethylaniline and its strong acid salts</t>
  </si>
  <si>
    <t>Trimethyl phosphate</t>
  </si>
  <si>
    <t>Trimetrexate glucuronate</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</si>
  <si>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</si>
  <si>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</si>
  <si>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</si>
  <si>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</si>
  <si>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</si>
  <si>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</si>
  <si>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</si>
  <si>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</si>
  <si>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</si>
  <si>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</si>
  <si>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</si>
  <si>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</si>
  <si>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</si>
  <si>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</si>
  <si>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</si>
  <si>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</si>
  <si>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</si>
  <si>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</si>
  <si>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</si>
  <si>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</si>
  <si>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</si>
  <si>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cyclohexenedioxide)</t>
  </si>
  <si>
    <t>Vinyl fluoride</t>
  </si>
  <si>
    <t>Vinylidene chloride (1,1-Dichloroethylene)</t>
  </si>
  <si>
    <t>Vinyl trichloride (1,1,2-Trichloroethane)</t>
  </si>
  <si>
    <t>Warfarin</t>
  </si>
  <si>
    <t>Wood dust</t>
  </si>
  <si>
    <t>2,6-Xylidine (2,6-Dimethylaniline)</t>
  </si>
  <si>
    <t>Zalcitabine</t>
  </si>
  <si>
    <t>Zidovudine (AZT)</t>
  </si>
  <si>
    <t>Zileuton</t>
  </si>
  <si>
    <t>2-Bromopropane (2-BP)</t>
  </si>
  <si>
    <t>2-Chloropropionic acid</t>
  </si>
  <si>
    <t>Di-n-hexyl phthalate (DnHP)</t>
  </si>
  <si>
    <t>m-Dinitrobenzene</t>
  </si>
  <si>
    <t>o-Dinitrobenzene</t>
  </si>
  <si>
    <t>p-Dinitrobenzene</t>
  </si>
  <si>
    <t>Dinitrotoluene (technical grade)</t>
  </si>
  <si>
    <t>n-Hexane</t>
  </si>
  <si>
    <t>2,5-Hexanedione</t>
  </si>
  <si>
    <t>Hydrogen cyanide (HCN) and cyanide salts (CN salts)</t>
  </si>
  <si>
    <t>Levonorgestrel implants</t>
  </si>
  <si>
    <t>Nitrofurantoin</t>
  </si>
  <si>
    <t>Oxydemeton methyl</t>
  </si>
  <si>
    <t>Quizalofop-ethyl</t>
  </si>
  <si>
    <t>Sodium fluoroacetate</t>
  </si>
  <si>
    <t>Thiophanate methyl</t>
  </si>
  <si>
    <t>Vinyl cyclohexene dioxide (4-Vinyl-1-cyclohexene diepoxide)</t>
  </si>
  <si>
    <t>Chloroform</t>
  </si>
  <si>
    <t>1,2-Dibromo-3-chloropropane (DBCP)</t>
  </si>
  <si>
    <t>Diclofop-methyl</t>
  </si>
  <si>
    <t>Phenyl glycidyl ether</t>
  </si>
  <si>
    <t>Di-isodecyl phthalate (DIDP)</t>
  </si>
  <si>
    <t>Erionite</t>
  </si>
  <si>
    <t>Iprovalicarb</t>
  </si>
  <si>
    <t>Nickel hydroxide</t>
  </si>
  <si>
    <t>Norethisterone (Norethindrone) /Mestranol</t>
  </si>
  <si>
    <t>Anabolic steroids</t>
  </si>
  <si>
    <t>Altretamine</t>
  </si>
  <si>
    <t>Beryllium</t>
  </si>
  <si>
    <t>Beryllium Oxide</t>
  </si>
  <si>
    <t>Beryllium Sulfate</t>
  </si>
  <si>
    <t>Hexachlorocyclohexane (alpha isomer)</t>
  </si>
  <si>
    <t>Hexachlorocyclohexane (beta isomer)</t>
  </si>
  <si>
    <t>Hexachlorocyclohexane (gamma isomer)</t>
  </si>
  <si>
    <t>Cyanide salts that readily dissociate in solution (expressed as cyanide)</t>
  </si>
  <si>
    <t>Hydrogen cyanide</t>
  </si>
  <si>
    <t>Potassium cyanide</t>
  </si>
  <si>
    <t>Methylhydrazine</t>
  </si>
  <si>
    <t>Methylhydrazine sulfate</t>
  </si>
  <si>
    <t>o-Phenylenediamine</t>
  </si>
  <si>
    <t>o-Phenylenediamine dihydochloride</t>
  </si>
  <si>
    <t>Phenylhydrazine</t>
  </si>
  <si>
    <t>Phenylhydrazine hydrochloride</t>
  </si>
  <si>
    <t>Sodium cyanide</t>
  </si>
  <si>
    <t>Short form warning</t>
  </si>
  <si>
    <t>Nickel (soluble compounds)</t>
  </si>
  <si>
    <t>TRIM VX</t>
  </si>
  <si>
    <t>N-Nitrosohexamethyleneimine</t>
  </si>
  <si>
    <t>Gentian violet (Crystal violet)</t>
  </si>
  <si>
    <t>Custom warning</t>
  </si>
  <si>
    <t>2-Amino-4-chlorophenol</t>
  </si>
  <si>
    <t>2-Chloronitrobenzene</t>
  </si>
  <si>
    <t>1,4-Dichloro-2-nitrobenzene</t>
  </si>
  <si>
    <t>2,4-Dichloro-1-nitrobenzene</t>
  </si>
  <si>
    <t>Bevacizumab</t>
  </si>
  <si>
    <t>p-chloro-?,?,?-trifluorotoluene (para-Chlorobenzotrifluoride, PCBTF)</t>
  </si>
  <si>
    <t>para-Nitroanisole</t>
  </si>
  <si>
    <t>Cannabis (marijuana) smoke</t>
  </si>
  <si>
    <t>?9 -Tetrahydrocannabinol (?9 -THC)</t>
  </si>
  <si>
    <t>1,1,1-Trichloroethane</t>
  </si>
  <si>
    <t>1-Bromo-3-chloropropane</t>
  </si>
  <si>
    <t>1-Butyl glycidyl ether</t>
  </si>
  <si>
    <t>2-Ethylhexyl acrylate</t>
  </si>
  <si>
    <t>Alcoholic beverages</t>
  </si>
  <si>
    <t>Anthracene</t>
  </si>
  <si>
    <t>Bisphenol S (BPS)</t>
  </si>
  <si>
    <t>Coal-tar pitch</t>
  </si>
  <si>
    <t>Dimethyl hydrogen phosphite</t>
  </si>
  <si>
    <t>Fluoro-edenite fibrous amphibole</t>
  </si>
  <si>
    <t>Glycidyl methacrylate</t>
  </si>
  <si>
    <t>Hexachlorocyclohexane (technical grade)</t>
  </si>
  <si>
    <t>Indium tin oxide</t>
  </si>
  <si>
    <t>Leucomalachite green</t>
  </si>
  <si>
    <t>Methyl acrylate</t>
  </si>
  <si>
    <t>Molybdenum trioxide</t>
  </si>
  <si>
    <t>p-Chloro-o-toluidine, hydrochloride</t>
  </si>
  <si>
    <t>Perfluorononanoic acid (PFNA) and its salts</t>
  </si>
  <si>
    <t>Perfluorooctane sulfonic acid (PFOS) and its salts and transformation and degradation precursors</t>
  </si>
  <si>
    <t>Retinol/retinyl esters, when in daily dosages in excess of 10,000 IU, or 3,000 retinol equivalents. (NOTE: Retinol/retinyl esters are required and essential for maintenance of normal reproductive function. The recommended daily level during pregnancy is 8,000 IU.)</t>
  </si>
  <si>
    <t>Silicon carbide whiskers</t>
  </si>
  <si>
    <t>Tetrahydrofuran</t>
  </si>
  <si>
    <t>Trimethylolpropane triacrylate, technical grade</t>
  </si>
  <si>
    <t>Vismodegib</t>
  </si>
  <si>
    <t>Cancer</t>
  </si>
  <si>
    <t>Developmental</t>
  </si>
  <si>
    <t>Both</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</si>
  <si>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</si>
  <si>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</si>
  <si>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</si>
  <si>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</si>
  <si>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</si>
  <si>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</si>
  <si>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</si>
  <si>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</si>
  <si>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</si>
  <si>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</si>
  <si>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</si>
  <si>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</si>
  <si>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</si>
  <si>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</si>
  <si>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</si>
  <si>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</si>
  <si>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</si>
  <si>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</si>
  <si>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</si>
  <si>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</si>
  <si>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</si>
  <si>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</si>
  <si>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</si>
  <si>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</si>
  <si>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</si>
  <si>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</si>
  <si>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</si>
  <si>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</si>
  <si>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</si>
  <si>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</si>
  <si>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</si>
  <si>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</si>
  <si>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</si>
  <si>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</si>
  <si>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</si>
  <si>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</si>
  <si>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</si>
  <si>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</si>
  <si>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</si>
  <si>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</si>
  <si>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</si>
  <si>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</si>
  <si>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</si>
  <si>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</si>
  <si>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</si>
  <si>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</si>
  <si>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</si>
  <si>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</si>
  <si>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</si>
  <si>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</si>
  <si>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</si>
  <si>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</si>
  <si>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</si>
  <si>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</si>
  <si>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</si>
  <si>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</si>
  <si>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</si>
  <si>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</si>
  <si>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</si>
  <si>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</si>
  <si>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</si>
  <si>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</si>
  <si>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</si>
  <si>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</si>
  <si>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</si>
  <si>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</si>
  <si>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</si>
  <si>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</si>
  <si>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</si>
  <si>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</si>
  <si>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</si>
  <si>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</si>
  <si>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</si>
  <si>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</si>
  <si>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</si>
  <si>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</si>
  <si>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</si>
  <si>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</si>
  <si>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</si>
  <si>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</si>
  <si>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</si>
  <si>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</si>
  <si>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</si>
  <si>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</si>
  <si>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</si>
  <si>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</si>
  <si>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</si>
  <si>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</si>
  <si>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</si>
  <si>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</si>
  <si>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</si>
  <si>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</si>
  <si>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</si>
  <si>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</si>
  <si>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</si>
  <si>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</si>
  <si>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</si>
  <si>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</si>
  <si>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</si>
  <si>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</si>
  <si>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</si>
  <si>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</si>
  <si>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</si>
  <si>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</si>
  <si>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</si>
  <si>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</si>
  <si>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</si>
  <si>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</si>
  <si>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</si>
  <si>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</si>
  <si>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</si>
  <si>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</si>
  <si>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</si>
  <si>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</si>
  <si>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</si>
  <si>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</si>
  <si>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</si>
  <si>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 Certified</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</si>
  <si>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</si>
  <si>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</si>
  <si>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</si>
  <si>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</si>
  <si>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</si>
  <si>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</si>
  <si>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</si>
  <si>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</si>
  <si>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</si>
  <si>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</si>
  <si>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</si>
  <si>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</si>
  <si>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</si>
  <si>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</si>
  <si>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</si>
  <si>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</si>
  <si>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</si>
  <si>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</si>
  <si>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</si>
  <si>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</si>
  <si>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</si>
  <si>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</si>
  <si>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</si>
  <si>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</si>
  <si>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</si>
  <si>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</si>
  <si>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</si>
  <si>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</si>
  <si>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</si>
  <si>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</si>
  <si>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</si>
  <si>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</si>
  <si>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</si>
  <si>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</si>
  <si>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</si>
  <si>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</si>
  <si>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</si>
  <si>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</si>
  <si>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</si>
  <si>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</si>
  <si>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</si>
  <si>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</si>
  <si>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</si>
  <si>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</si>
  <si>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</si>
  <si>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</si>
  <si>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</si>
  <si>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</si>
  <si>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</si>
  <si>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</si>
  <si>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</si>
  <si>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</si>
  <si>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</si>
  <si>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</si>
  <si>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</si>
  <si>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</si>
  <si>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</si>
  <si>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</si>
  <si>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</si>
  <si>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</si>
  <si>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</si>
  <si>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</si>
  <si>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</si>
  <si>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</si>
  <si>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</si>
  <si>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</si>
  <si>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</si>
  <si>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</si>
  <si>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</si>
  <si>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</si>
  <si>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</si>
  <si>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</si>
  <si>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</si>
  <si>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</si>
  <si>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</si>
  <si>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</si>
  <si>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</si>
  <si>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</si>
  <si>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</si>
  <si>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</si>
  <si>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</si>
  <si>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</si>
  <si>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</si>
  <si>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</si>
  <si>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</si>
  <si>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</si>
  <si>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</si>
  <si>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</si>
  <si>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</si>
  <si>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</si>
  <si>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</si>
  <si>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</si>
  <si>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</si>
  <si>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</si>
  <si>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</si>
  <si>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</si>
  <si>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</si>
  <si>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</si>
  <si>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</si>
  <si>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</si>
  <si>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</si>
  <si>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</si>
  <si>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</si>
  <si>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</si>
  <si>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</si>
  <si>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</si>
  <si>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</si>
  <si>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</si>
  <si>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</si>
  <si>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</si>
  <si>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</si>
  <si>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</si>
  <si>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</si>
  <si>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</si>
  <si>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</si>
  <si>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</si>
  <si>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</si>
  <si>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</si>
  <si>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</si>
  <si>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</si>
  <si>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</si>
  <si>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</si>
  <si>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</si>
  <si>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</si>
  <si>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</si>
  <si>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</si>
  <si>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</si>
  <si>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</si>
  <si>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</si>
  <si>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</si>
  <si>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</si>
  <si>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</si>
  <si>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</si>
  <si>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</si>
  <si>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</si>
  <si>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</si>
  <si>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</si>
  <si>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</si>
  <si>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</si>
  <si>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</si>
  <si>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</si>
  <si>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</si>
  <si>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</si>
  <si>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</si>
  <si>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</si>
  <si>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</si>
  <si>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</si>
  <si>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</si>
  <si>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</si>
  <si>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</si>
  <si>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</si>
  <si>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</si>
  <si>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</si>
  <si>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</si>
  <si>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</si>
  <si>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</si>
  <si>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</si>
  <si>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</si>
  <si>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</si>
  <si>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</si>
  <si>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</si>
  <si>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</si>
  <si>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</si>
  <si>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</si>
  <si>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</si>
  <si>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</si>
  <si>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</si>
  <si>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</si>
  <si>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</si>
  <si>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</si>
  <si>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</si>
  <si>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</si>
  <si>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</si>
  <si>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</si>
  <si>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</si>
  <si>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</si>
  <si>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</si>
  <si>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</si>
  <si>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</si>
  <si>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</si>
  <si>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</si>
  <si>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</si>
  <si>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</si>
  <si>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</si>
  <si>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</si>
  <si>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</si>
  <si>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</si>
  <si>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</si>
  <si>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</si>
  <si>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</si>
  <si>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</si>
  <si>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</si>
  <si>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</si>
  <si>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</si>
  <si>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</si>
  <si>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</si>
  <si>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</si>
  <si>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</si>
  <si>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</si>
  <si>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</si>
  <si>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</si>
  <si>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</si>
  <si>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</si>
  <si>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</si>
  <si>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</si>
  <si>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</si>
  <si>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</si>
  <si>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</si>
  <si>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</si>
  <si>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</si>
  <si>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</si>
  <si>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</si>
  <si>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</si>
  <si>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</si>
  <si>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</si>
  <si>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</si>
  <si>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</si>
  <si>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</si>
  <si>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</si>
  <si>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</si>
  <si>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</si>
  <si>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</si>
  <si>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</si>
  <si>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</si>
  <si>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</si>
  <si>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</si>
  <si>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</si>
  <si>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</si>
  <si>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</si>
  <si>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</si>
  <si>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</si>
  <si>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</si>
  <si>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</si>
  <si>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</si>
  <si>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</si>
  <si>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</si>
  <si>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</si>
  <si>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</si>
  <si>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</si>
  <si>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</si>
  <si>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</si>
  <si>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</si>
  <si>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</si>
  <si>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</si>
  <si>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</si>
  <si>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</si>
  <si>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</si>
  <si>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</si>
  <si>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</si>
  <si>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</si>
  <si>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</si>
  <si>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</si>
  <si>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</si>
  <si>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</si>
  <si>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</si>
  <si>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</si>
  <si>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</si>
  <si>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</si>
  <si>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</si>
  <si>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</si>
  <si>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</si>
  <si>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</si>
  <si>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</si>
  <si>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</si>
  <si>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</si>
  <si>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</si>
  <si>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</si>
  <si>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</si>
  <si>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</si>
  <si>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</si>
  <si>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</si>
  <si>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</si>
  <si>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</si>
  <si>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</si>
  <si>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</si>
  <si>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</si>
  <si>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</si>
  <si>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</si>
  <si>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</si>
  <si>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</si>
  <si>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</si>
  <si>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</si>
  <si>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</si>
  <si>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</si>
  <si>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</si>
  <si>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</si>
  <si>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</si>
  <si>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</si>
  <si>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</si>
  <si>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</si>
  <si>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</si>
  <si>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</si>
  <si>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</si>
  <si>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</si>
  <si>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</si>
  <si>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</si>
  <si>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</si>
  <si>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</si>
  <si>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</si>
  <si>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</si>
  <si>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</si>
  <si>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</si>
  <si>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</si>
  <si>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</si>
  <si>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</si>
  <si>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</si>
  <si>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</si>
  <si>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</si>
  <si>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</si>
  <si>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</si>
  <si>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</si>
  <si>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</si>
  <si>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</si>
  <si>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</si>
  <si>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</si>
  <si>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</si>
  <si>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</si>
  <si>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</si>
  <si>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</si>
  <si>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</si>
  <si>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</si>
  <si>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</si>
  <si>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</si>
  <si>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</si>
  <si>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</si>
  <si>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</si>
  <si>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</si>
  <si>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</si>
  <si>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</si>
  <si>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</si>
  <si>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</si>
  <si>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</si>
  <si>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</si>
  <si>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</si>
  <si>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</si>
  <si>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</si>
  <si>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</si>
  <si>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</si>
  <si>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</si>
  <si>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</si>
  <si>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</si>
  <si>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</si>
  <si>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</si>
  <si>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</si>
  <si>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</si>
  <si>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</si>
  <si>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</si>
  <si>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</si>
  <si>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</si>
  <si>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</si>
  <si>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</si>
  <si>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</si>
  <si>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</si>
  <si>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</si>
  <si>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</si>
  <si>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</si>
  <si>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</si>
  <si>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</si>
  <si>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</si>
  <si>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</si>
  <si>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</si>
  <si>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</si>
  <si>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</si>
  <si>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</si>
  <si>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</si>
  <si>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</si>
  <si>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</si>
  <si>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</si>
  <si>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</si>
  <si>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</si>
  <si>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</si>
  <si>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</si>
  <si>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</si>
  <si>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</si>
  <si>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</si>
  <si>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</si>
  <si>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</si>
  <si>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</si>
  <si>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</si>
  <si>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</si>
  <si>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</si>
  <si>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</si>
  <si>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</si>
  <si>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</si>
  <si>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</si>
  <si>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</si>
  <si>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</si>
  <si>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</si>
  <si>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</si>
  <si>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ASTM F2810-15 (2020) (Elliptical-specific)</t>
  </si>
  <si>
    <t>ASTM F1250-20 (Exercise Bike-Specific)</t>
  </si>
  <si>
    <t>ASTM F2216-17a (2025) (Strength Equipment)</t>
  </si>
  <si>
    <t>ASTM F3105-20 (Bench-specific)</t>
  </si>
  <si>
    <t>ASTM F2115-25 (Treadmill-specific)</t>
  </si>
  <si>
    <t>UL 1647 (Electrical Safety)</t>
  </si>
  <si>
    <t>In-House Contract-Quality Testing Document</t>
  </si>
  <si>
    <t>Contract Grade Signed Verification Letter</t>
  </si>
  <si>
    <t>US</t>
  </si>
  <si>
    <t>UK</t>
  </si>
  <si>
    <t>EU</t>
  </si>
  <si>
    <t>CA</t>
  </si>
  <si>
    <t>Border</t>
  </si>
  <si>
    <t>Tile</t>
  </si>
  <si>
    <t>Roll</t>
  </si>
  <si>
    <t>Wall Mural</t>
  </si>
  <si>
    <t>Installation Tools</t>
  </si>
  <si>
    <t>Double Roll</t>
  </si>
  <si>
    <t>Adhesives &amp; Tools</t>
  </si>
  <si>
    <t>Panel</t>
  </si>
  <si>
    <t>A narrow, decorative strip designed to be applied as an accent or edge. Typically used to frame surfaces, define boundaries, or complement primary patterns, these strips are often installed horizontally along edges or perimeters to add visual interest and detail.</t>
  </si>
  <si>
    <t>A modular, thin piece of material used for covering surfaces such as floors, walls, or ceilings. Typically manufactured in regular shapes like squares or rectangles, tiles are designed to be installed in a repeating grid or pattern to provide a durable, functional, or decorative finish.</t>
  </si>
  <si>
    <t>A continuous sheet of material supplied in a cylindrical, wound format. Items in this format are typically standardized in length and width and are intended to be cut or trimmed by the user during installation or use.</t>
  </si>
  <si>
    <t>A large printed image or artwork designed to cover a significant area of a wall, typically supplied as multiple adjacent panels or a single large piece. Wall murals create a continuous scene or pattern rather than a repeating design.</t>
  </si>
  <si>
    <t>Tools and equipment specifically designed to facilitate the application or mounting of a product. These may include smoothing instruments, rollers, application brushes, and precision cutting tools. This category focuses on physical aids for the installation process and does not include adhesives.</t>
  </si>
  <si>
    <t>A packaging format consisting of two standard single rolls combined into a single continuous unit. It provides a larger quantity of material in one piece, allowing for increased coverage of a surface while minimizing the number of seams or joints required during application.</t>
  </si>
  <si>
    <t>Substances such as pastes or glues and the essential equipment required for their application or removal. This includes bonding agents, removal solutions, and specialized implements used to facilitate the installation or stripping process.</t>
  </si>
  <si>
    <t>A flat, distinct section or component that forms part of a larger surface or structure. Typically rectangular or square, it may be used as a standalone unit or as part of an assembly to provide structural support, coverage, or decorative detail across various applications.</t>
  </si>
  <si>
    <t>Non-Pasted</t>
  </si>
  <si>
    <t>Pre-Pasted</t>
  </si>
  <si>
    <t>Self-Adhesive</t>
  </si>
  <si>
    <t>The item does not have pre-applied adhesive on the back. Paste or glue must be manually applied to the product or the installation surface. This traditional method is often preferred for its durability and requires a brush or roller for application.</t>
  </si>
  <si>
    <t>The item features a water-activated adhesive backing. Installation requires soaking or dampening the material to activate the paste before application. This method provides a more convenient setup compared to non-pasted options.</t>
  </si>
  <si>
    <t>Features a pressure-sensitive adhesive backing protected by a removable liner, allowing for application by peeling off the backing and pressing the item directly onto a surface. No additional paste, glue, or water is required for installation. Typically designed to be removable and repositionable.</t>
  </si>
  <si>
    <t>Peelable</t>
  </si>
  <si>
    <t>Strippable</t>
  </si>
  <si>
    <t>Solution Required</t>
  </si>
  <si>
    <t>Refers to a material or decorative top layer that can be removed dry by hand, typically leaving a thin substrate or adhesive backing on the surface that may require separate removal.</t>
  </si>
  <si>
    <t>Designed to be dry stripped from a surface, this material can be removed in full sheets without the need for water, chemicals, or steam, typically leaving minimal adhesive residue and little to no damage to the underlying surface.</t>
  </si>
  <si>
    <t>Indicates that the material must be treated with a chemical agent, water, or steam to deactivate or loosen the adhesive bond for removal. This process often requires penetration time followed by manual scraping to clear the surface.</t>
  </si>
  <si>
    <t>Fleece</t>
  </si>
  <si>
    <t>Grass Cloth</t>
  </si>
  <si>
    <t>Non-Woven</t>
  </si>
  <si>
    <t>A soft, synthetic knit fabric primarily made from polyester and engineered to mimic the insulating properties of wool. It features a napped, brushed surface that creates air pockets to trap body heat, resulting in a lightweight, breathable material with high thermal efficiency and moisture resistance.</t>
  </si>
  <si>
    <t>A traditional handwoven textile made from natural vegetable fibers such as ramie, hemp, jute, or flax. It is characterized by a plain, loose weave and a distinctively tactile, nubby surface that showcases the organic irregularities and subtle luster of the plant-based materials.</t>
  </si>
  <si>
    <t>A fabric-like material made from fibers bonded together through mechanical, thermal, or chemical processes rather than by weaving or knitting. This engineered structure creates a unified web or sheet that offers specific functional properties such as absorbency, filtration, or durability.</t>
  </si>
  <si>
    <t>Gloss</t>
  </si>
  <si>
    <t>Distressed</t>
  </si>
  <si>
    <t>Glitter / Shimmer</t>
  </si>
  <si>
    <t>Low-Gloss</t>
  </si>
  <si>
    <t>Metallic</t>
  </si>
  <si>
    <t>Primed</t>
  </si>
  <si>
    <t>Semi Gloss</t>
  </si>
  <si>
    <t>A smooth, low-gloss finish that offers a soft sheen and subtle reflectivity, falling between matte and high-gloss finishes. It diffuses light for an understated appearance and is applicable to various materials and colors.</t>
  </si>
  <si>
    <t>A smooth, highly reflective finish characterized by a bright, mirror-like shine. Gloss finishes maximize light reflection and color vibrancy, providing a polished and sleek appearance distinct from matte, satin, or brushed finishes.</t>
  </si>
  <si>
    <t>A finish that intentionally introduces visual texture, color variation, and an aged or weathered appearance to a surface. Distressing may involve irregular color, surface marks, or an uneven patina, resulting in a rustic, vintage, or industrial look.</t>
  </si>
  <si>
    <t>A decorative finish characterized by light-reflecting particles that create a sparkling, twinkling, or luminous effect. It ranges from finely milled mineral powders that provide a soft, radiant glow (shimmer) to larger, multi-faceted fragments that deliver a bold, high-impact glitz (glitter).</t>
  </si>
  <si>
    <t>A surface finish with minimal sheen and reflectivity, positioned between matte and standard gloss. Characterized by a subtle luster, low-gloss finishes help conceal minor surface imperfections while providing a soft, understated appearance.</t>
  </si>
  <si>
    <t>A flat, non-reflective finish with little to no sheen. Characterized by a smooth, low-luster surface that absorbs light rather than reflecting it, providing an understated appearance while effectively concealing fingerprints, dust, and minor surface imperfections.</t>
  </si>
  <si>
    <t>Refers to a surface finish or material appearance characterized by high luster, reflectivity, and a sheen reminiscent of solid metal. It typically features a smooth or textured quality that catches and reflects light to create a brilliant, polished, or shimmering effect.</t>
  </si>
  <si>
    <t>A preparatory coating applied to a surface to seal pores, enhance adhesion, and provide a stable base for subsequent layers of paint or stain. This initial finish is not intended as a final topcoat and indicates the item is ready for further finishing.</t>
  </si>
  <si>
    <t>A finish that offers a noticeable sheen and moderate reflectivity, falling between satin and high-gloss. Semi-gloss provides a smooth, lustrous surface that balances vibrant color enhancement with moisture resistance and durability, though it may more readily show surface imperfections.</t>
  </si>
  <si>
    <t>Paintable / Stainable</t>
  </si>
  <si>
    <t>Indicates the surface material is suitable for the application of paint, stain, or other finishes to achieve a desired color or protective coating without the need for extensive sanding or priming. This characteristic allows for aesthetic customization and surface protection across various material types.</t>
  </si>
  <si>
    <t>MLB Atlanta Braves</t>
  </si>
  <si>
    <t>MLB Chicago Cubs</t>
  </si>
  <si>
    <t>MLB Arizona Diamondbacks</t>
  </si>
  <si>
    <t>MLB Baltimore Orioles</t>
  </si>
  <si>
    <t>MLB Kansas City Royals</t>
  </si>
  <si>
    <t>MLB Boston Red Sox</t>
  </si>
  <si>
    <t>MLB Milwaukee Brewers</t>
  </si>
  <si>
    <t>MLB Detroit Tigers</t>
  </si>
  <si>
    <t>MLB Cincinnati Reds</t>
  </si>
  <si>
    <t>MLB Los Angeles Dodgers</t>
  </si>
  <si>
    <t>MLB Colorado Rockies</t>
  </si>
  <si>
    <t>MLB Chicago White Sox</t>
  </si>
  <si>
    <t>MLB Houston Astros</t>
  </si>
  <si>
    <t>MLB Miami Marlins</t>
  </si>
  <si>
    <t>MLB Minnesota Twins</t>
  </si>
  <si>
    <t>MLB Philadelphia Phillies</t>
  </si>
  <si>
    <t>NBA New York Knicks</t>
  </si>
  <si>
    <t>NHL Edmonton Oilers</t>
  </si>
  <si>
    <t>MLB Los Angeles Angels</t>
  </si>
  <si>
    <t>MLB New York Mets</t>
  </si>
  <si>
    <t>MLB New York Yankees</t>
  </si>
  <si>
    <t>MLB Pittsburgh Pirates</t>
  </si>
  <si>
    <t>MLB San Diego Padres</t>
  </si>
  <si>
    <t>MLB San Francisco Giants</t>
  </si>
  <si>
    <t>NHL Los Angeles Kings</t>
  </si>
  <si>
    <t>NHL Pittsburgh Penguins</t>
  </si>
  <si>
    <t>MLB Seattle Mariners</t>
  </si>
  <si>
    <t>MLB Cleveland Guardians</t>
  </si>
  <si>
    <t>MLB Tampa Bay Rays</t>
  </si>
  <si>
    <t>MLB Toronto Blue Jays</t>
  </si>
  <si>
    <t>MLB Washington Nationals</t>
  </si>
  <si>
    <t>NBA Boston Celtics</t>
  </si>
  <si>
    <t>NBA Charlotte Hornets</t>
  </si>
  <si>
    <t>NBA Denver Nuggets</t>
  </si>
  <si>
    <t>NBA Golden State Warriors</t>
  </si>
  <si>
    <t>NFL Houston Texans</t>
  </si>
  <si>
    <t>NFL Baltimore Ravens</t>
  </si>
  <si>
    <t>NBA Detroit Pistons</t>
  </si>
  <si>
    <t>NBA Cleveland Cavaliers</t>
  </si>
  <si>
    <t>NBA Houston Rockets</t>
  </si>
  <si>
    <t>NBA Atlanta Hawks</t>
  </si>
  <si>
    <t>NHL Washington Capitals</t>
  </si>
  <si>
    <t>NBA Los Angeles Clippers</t>
  </si>
  <si>
    <t>NBA Minnesota Timberwolves</t>
  </si>
  <si>
    <t>NBA Brooklyn Nets</t>
  </si>
  <si>
    <t>NBA Sacramento Kings</t>
  </si>
  <si>
    <t>NBA Washington Wizards</t>
  </si>
  <si>
    <t>NBA San Antonio Spurs</t>
  </si>
  <si>
    <t>NHL Calgary Flames</t>
  </si>
  <si>
    <t>NHL Carolina Hurricanes</t>
  </si>
  <si>
    <t>NBA Indiana Pacers</t>
  </si>
  <si>
    <t>NBA New Orleans Pelicans</t>
  </si>
  <si>
    <t>NFL New York Giants</t>
  </si>
  <si>
    <t>NBA Memphis Grizzlies</t>
  </si>
  <si>
    <t>MLB Oakland Athletics</t>
  </si>
  <si>
    <t>NHL Detroit Red Wings</t>
  </si>
  <si>
    <t>NHL Colorado Avalanche</t>
  </si>
  <si>
    <t>NHL New York Islanders</t>
  </si>
  <si>
    <t>NBA Chicago Bulls</t>
  </si>
  <si>
    <t>NBA Utah Jazz</t>
  </si>
  <si>
    <t>NBA Philadelphia 76ers</t>
  </si>
  <si>
    <t>NBA Milwaukee Bucks</t>
  </si>
  <si>
    <t>NBA Miami Heat</t>
  </si>
  <si>
    <t>NBA Oklahoma City Thunder</t>
  </si>
  <si>
    <t>NBA Orlando Magic</t>
  </si>
  <si>
    <t>NHL Montreal Canadiens</t>
  </si>
  <si>
    <t>NHL Vancouver Canucks</t>
  </si>
  <si>
    <t>NHL San Jose Sharks</t>
  </si>
  <si>
    <t>NHL Arizona Coyotes</t>
  </si>
  <si>
    <t>NHL Winnipeg Jets</t>
  </si>
  <si>
    <t>NHL Buffalo Sabres</t>
  </si>
  <si>
    <t>NHL Boston Bruins</t>
  </si>
  <si>
    <t>NHL Vegas Golden Knights</t>
  </si>
  <si>
    <t>NFL Buffalo Bills</t>
  </si>
  <si>
    <t>NBA Toronto Raptors</t>
  </si>
  <si>
    <t>NFL Arizona Cardinals</t>
  </si>
  <si>
    <t>MLB Texas Rangers</t>
  </si>
  <si>
    <t>NFL Cincinnati Bengals</t>
  </si>
  <si>
    <t>NFL Carolina Panthers</t>
  </si>
  <si>
    <t>NFL Detroit Lions</t>
  </si>
  <si>
    <t>NFL Atlanta Falcons</t>
  </si>
  <si>
    <t>NFL Green Bay Packers</t>
  </si>
  <si>
    <t>NFL Denver Broncos</t>
  </si>
  <si>
    <t>NFL Miami Dolphins</t>
  </si>
  <si>
    <t>NFL Jacksonville Jaguars</t>
  </si>
  <si>
    <t>NHL Dallas Stars</t>
  </si>
  <si>
    <t>NFL Kansas City Chiefs</t>
  </si>
  <si>
    <t>NHL Florida Panthers</t>
  </si>
  <si>
    <t>NHL Minnesota Wild</t>
  </si>
  <si>
    <t>NBA Phoenix Suns</t>
  </si>
  <si>
    <t>NFL Indianapolis Colts</t>
  </si>
  <si>
    <t>NFL Minnesota Vikings</t>
  </si>
  <si>
    <t>NHL Columbus Blue Jackets</t>
  </si>
  <si>
    <t>NFL Pittsburgh Steelers</t>
  </si>
  <si>
    <t>NFL New York Jets</t>
  </si>
  <si>
    <t>NFL Las Vegas Raiders</t>
  </si>
  <si>
    <t>NFL New Orleans Saints</t>
  </si>
  <si>
    <t>NFL San Francisco 49ers</t>
  </si>
  <si>
    <t>NHL Nashville Predators</t>
  </si>
  <si>
    <t>NHL St. Louis Blues</t>
  </si>
  <si>
    <t>NHL Philadelphia Flyers</t>
  </si>
  <si>
    <t>NHL Tampa Bay Lightning</t>
  </si>
  <si>
    <t>NHL Toronto Maple Leafs</t>
  </si>
  <si>
    <t>MLB St. Louis Cardinals</t>
  </si>
  <si>
    <t>NHL Ottawa Senators</t>
  </si>
  <si>
    <t>NFL Seattle Seahawks</t>
  </si>
  <si>
    <t>NCAA US Naval Academy</t>
  </si>
  <si>
    <t>NFL Tampa Bay Buccaneers</t>
  </si>
  <si>
    <t>NHL Anaheim Ducks</t>
  </si>
  <si>
    <t>NCAA Xavier</t>
  </si>
  <si>
    <t>NBA Dallas Mavericks</t>
  </si>
  <si>
    <t>NFL Los Angeles Rams</t>
  </si>
  <si>
    <t>NFL Washington Commanders</t>
  </si>
  <si>
    <t>NCAA Villanova</t>
  </si>
  <si>
    <t>NFL New England Patriots</t>
  </si>
  <si>
    <t>NCAA Wisconsin</t>
  </si>
  <si>
    <t>NBA Portland Trail Blazers</t>
  </si>
  <si>
    <t>NCAA UCLA</t>
  </si>
  <si>
    <t>NHL Chicago Blackhawks</t>
  </si>
  <si>
    <t>NFL Chicago Bears</t>
  </si>
  <si>
    <t>NBA Los Angeles Lakers</t>
  </si>
  <si>
    <t>NCAA Utah</t>
  </si>
  <si>
    <t>NCAA Alabama</t>
  </si>
  <si>
    <t>NHL New Jersey Devils</t>
  </si>
  <si>
    <t>NCAA Syracuse</t>
  </si>
  <si>
    <t>NHL New York Rangers</t>
  </si>
  <si>
    <t>NCAA U.S Air Force Academy</t>
  </si>
  <si>
    <t>NCAA James Madison</t>
  </si>
  <si>
    <t>NFL Cleveland Browns</t>
  </si>
  <si>
    <t>NCAA UCF</t>
  </si>
  <si>
    <t>NCAA Towson</t>
  </si>
  <si>
    <t>NCAA Tennessee</t>
  </si>
  <si>
    <t>NCAA Purdue</t>
  </si>
  <si>
    <t>NCAA Texas State</t>
  </si>
  <si>
    <t>NCAA Pittsburgh</t>
  </si>
  <si>
    <t>NCAA SMU</t>
  </si>
  <si>
    <t>NCAA Ole Miss</t>
  </si>
  <si>
    <t>NCAA Seton Hall</t>
  </si>
  <si>
    <t>NCAA Texas</t>
  </si>
  <si>
    <t>NCAA Penn State</t>
  </si>
  <si>
    <t>NCAA North Dakota</t>
  </si>
  <si>
    <t>NCAA North Carolina</t>
  </si>
  <si>
    <t>NCAA Mississippi State</t>
  </si>
  <si>
    <t>NCAA Oklahoma</t>
  </si>
  <si>
    <t>NCAA Oklahoma State</t>
  </si>
  <si>
    <t>NCAA Ohio</t>
  </si>
  <si>
    <t>NCAA Nebraska</t>
  </si>
  <si>
    <t>NCAA Missouri State</t>
  </si>
  <si>
    <t>NCAA Ohio State</t>
  </si>
  <si>
    <t>NCAA Notre Dame</t>
  </si>
  <si>
    <t>NCAA Michigan</t>
  </si>
  <si>
    <t>NCAA Michigan Tech</t>
  </si>
  <si>
    <t>NCAA Michigan Wolverines</t>
  </si>
  <si>
    <t>NCAA Louisville</t>
  </si>
  <si>
    <t>NCAA Michigan State</t>
  </si>
  <si>
    <t>NCAA Indiana</t>
  </si>
  <si>
    <t>NCAA Memphis</t>
  </si>
  <si>
    <t>NCAA Houston</t>
  </si>
  <si>
    <t>NCAA Miami Of Ohio</t>
  </si>
  <si>
    <t>NCAA Georgia Tech</t>
  </si>
  <si>
    <t>NCAA Georgia Southern University</t>
  </si>
  <si>
    <t>NCAA Clemson</t>
  </si>
  <si>
    <t>NCAA East Carolina University</t>
  </si>
  <si>
    <t>NCAA Florida Gators</t>
  </si>
  <si>
    <t>NCAA Duke</t>
  </si>
  <si>
    <t>NCAA Eastern Kentucky</t>
  </si>
  <si>
    <t>NCAA Georgetown</t>
  </si>
  <si>
    <t>NCAA Coastal Carolina University</t>
  </si>
  <si>
    <t>NCAA Colorado State</t>
  </si>
  <si>
    <t>NCAA Georgia</t>
  </si>
  <si>
    <t>NCAA Citadel</t>
  </si>
  <si>
    <t>NCAA Creighton</t>
  </si>
  <si>
    <t>NCAA Central Michigan</t>
  </si>
  <si>
    <t>NCAA Boston College</t>
  </si>
  <si>
    <t>NCAA BYU</t>
  </si>
  <si>
    <t>NCAA Texas A&amp;M</t>
  </si>
  <si>
    <t>NCAA Butler University</t>
  </si>
  <si>
    <t>NCAA TCU</t>
  </si>
  <si>
    <t>NFL Dallas Cowboys</t>
  </si>
  <si>
    <t>NFL Philadelphia Eagles</t>
  </si>
  <si>
    <t>NCAA Virginia Tech</t>
  </si>
  <si>
    <t>NFL Los Angeles Chargers</t>
  </si>
  <si>
    <t>NCAA University Of Southern California</t>
  </si>
  <si>
    <t>NCAA Boise State</t>
  </si>
  <si>
    <t>NFL Tennessee Titans</t>
  </si>
  <si>
    <t>NCAA Louisiana State</t>
  </si>
  <si>
    <t>NCAA U.S Military Academy</t>
  </si>
  <si>
    <t>NHL Seattle Kraken</t>
  </si>
  <si>
    <t>AFC Bournemouth</t>
  </si>
  <si>
    <t>Brighton and Hove Albion</t>
  </si>
  <si>
    <t>Arsenal</t>
  </si>
  <si>
    <t>Everton</t>
  </si>
  <si>
    <t>Chelsea</t>
  </si>
  <si>
    <t>Crystal Palace</t>
  </si>
  <si>
    <t>Liverpool</t>
  </si>
  <si>
    <t>Leicester City</t>
  </si>
  <si>
    <t>Fulham</t>
  </si>
  <si>
    <t>Aston Villa</t>
  </si>
  <si>
    <t>Brentford</t>
  </si>
  <si>
    <t>Leeds United</t>
  </si>
  <si>
    <t>FC Bayern M√ºnchen</t>
  </si>
  <si>
    <t>SV Werder Bremen</t>
  </si>
  <si>
    <t>RB Leipzig</t>
  </si>
  <si>
    <t>Manchester City</t>
  </si>
  <si>
    <t>1. FC K√∂ln</t>
  </si>
  <si>
    <t>Bayer 04 Leverkusen</t>
  </si>
  <si>
    <t>Tottenham Hotspur</t>
  </si>
  <si>
    <t>West Ham United</t>
  </si>
  <si>
    <t>VfB Stuttgart</t>
  </si>
  <si>
    <t>VfL Bochum 1848</t>
  </si>
  <si>
    <t>FC Schalke 04</t>
  </si>
  <si>
    <t>Wolverhampton Wanderers</t>
  </si>
  <si>
    <t>1. FC Union Berlin</t>
  </si>
  <si>
    <t>VfL Wolfsburg</t>
  </si>
  <si>
    <t>TSG Hoffenheim</t>
  </si>
  <si>
    <t>Hertha Berlin</t>
  </si>
  <si>
    <t>SC Freiburg</t>
  </si>
  <si>
    <t>FC Augsburg</t>
  </si>
  <si>
    <t>1. FSV Mainz 05</t>
  </si>
  <si>
    <t>Nottingham Forest</t>
  </si>
  <si>
    <t>Southampton</t>
  </si>
  <si>
    <t>Borussia Dortmund</t>
  </si>
  <si>
    <t>Manchester United</t>
  </si>
  <si>
    <t>Eintracht Frankfurt</t>
  </si>
  <si>
    <t>Borussia M√∂nchengladbach</t>
  </si>
  <si>
    <t>Newcastle United</t>
  </si>
  <si>
    <t>Club Atl√©tico de Madrid SAD</t>
  </si>
  <si>
    <t>Real Club Celta de Vigo SAD</t>
  </si>
  <si>
    <t>Rayo Vallecano de Madrid SAD</t>
  </si>
  <si>
    <t>Valencia Club de F√∫tbol SAD</t>
  </si>
  <si>
    <t>Club Atl√©tico Osasuna</t>
  </si>
  <si>
    <t>Real Club Deportivo Mallorca SAD</t>
  </si>
  <si>
    <t>Real Sociedad de F√∫tbol SAD</t>
  </si>
  <si>
    <t>Sevilla F√∫tbol Club SAD</t>
  </si>
  <si>
    <t>Uni√≥n Deportiva Almer√≠a SAD</t>
  </si>
  <si>
    <t>F√∫tbol Club Barcelona</t>
  </si>
  <si>
    <t>RCD Espanyol de Barcelona</t>
  </si>
  <si>
    <t>C√°diz Club de F√∫tbol SAD</t>
  </si>
  <si>
    <t>Villarreal Club de F√∫tbol SAD</t>
  </si>
  <si>
    <t>Getafe Club de F√∫tbol SAD</t>
  </si>
  <si>
    <t>Girona F√∫tbol Club SAD</t>
  </si>
  <si>
    <t>Elche Club de F√∫tbol SAD</t>
  </si>
  <si>
    <t>Real Betis Balompi√© SAD</t>
  </si>
  <si>
    <t>Real Valladolid Club de F√∫tbol SAD</t>
  </si>
  <si>
    <t>Athletic Club</t>
  </si>
  <si>
    <t>Real Madrid Club de F√∫tbol</t>
  </si>
  <si>
    <t>Associazione Calcio Monza S.P.A.</t>
  </si>
  <si>
    <t>Atalanta Bergamasca Calcio S.P.A.</t>
  </si>
  <si>
    <t>Torino Football Club S.P.A.</t>
  </si>
  <si>
    <t>Roma Associazione Sportiva S.P.A.</t>
  </si>
  <si>
    <t>Juventus Football Club S.P.A.</t>
  </si>
  <si>
    <t>Sassuolo Calcio Unione Sportiva S.R.L.</t>
  </si>
  <si>
    <t>Milan Associazione Calcio S.P.A.</t>
  </si>
  <si>
    <t>Udinese Calcio S.P.A.</t>
  </si>
  <si>
    <t>Bologna Football Club 1909 S.P.A.</t>
  </si>
  <si>
    <t>Unione Sportiva Cremonese</t>
  </si>
  <si>
    <t>Spezia Calcio S.R.L.</t>
  </si>
  <si>
    <t>Fiorentina Acf S.P.A.</t>
  </si>
  <si>
    <t>Sampdoria Unione Calcio S.P.A</t>
  </si>
  <si>
    <t>U.S. Salernitana 1919 S.R.L.</t>
  </si>
  <si>
    <t>Empoli Football Club S.P.A.</t>
  </si>
  <si>
    <t>Unione Sportiva Lecce S.P.A.</t>
  </si>
  <si>
    <t>Napoli Societa' Sportiva Calcio S.P.A.</t>
  </si>
  <si>
    <t>Hellas Verona Football Club S.P.A.</t>
  </si>
  <si>
    <t>Internazionale Football Club S.P.A.</t>
  </si>
  <si>
    <t>Lazio Societa' Sportiva S.P.A.</t>
  </si>
  <si>
    <t>Angers SCO</t>
  </si>
  <si>
    <t>FC Nantes</t>
  </si>
  <si>
    <t>FC Metz</t>
  </si>
  <si>
    <t>Olympique De Marseille</t>
  </si>
  <si>
    <t>Olympique Lyonnais</t>
  </si>
  <si>
    <t>Losc Lille</t>
  </si>
  <si>
    <t>Montpellier H√©rault SC</t>
  </si>
  <si>
    <t>RC Lens</t>
  </si>
  <si>
    <t>Paris Saint-Germain</t>
  </si>
  <si>
    <t>OGC Nice</t>
  </si>
  <si>
    <t>FC Lorient</t>
  </si>
  <si>
    <t>RC Strasbourg Alsace</t>
  </si>
  <si>
    <t>Estac Troyes</t>
  </si>
  <si>
    <t>Stade Brestois 29</t>
  </si>
  <si>
    <t>AS Monaco</t>
  </si>
  <si>
    <t>AS Saint-√âtienne</t>
  </si>
  <si>
    <t>FC Girondins De Bordeaux</t>
  </si>
  <si>
    <t>Stade Rennais FC</t>
  </si>
  <si>
    <t>Clermont Foot 63</t>
  </si>
  <si>
    <t>Stade De Reims</t>
  </si>
  <si>
    <t>CFL Hamilton Tiger-Cats</t>
  </si>
  <si>
    <t>CFL Toronto Argonauts</t>
  </si>
  <si>
    <t>MLS Minnesota United FC</t>
  </si>
  <si>
    <t>MLS Los Angeles FC</t>
  </si>
  <si>
    <t>MLS Montreal Impact</t>
  </si>
  <si>
    <t>MLS Orlando City</t>
  </si>
  <si>
    <t>CFL Winnipeg Blue Bombers</t>
  </si>
  <si>
    <t>MLB Boston Braves</t>
  </si>
  <si>
    <t>AFL Hollywood Rangers</t>
  </si>
  <si>
    <t>MLS Chicago Fire</t>
  </si>
  <si>
    <t>Alabama Agricultural &amp; Mechanical University</t>
  </si>
  <si>
    <t>MLB 1966 California Angels</t>
  </si>
  <si>
    <t>MLS Kansas City Sporting</t>
  </si>
  <si>
    <t>MLS New York Red Bulls</t>
  </si>
  <si>
    <t>MLS New England Revolution</t>
  </si>
  <si>
    <t>MLS New York City FC</t>
  </si>
  <si>
    <t>MLS Cincinnati FC</t>
  </si>
  <si>
    <t>MLS Atlanta Dream</t>
  </si>
  <si>
    <t>MLS Colorado Rapids</t>
  </si>
  <si>
    <t>MLS Houston Dynamo</t>
  </si>
  <si>
    <t>MLS Philadelphia Union</t>
  </si>
  <si>
    <t>MLB 1944 Brooklyn Dodgers</t>
  </si>
  <si>
    <t>MLB 1954 Philadelphia Athletics</t>
  </si>
  <si>
    <t>MLS D.C. United</t>
  </si>
  <si>
    <t>CFL Edmonton Elks</t>
  </si>
  <si>
    <t>MLS Columbus Crew</t>
  </si>
  <si>
    <t>MLB Brooklyn Dodgers</t>
  </si>
  <si>
    <t>MLS Atlanta United</t>
  </si>
  <si>
    <t>CFL Montreal Alouettes</t>
  </si>
  <si>
    <t>MLB 1990 Montreal Expos</t>
  </si>
  <si>
    <t>CFL Saskatchewan Roughriders</t>
  </si>
  <si>
    <t>MLB 1998 Tampa Bay Devil Rays</t>
  </si>
  <si>
    <t>MLS Dallas FC</t>
  </si>
  <si>
    <t>MLS LA Galaxy</t>
  </si>
  <si>
    <t>MLS Portland Timbers</t>
  </si>
  <si>
    <t>NCAA Kentucky</t>
  </si>
  <si>
    <t>NCAA Kent State</t>
  </si>
  <si>
    <t>NCAA Lamar Cardinals and Lady Cardinals</t>
  </si>
  <si>
    <t>MLS Real Salt Lake</t>
  </si>
  <si>
    <t>NCAA South Florida</t>
  </si>
  <si>
    <t>NCAA Truman State</t>
  </si>
  <si>
    <t>NCAA Tulane</t>
  </si>
  <si>
    <t>World Cup England</t>
  </si>
  <si>
    <t>NCAA Kennesaw State</t>
  </si>
  <si>
    <t>NCAA Idaho State</t>
  </si>
  <si>
    <t>NCAA Illinois</t>
  </si>
  <si>
    <t>NCAA Kansas City</t>
  </si>
  <si>
    <t>NCAA Idaho Vandals</t>
  </si>
  <si>
    <t>NCAA Jacksonville</t>
  </si>
  <si>
    <t>NCAA Kentucky State</t>
  </si>
  <si>
    <t>NCAA George Mason</t>
  </si>
  <si>
    <t>NCAA Alabama - Huntsville</t>
  </si>
  <si>
    <t>NCAA Grand Valley State</t>
  </si>
  <si>
    <t>NCAA Idaho</t>
  </si>
  <si>
    <t>NCAA Louisiana - Monroe</t>
  </si>
  <si>
    <t>MLS Toronto FC</t>
  </si>
  <si>
    <t>NCAA Long Beach State</t>
  </si>
  <si>
    <t>NCAA Akron Zips</t>
  </si>
  <si>
    <t>NCAA McNeese State</t>
  </si>
  <si>
    <t>NCAA Alabama State</t>
  </si>
  <si>
    <t>NCAA Minnesota Duluth</t>
  </si>
  <si>
    <t>MLS Seattle Sounders</t>
  </si>
  <si>
    <t>NCAA Maine</t>
  </si>
  <si>
    <t>NCAA New Orleans</t>
  </si>
  <si>
    <t>NCAA Hawaii</t>
  </si>
  <si>
    <t>NCAA Alabama A &amp; M</t>
  </si>
  <si>
    <t>NCAA Marquette</t>
  </si>
  <si>
    <t>NCAA Jackson State</t>
  </si>
  <si>
    <t>NCAA Missouri Western State</t>
  </si>
  <si>
    <t>NCAA Florida State</t>
  </si>
  <si>
    <t>NCAA Morehead State</t>
  </si>
  <si>
    <t>NCAA Miami Florida</t>
  </si>
  <si>
    <t>NCAA Minot State</t>
  </si>
  <si>
    <t>NCAA Louisiana</t>
  </si>
  <si>
    <t>NCAA Minnesota</t>
  </si>
  <si>
    <t>NCAA Missouri</t>
  </si>
  <si>
    <t>NCAA Ferris State</t>
  </si>
  <si>
    <t>NCAA Cornell</t>
  </si>
  <si>
    <t>NCAA Bowling Green State</t>
  </si>
  <si>
    <t>NCAA Eastern Washington</t>
  </si>
  <si>
    <t>NCAA Bethune Cookman</t>
  </si>
  <si>
    <t>NCAA Ball State</t>
  </si>
  <si>
    <t>NCAA Davidson</t>
  </si>
  <si>
    <t>NCAA Eastern Carolina</t>
  </si>
  <si>
    <t>NCAA Colgate</t>
  </si>
  <si>
    <t>NCAA Bucknell</t>
  </si>
  <si>
    <t>NCAA Colorado</t>
  </si>
  <si>
    <t>NCAA Clark Atlanta</t>
  </si>
  <si>
    <t>NCAA Duquesne</t>
  </si>
  <si>
    <t>NCAA Baylor</t>
  </si>
  <si>
    <t>World Cup United States</t>
  </si>
  <si>
    <t>NCAA Arizona State</t>
  </si>
  <si>
    <t>NCAA Buffalo</t>
  </si>
  <si>
    <t>NCAA Brown</t>
  </si>
  <si>
    <t>NCAA Elon</t>
  </si>
  <si>
    <t>World Cup Portugal</t>
  </si>
  <si>
    <t>World Cup Italy</t>
  </si>
  <si>
    <t>NCAA Louisiana Ragin' Cajuns</t>
  </si>
  <si>
    <t>World Cup Mexico</t>
  </si>
  <si>
    <t>MLS Vancouver Whitecaps</t>
  </si>
  <si>
    <t>NCAA Delaware</t>
  </si>
  <si>
    <t>NCAA Boston University</t>
  </si>
  <si>
    <t>NCAA William &amp; Mary</t>
  </si>
  <si>
    <t>NFL Seattle Bombers</t>
  </si>
  <si>
    <t>NFL Boston Shamrocks</t>
  </si>
  <si>
    <t>NHL New Orleans Brass</t>
  </si>
  <si>
    <t>World Cup Australia</t>
  </si>
  <si>
    <t>NCAA Yale</t>
  </si>
  <si>
    <t>NCAA Wyoming</t>
  </si>
  <si>
    <t>NCAA Louisiana Tech</t>
  </si>
  <si>
    <t>NCAA Detroit Mercy</t>
  </si>
  <si>
    <t>MLS San Jose Earthquake</t>
  </si>
  <si>
    <t>NFL Calgary Stampeders</t>
  </si>
  <si>
    <t>World Cup France</t>
  </si>
  <si>
    <t>NCAA Wyoming State</t>
  </si>
  <si>
    <t>NCAA Gonzaga</t>
  </si>
  <si>
    <t>NFL Washington Senators</t>
  </si>
  <si>
    <t>NCAA Youngstown State</t>
  </si>
  <si>
    <t>NCAA Cal State Fullerton</t>
  </si>
  <si>
    <t>NCAA Hampton</t>
  </si>
  <si>
    <t>NCAA California State</t>
  </si>
  <si>
    <t>NCAA Arkansas State</t>
  </si>
  <si>
    <t>NHL Baltimore Clippers</t>
  </si>
  <si>
    <t>World Cup Spain</t>
  </si>
  <si>
    <t>NCAA Alaska</t>
  </si>
  <si>
    <t>NCAA Mercer</t>
  </si>
  <si>
    <t>NCAA Bemidji State</t>
  </si>
  <si>
    <t>NCAA Wright State</t>
  </si>
  <si>
    <t>NCAA Florida Gulf Coast</t>
  </si>
  <si>
    <t>NCAA Minnesota State</t>
  </si>
  <si>
    <t>NCAA Campbell</t>
  </si>
  <si>
    <t>NCAA DePaul</t>
  </si>
  <si>
    <t>NCAA Indiana State</t>
  </si>
  <si>
    <t>NCAA Bradley</t>
  </si>
  <si>
    <t>NCAA Fresno State</t>
  </si>
  <si>
    <t>NCAA Arkansas</t>
  </si>
  <si>
    <t>NCAA Georgia State</t>
  </si>
  <si>
    <t>NCAA Cal Berkeley</t>
  </si>
  <si>
    <t>NCAA Hartford</t>
  </si>
  <si>
    <t>NCAA Charleston Southern</t>
  </si>
  <si>
    <t>NCAA Brooklyn</t>
  </si>
  <si>
    <t>Premier League Team Swansea City</t>
  </si>
  <si>
    <t>World Cup Germany</t>
  </si>
  <si>
    <t>NCAA George Washington</t>
  </si>
  <si>
    <t>NCAA Columbia</t>
  </si>
  <si>
    <t>NCAA Iowa State</t>
  </si>
  <si>
    <t>NCAA East Tennessee State</t>
  </si>
  <si>
    <t>NCAA Eastern Illinois</t>
  </si>
  <si>
    <t>NCAA Cleveland State</t>
  </si>
  <si>
    <t>NCAA Auburn</t>
  </si>
  <si>
    <t>NCAA Concordia</t>
  </si>
  <si>
    <t>NCAA Kansas State</t>
  </si>
  <si>
    <t>NBA Seattle Super Sonics</t>
  </si>
  <si>
    <t>NCAA Denver</t>
  </si>
  <si>
    <t>NCAA Montana</t>
  </si>
  <si>
    <t>NCAA Albany State</t>
  </si>
  <si>
    <t>NCAA Marine Corps</t>
  </si>
  <si>
    <t>NCAA Western Michigan</t>
  </si>
  <si>
    <t>NCAA Chattanooga Mocs</t>
  </si>
  <si>
    <t>NCAA Loyola Chicago</t>
  </si>
  <si>
    <t>NCAA New Mexico</t>
  </si>
  <si>
    <t>NCAA Dartmouth</t>
  </si>
  <si>
    <t>NCAA Morehouse</t>
  </si>
  <si>
    <t>NCAA Montana State</t>
  </si>
  <si>
    <t>NCAA MIT</t>
  </si>
  <si>
    <t>NHL Atlanta Thrashers</t>
  </si>
  <si>
    <t>NCAA Arizona</t>
  </si>
  <si>
    <t>NCAA Appalachian State</t>
  </si>
  <si>
    <t>NCAA Iowa</t>
  </si>
  <si>
    <t>NCAA Middle Tennessee State</t>
  </si>
  <si>
    <t>NCAA Marshall</t>
  </si>
  <si>
    <t>NCAA Kansas</t>
  </si>
  <si>
    <t>NCAA Milwaukee</t>
  </si>
  <si>
    <t>NCAA Cincinnati</t>
  </si>
  <si>
    <t>NCAA Dayton</t>
  </si>
  <si>
    <t>NCAA Emporia State</t>
  </si>
  <si>
    <t>NCAA Nicholls State</t>
  </si>
  <si>
    <t>NCAA Virginia Military Institute</t>
  </si>
  <si>
    <t>NCAA Nevada</t>
  </si>
  <si>
    <t>NCAA Weber State</t>
  </si>
  <si>
    <t>NCAA Washington Capitals</t>
  </si>
  <si>
    <t>NCAA Washington</t>
  </si>
  <si>
    <t>NCAA Wofford</t>
  </si>
  <si>
    <t>Premier League Team Norwich City</t>
  </si>
  <si>
    <t>NCAA Western Carolina</t>
  </si>
  <si>
    <t>NCAA Virginia Commonwealth</t>
  </si>
  <si>
    <t>NCAA Western Kentucky</t>
  </si>
  <si>
    <t>NCAA Virginia</t>
  </si>
  <si>
    <t>NCAA Nebraska Wesleyan</t>
  </si>
  <si>
    <t>NCAA South Dakota State</t>
  </si>
  <si>
    <t>NCAA New Hampshire</t>
  </si>
  <si>
    <t>NCAA Utah State</t>
  </si>
  <si>
    <t>NCAA Valdosta State</t>
  </si>
  <si>
    <t>NCAA Cal Poly</t>
  </si>
  <si>
    <t>NCAA Vanderbilt</t>
  </si>
  <si>
    <t>NCAA UChicago</t>
  </si>
  <si>
    <t>NCAA UConn</t>
  </si>
  <si>
    <t>NCAA New Mexico State</t>
  </si>
  <si>
    <t>NCAA Virginia State</t>
  </si>
  <si>
    <t>NCAA South Carolina State</t>
  </si>
  <si>
    <t>NCAA Texas Tech</t>
  </si>
  <si>
    <t>NCAA Wichita State</t>
  </si>
  <si>
    <t>NCAA UMass</t>
  </si>
  <si>
    <t>NCAA Tulsa</t>
  </si>
  <si>
    <t>NCAA NC State</t>
  </si>
  <si>
    <t>NCAA St. John's</t>
  </si>
  <si>
    <t>NCAA Southwest Minnesota State</t>
  </si>
  <si>
    <t>NCAA Washington State</t>
  </si>
  <si>
    <t>NCAA Wake Forest</t>
  </si>
  <si>
    <t>NCAA UNC Wilmington</t>
  </si>
  <si>
    <t>NCAA Nebraska - Lincoln</t>
  </si>
  <si>
    <t>NCAA Vermont</t>
  </si>
  <si>
    <t>NCAA UNC Asheville</t>
  </si>
  <si>
    <t>NCAA Southern Mississippi</t>
  </si>
  <si>
    <t>NCAA Southern</t>
  </si>
  <si>
    <t>NCAA Seattle</t>
  </si>
  <si>
    <t>NCAA Saint Joseph's</t>
  </si>
  <si>
    <t>NCAA West Virginia</t>
  </si>
  <si>
    <t>NCAA Tennessee Tech</t>
  </si>
  <si>
    <t>NCAA San Diego</t>
  </si>
  <si>
    <t>NCAA North Dakota State</t>
  </si>
  <si>
    <t>NCAA South Alabama</t>
  </si>
  <si>
    <t>NCAA Stanford</t>
  </si>
  <si>
    <t>NCAA Sacramento State</t>
  </si>
  <si>
    <t>NCAA Toledo</t>
  </si>
  <si>
    <t>NCAA Rutgers</t>
  </si>
  <si>
    <t>NCAA Northern Illinois</t>
  </si>
  <si>
    <t>NCAA Northwestern</t>
  </si>
  <si>
    <t>NCAA Alcorn State</t>
  </si>
  <si>
    <t>NHL San Francisco Seals</t>
  </si>
  <si>
    <t>NCAA Maryland</t>
  </si>
  <si>
    <t>NCAA Alabama - Birmingham</t>
  </si>
  <si>
    <t>NCAA Eastern Michigan</t>
  </si>
  <si>
    <t>NCAA Illinois State</t>
  </si>
  <si>
    <t>NCAA Southern Illinois</t>
  </si>
  <si>
    <t>NCAA St. Joseph's</t>
  </si>
  <si>
    <t>NCAA San Diego State</t>
  </si>
  <si>
    <t>NCAA South Dakota</t>
  </si>
  <si>
    <t>NCAA Northern Arizona</t>
  </si>
  <si>
    <t>NCAA North Carolina State</t>
  </si>
  <si>
    <t>NCAA Northern Iowa</t>
  </si>
  <si>
    <t>NCAA Toronto</t>
  </si>
  <si>
    <t>NCAA Portland</t>
  </si>
  <si>
    <t>NCAA Saint Louis</t>
  </si>
  <si>
    <t>NCAA San Francisco</t>
  </si>
  <si>
    <t>NCAA Oregon</t>
  </si>
  <si>
    <t>NCAA San Jose State</t>
  </si>
  <si>
    <t>NCAA Valparaiso</t>
  </si>
  <si>
    <t>NCAA Sioux Falls</t>
  </si>
  <si>
    <t>NCAA Temple</t>
  </si>
  <si>
    <t>NCAA Washington and Lee</t>
  </si>
  <si>
    <t>NCAA Sam Houston State</t>
  </si>
  <si>
    <t>NCAA U.S. Coast Guard Academy</t>
  </si>
  <si>
    <t>NCAA Oakland</t>
  </si>
  <si>
    <t>NCAA Regent</t>
  </si>
  <si>
    <t>NCAA Rockies - Colorado</t>
  </si>
  <si>
    <t>NCAA Southeastern Louisiana</t>
  </si>
  <si>
    <t>NCAA Northern Michigan</t>
  </si>
  <si>
    <t>NCAA Ohio Dominican</t>
  </si>
  <si>
    <t>NCAA NYU</t>
  </si>
  <si>
    <t>NCAA Northern State Wolves</t>
  </si>
  <si>
    <t>NCAA Texas - El Paso</t>
  </si>
  <si>
    <t>NCAA South Carolina Gamecocks</t>
  </si>
  <si>
    <t>NCAA Texas - San Antonio</t>
  </si>
  <si>
    <t>NCAA North Florida</t>
  </si>
  <si>
    <t>NCAA Virginia Wesleyan</t>
  </si>
  <si>
    <t>NCAA Tennessee State</t>
  </si>
  <si>
    <t>NCAA Richmond</t>
  </si>
  <si>
    <t>NCAA Rhode Island</t>
  </si>
  <si>
    <t>NCAA Stephen F. Austin State</t>
  </si>
  <si>
    <t>NCAA North Texas University</t>
  </si>
  <si>
    <t>NCAA Old Dominion</t>
  </si>
  <si>
    <t>NCAA Rice</t>
  </si>
  <si>
    <t>NCAA Texas - Rio Grande Valley</t>
  </si>
  <si>
    <t>NCAA Oregon State</t>
  </si>
  <si>
    <t>Features branding, colors, or imagery associated with the Atlanta Braves, a professional American baseball team competing in Major League Baseball.</t>
  </si>
  <si>
    <t>Features official branding, logos, insignia, or color schemes associated with the Chicago Cubs, a professional Major League Baseball franchise. Suitable for any product officially affiliated with or themed after this sports team.</t>
  </si>
  <si>
    <t>Features the branding, logo, or thematic elements of the Arizona Diamondbacks, a professional baseball team competing in Major League Baseball (MLB).</t>
  </si>
  <si>
    <t>Indicates that the item is officially licensed by Major League Baseball (MLB) and features the branding, logo, colors, or imagery associated with the Baltimore Orioles professional baseball team.</t>
  </si>
  <si>
    <t>Products featuring the official branding, logo, insignia, or color palette of the Kansas City Royals, a professional baseball team competing in Major League Baseball.</t>
  </si>
  <si>
    <t>Relating to or featuring the Boston Red Sox, a professional baseball team based in Boston, Massachusetts, that competes in Major League Baseball (MLB) as a member club of the American League (AL) East division.</t>
  </si>
  <si>
    <t>Indicates products featuring the official branding, logo, colors, or themes of the Milwaukee Brewers, a professional baseball team competing in Major League Baseball (MLB).</t>
  </si>
  <si>
    <t>Features the official branding, logos, colors, or imagery associated with the Detroit Tigers, a professional Major League Baseball (MLB) team based in Detroit, Michigan.</t>
  </si>
  <si>
    <t>Official branding, colors, logos, or merchandise associated with the Cincinnati Reds, a professional American baseball team competing in Major League Baseball (MLB).</t>
  </si>
  <si>
    <t>Features the official branding, logo, colors, or theme of the Los Angeles Dodgers, a professional baseball team competing in Major League Baseball (MLB).</t>
  </si>
  <si>
    <t>The Colorado Rockies, an American professional baseball team based in Denver, Colorado, that competes in the National League West division of Major League Baseball.</t>
  </si>
  <si>
    <t>Official branding, logos, colors, or themes associated with the Chicago White Sox, an American professional baseball team competing in Major League Baseball (MLB).</t>
  </si>
  <si>
    <t>Indicates branding, logos, colors, or themes associated with the Houston Astros, a professional Major League Baseball team based in Houston, Texas.</t>
  </si>
  <si>
    <t>Features the official branding, logo, or colors of the Miami Marlins, a professional baseball team competing in Major League Baseball (MLB).</t>
  </si>
  <si>
    <t>Official branding, colors, logos, or themes associated with the Minnesota Twins, a professional baseball team competing in Major League Baseball (MLB).</t>
  </si>
  <si>
    <t>Refers to merchandise or branding officially associated with the Philadelphia Phillies, an American professional baseball team competing in Major League Baseball.</t>
  </si>
  <si>
    <t>Features official branding, logos, colors, or imagery associated with the New York Knicks, a professional basketball franchise competing in the National Basketball Association (NBA).</t>
  </si>
  <si>
    <t>Features official branding, logos, colors, or imagery associated with the Edmonton Oilers, a professional ice hockey team competing in the National Hockey League.</t>
  </si>
  <si>
    <t>Features the official branding, logo, colors, or imagery associated with the Los Angeles Angels, a professional baseball team competing in Major League Baseball.</t>
  </si>
  <si>
    <t>Features official branding, logos, colors, or imagery associated with the New York Mets, a professional Major League Baseball franchise. Suitable for merchandise officially affiliated with or themed after this sports team.</t>
  </si>
  <si>
    <t>Features official branding, logos, insignia, or color schemes associated with the New York Yankees, a professional baseball team competing in Major League Baseball. Suitable for items officially affiliated with or themed after this sports franchise.</t>
  </si>
  <si>
    <t>Features the official branding, logo, colors, or imagery associated with the Pittsburgh Pirates, a professional baseball team competing in Major League Baseball (MLB).</t>
  </si>
  <si>
    <t>Features the official branding, logo, colors, or theme of the San Diego Padres, a professional baseball team competing in Major League Baseball (MLB).</t>
  </si>
  <si>
    <t>Features official branding, logos, insignia, or color schemes associated with the San Francisco Giants, a professional Major League Baseball franchise.</t>
  </si>
  <si>
    <t>Features the official branding, logos, colors, or imagery associated with the Los Angeles Kings, a professional ice hockey team competing in the National Hockey League (NHL).</t>
  </si>
  <si>
    <t>Features official branding, logos, insignia, or color schemes associated with the Pittsburgh Penguins, a professional ice hockey franchise competing in the National Hockey League (NHL). Suitable for items officially affiliated with or themed after this sports team.</t>
  </si>
  <si>
    <t>Features official branding, logos, colors, or imagery associated with the Seattle Mariners, a professional baseball team competing in Major League Baseball.</t>
  </si>
  <si>
    <t>Features official branding, logos, colors, or imagery associated with the Cleveland Guardians, a professional baseball team competing in Major League Baseball (MLB).</t>
  </si>
  <si>
    <t>Features the official branding, logos, colors, or themes of the Tampa Bay Rays, a professional baseball team competing in Major League Baseball.</t>
  </si>
  <si>
    <t>Features the official branding, logo, colors, or themes of the Toronto Blue Jays, a professional baseball team competing in Major League Baseball. Suitable for any product officially affiliated with or themed after this sports franchise.</t>
  </si>
  <si>
    <t>Features official branding, logos, colors, or imagery associated with the Washington Nationals, a professional baseball team competing in Major League Baseball. Suitable for any product officially affiliated with or themed after this sports franchise.</t>
  </si>
  <si>
    <t>Features official branding, logos, colors, or themes associated with the Boston Celtics, a professional basketball franchise competing in the National Basketball Association (NBA).</t>
  </si>
  <si>
    <t>Features official branding, logos, colors, or themes associated with the Charlotte Hornets, a professional basketball franchise competing in the National Basketball Association (NBA).</t>
  </si>
  <si>
    <t>Features the official branding, logo, colors, or imagery associated with the Denver Nuggets, a professional American basketball team competing in the National Basketball Association (NBA).</t>
  </si>
  <si>
    <t>Features the official branding, logo, colors, or imagery associated with the Golden State Warriors, a professional basketball team competing in the National Basketball Association (NBA).</t>
  </si>
  <si>
    <t>Features the official branding, logo, colors, or imagery associated with the Houston Texans, a professional American football team competing in the National Football League (NFL).</t>
  </si>
  <si>
    <t>Features official branding, logos, insignia, or color schemes associated with the Baltimore Ravens, a professional American football team competing in the National Football League (NFL).</t>
  </si>
  <si>
    <t>Features the official branding, logo, colors, or themes of the Detroit Pistons, a professional basketball team competing in the National Basketball Association (NBA).</t>
  </si>
  <si>
    <t>Features official branding, logos, colors, or themes associated with the Cleveland Cavaliers, a professional basketball team competing in the National Basketball Association (NBA).</t>
  </si>
  <si>
    <t>Features official branding, logos, insignia, or color schemes associated with the Houston Rockets, a professional basketball franchise competing in the National Basketball Association.</t>
  </si>
  <si>
    <t>Features official branding, logos, colors, or themes associated with the Atlanta Hawks, a professional basketball team competing in the National Basketball Association.</t>
  </si>
  <si>
    <t>Features the official branding, logo, colors, or imagery associated with the Washington Capitals, a professional ice hockey team competing in the National Hockey League.</t>
  </si>
  <si>
    <t>Features branding, colors, or imagery associated with the Los Angeles Clippers, a professional American basketball team competing in the National Basketball Association (NBA).</t>
  </si>
  <si>
    <t>Features the official branding, logo, colors, or theme of the Minnesota Timberwolves, a professional basketball team competing in the National Basketball Association (NBA).</t>
  </si>
  <si>
    <t>Features official branding, logos, insignia, or color schemes associated with the Brooklyn Nets, a professional basketball team competing in the National Basketball Association (NBA).</t>
  </si>
  <si>
    <t>Features official branding, logos, insignia, or color schemes associated with the Sacramento Kings, a professional basketball team competing in the National Basketball Association (NBA).</t>
  </si>
  <si>
    <t>Features the official branding, logo, colors, or imagery associated with the Washington Wizards, a professional American basketball team competing in the National Basketball Association.</t>
  </si>
  <si>
    <t>Features official branding, logos, insignia, or color schemes associated with the San Antonio Spurs, a professional basketball team competing in the National Basketball Association.</t>
  </si>
  <si>
    <t>Features the official branding, logo, colors, or imagery associated with the Calgary Flames, a professional ice hockey team competing in the National League Hockey (NHL).</t>
  </si>
  <si>
    <t>Features official branding, logos, colors, or imagery associated with the Carolina Hurricanes, a professional ice hockey team competing in the National Hockey League.</t>
  </si>
  <si>
    <t>Features the official branding, logo, colors, or themes associated with the Indiana Pacers, a professional basketball team competing in the National Basketball Association (NBA).</t>
  </si>
  <si>
    <t>Features official branding, logos, insignia, or color schemes associated with the New Orleans Pelicans, a professional basketball team competing in the National Basketball Association (NBA).</t>
  </si>
  <si>
    <t>Features branding, colors, or imagery associated with the New York Giants, a professional American football team competing in the National Football League (NFL).</t>
  </si>
  <si>
    <t>Features the official branding, logo, colors, or imagery associated with the Memphis Grizzlies, a professional basketball team competing in the National Basketball Association (NBA).</t>
  </si>
  <si>
    <t>Features the official branding, logo, colors, or imagery associated with the Oakland Athletics, a professional baseball team competing in Major League Baseball (MLB).</t>
  </si>
  <si>
    <t>Features the official branding, logo, colors, or imagery associated with the Detroit Red Wings, a professional ice hockey team competing in the National Hockey League (NHL).</t>
  </si>
  <si>
    <t>Features the official branding, logo, colors, or theme of the Colorado Avalanche, a professional ice hockey team competing in the National Hockey League (NHL).</t>
  </si>
  <si>
    <t>Features official branding, logos, or colors associated with the New York Islanders, a professional ice hockey team competing in the National Hockey League.</t>
  </si>
  <si>
    <t>Features official branding, logos, colors, or imagery associated with the Chicago Bulls, a professional American basketball team competing in the National Basketball Association (NBA).</t>
  </si>
  <si>
    <t>Features official branding, logos, colors, or themes associated with the Utah Jazz, a professional basketball team competing in the National Basketball Association.</t>
  </si>
  <si>
    <t>Features official branding, logos, insignia, or color schemes associated with the Philadelphia 76ers, a professional basketball franchise competing in the National Basketball Association (NBA).</t>
  </si>
  <si>
    <t>Features official branding, logos, colors, or themes associated with the Milwaukee Bucks, a professional American basketball team competing in the National Basketball Association (NBA). Suitable for items officially affiliated with or themed after this sports franchise.</t>
  </si>
  <si>
    <t>Features official branding, logos, colors, or imagery associated with the Miami Heat, a professional basketball team competing in the National Basketball Association (NBA).</t>
  </si>
  <si>
    <t>Features the official branding, logo, colors, or imagery associated with the Oklahoma City Thunder, a professional basketball team competing in the National Basketball Association (NBA).</t>
  </si>
  <si>
    <t>Features the official branding, logo, colors, or themes of the Orlando Magic, a professional basketball team competing in the National Basketball Association.</t>
  </si>
  <si>
    <t>Features the official branding, logo, colors, or theme of the Montreal Canadiens, a professional ice hockey team competing in the National Hockey League (NHL).</t>
  </si>
  <si>
    <t>Features official branding, logos, insignia, or color schemes associated with the Vancouver Canucks, a professional ice hockey franchise competing in the National Hockey League (NHL). Suitable for items officially affiliated with or themed after this sports team.</t>
  </si>
  <si>
    <t>Features official branding, logos, colors, or themes associated with the San Jose Sharks, a professional ice hockey team competing in the National Hockey League (NHL).</t>
  </si>
  <si>
    <t>Features official branding, logos, insignia, or color schemes associated with the Arizona Coyotes, a professional ice hockey franchise competing in the National Hockey League (NHL).</t>
  </si>
  <si>
    <t>Features official branding, logos, insignia, or color schemes associated with the Winnipeg Jets, a professional ice hockey franchise competing in the National Hockey League (NHL). Suitable for items officially affiliated with or themed after this sports team.</t>
  </si>
  <si>
    <t>Features official branding, logos, colors, or imagery associated with the Buffalo Sabres, a professional ice hockey team competing in the National Hockey League (NHL).</t>
  </si>
  <si>
    <t>Features official branding, logos, colors, or imagery associated with the Boston Bruins, a professional ice hockey team competing in the National Hockey League (NHL).</t>
  </si>
  <si>
    <t>Features official branding, colors, logos, or imagery associated with the Vegas Golden Knights, a professional ice hockey team competing in the National Hockey League (NHL).</t>
  </si>
  <si>
    <t>Features official branding, logos, insignia, or color schemes associated with the Buffalo Bills, a professional American football franchise competing in the National Football League (NFL).</t>
  </si>
  <si>
    <t>Features official branding, logos, colors, or themes associated with the Toronto Raptors, a professional basketball team competing in the National Basketball Association (NBA).</t>
  </si>
  <si>
    <t>Features official branding, logos, colors, or imagery associated with the Arizona Cardinals, a professional American football franchise competing in the National Football League (NFL).</t>
  </si>
  <si>
    <t>Features the official branding, logo, colors, or themes of the Texas Rangers, a professional baseball team competing in Major League Baseball (MLB).</t>
  </si>
  <si>
    <t>Features official branding, logos, colors, or imagery associated with the Cincinnati Bengals, a professional American football team competing in the National Football League (NFL).</t>
  </si>
  <si>
    <t>Features branding, logos, colors, or imagery associated with the Carolina Panthers, a professional American football team competing in the National Football League.</t>
  </si>
  <si>
    <t>Features the official branding, logo, colors, or imagery associated with the Detroit Lions, a professional American football team competing in the National Football League (NFL).</t>
  </si>
  <si>
    <t>Features official branding, logos, colors, or imagery associated with the Atlanta Falcons, a professional American football team competing in the National Football League (NFL).</t>
  </si>
  <si>
    <t>Features official branding, logos, colors, or themes associated with the Green Bay Packers, a professional American football franchise competing in the National Football League (NFL).</t>
  </si>
  <si>
    <t>Features official branding, logos, insignia, or color schemes associated with the Denver Broncos, a professional American football team competing in the National Football League (NFL).</t>
  </si>
  <si>
    <t>Features official branding, logos, insignia, or color schemes associated with the Miami Dolphins, a professional American football franchise competing in the National Football League (NFL).</t>
  </si>
  <si>
    <t>Features official branding, logos, colors, or imagery associated with the Jacksonville Jaguars, a professional American football team competing in the National Football League (NFL).</t>
  </si>
  <si>
    <t>Features official branding, logos, colors, or imagery associated with the Dallas Stars, a professional ice hockey team competing in the National Hockey League (NHL).</t>
  </si>
  <si>
    <t>Features official branding, logos, colors, or imagery associated with the Kansas City Chiefs, a professional American football team competing in the National Football League.</t>
  </si>
  <si>
    <t>Features the official branding, logos, colors, or imagery associated with the Florida Panthers, a professional ice hockey team competing in the National Hockey League (NHL).</t>
  </si>
  <si>
    <t>Features the official branding, logo, colors, or imagery associated with the Minnesota Wild, a professional ice hockey team competing in the National Hockey League (NHL).</t>
  </si>
  <si>
    <t>Features official branding, logos, colors, or imagery associated with the Phoenix Suns, a professional American basketball team competing in the National Basketball Association.</t>
  </si>
  <si>
    <t>Features official branding, logos, insignia, or color schemes associated with the Indianapolis Colts, a professional American football franchise competing in the National Football League (NFL).</t>
  </si>
  <si>
    <t>Features the official branding, logo, colors, or imagery associated with the Minnesota Vikings, a professional American football team competing in the National Football League (NFL).</t>
  </si>
  <si>
    <t>Features the official branding, logo, colors, or imagery associated with the Columbus Blue Jackets, a professional ice hockey team competing in the National Hockey League (NHL).</t>
  </si>
  <si>
    <t>Features official branding, logos, insignia, or color schemes associated with the Pittsburgh Steelers, a professional American football team competing in the National Football League (NFL).</t>
  </si>
  <si>
    <t>Features official branding, logos, colors, or imagery associated with the New York Jets, a professional American football team competing in the National Football League (NFL).</t>
  </si>
  <si>
    <t>Features official branding, logos, colors, or imagery associated with the Las Vegas Raiders, a professional American football franchise competing in the National Football League (NFL).</t>
  </si>
  <si>
    <t>Features official branding, logos, insignia, or color schemes associated with the New Orleans Saints, a professional American football franchise competing in the National Football League (NFL).</t>
  </si>
  <si>
    <t>Features the official branding, logo, colors, or imagery associated with the San Francisco 49ers, a professional American football franchise competing in the National Football League (NFL).</t>
  </si>
  <si>
    <t>Features the official branding, logo, colors, or imagery associated with the Nashville Predators, a professional ice hockey team competing in the National Hockey League (NHL).</t>
  </si>
  <si>
    <t>Features official branding, logos, colors, or imagery associated with the St. Louis Blues, a professional ice hockey franchise competing in the National Hockey League (NHL).</t>
  </si>
  <si>
    <t>Features the official branding, logos, colors, or imagery associated with the Philadelphia Flyers, a professional ice hockey team competing in the National Hockey League (NHL).</t>
  </si>
  <si>
    <t>Features official branding, logos, insignia, or color schemes associated with the Tampa Bay Lightning, a professional ice hockey franchise competing in the National Hockey League (NHL).</t>
  </si>
  <si>
    <t>Features the official branding, logo, colors, or imagery associated with the Toronto Maple Leafs, a professional ice hockey franchise competing in the National Hockey League (NHL).</t>
  </si>
  <si>
    <t>Features the official branding, logo, colors, or imagery associated with the St. Louis Cardinals, a professional baseball team competing in Major League Baseball (MLB).</t>
  </si>
  <si>
    <t>Features official branding, logos, colors, or imagery associated with the Ottawa Senators, a professional ice hockey team competing in the National Hockey League (NHL).</t>
  </si>
  <si>
    <t>Features official branding, logos, insignia, or color schemes associated with the Seattle Seahawks, a professional American football franchise competing in the National Football League (NFL).</t>
  </si>
  <si>
    <t>Features official branding, logos, colors, or imagery associated with the Navy Midshipmen, the athletic teams representing the United States Naval Academy competing in the National Collegiate Athletic Association.</t>
  </si>
  <si>
    <t>Features official branding, logos, insignia, or color schemes associated with the Tampa Bay Buccaneers, a professional American football franchise competing in the National Football League (NFL).</t>
  </si>
  <si>
    <t>Features official branding, logos, colors, or imagery associated with the Anaheim Ducks, a professional ice hockey team competing in the National Hockey League (NHL).</t>
  </si>
  <si>
    <t>Features official branding, logos, colors, or imagery associated with the Xavier Musketeers, the intercollegiate athletic teams representing Xavier University in the NCAA.</t>
  </si>
  <si>
    <t>Features official branding, logos, colors, or imagery associated with the Dallas Mavericks, a professional basketball franchise competing in the National Basketball Association (NBA).</t>
  </si>
  <si>
    <t>Features official branding, logos, colors, or imagery associated with the Los Angeles Rams, a professional American football team competing in the National Football League (NFL).</t>
  </si>
  <si>
    <t>Features official branding, logos, colors, or imagery associated with the Washington Commanders, a professional American football franchise competing in the National Football League (NFL).</t>
  </si>
  <si>
    <t>Features official branding, logos, insignia, or color schemes associated with the Villanova Wildcats, the collegiate athletic teams representing Villanova University in the National Collegiate Athletic Association.</t>
  </si>
  <si>
    <t>Features official branding, logos, colors, or imagery associated with the New England Patriots, a professional American football franchise competing in the National Football League (NFL).</t>
  </si>
  <si>
    <t>Features official branding, logos, colors, or imagery associated with the University of Wisconsin athletic teams, competing within the National Collegiate Athletic Association (NCAA).</t>
  </si>
  <si>
    <t>Features official branding, logos, colors, or imagery associated with the Portland Trail Blazers, a professional basketball franchise competing in the National Basketball Association (NBA).</t>
  </si>
  <si>
    <t>Features official branding, logos, insignia, or color schemes associated with the UCLA Bruins, the collegiate athletic teams representing the University of California, Los Angeles, in the NCAA.</t>
  </si>
  <si>
    <t>Features official branding, logos, colors, or imagery associated with the Chicago Blackhawks, a professional ice hockey team competing in the National Hockey League (NHL).</t>
  </si>
  <si>
    <t>Features official branding, logos, insignia, or color schemes associated with the Chicago Bears, a professional American football franchise competing in the National Football League (NFL).</t>
  </si>
  <si>
    <t>Features official branding, logos, colors, or imagery associated with the Los Angeles Lakers, a professional basketball franchise competing in the National Basketball Association (NBA).</t>
  </si>
  <si>
    <t>Features official branding, logos, colors, or imagery associated with the University of Utah, a public research university located in Salt Lake City whose athletic teams compete in the National Collegiate Athletic Association (NCAA).</t>
  </si>
  <si>
    <t>Features official branding, logos, colors, or imagery associated with the Alabama Crimson Tide, the intercollegiate athletic varsity teams representing the University of Alabama competing in the National Collegiate Athletic Association (NCAA).</t>
  </si>
  <si>
    <t>Features official branding, logos, colors, or imagery associated with the New Jersey Devils, a professional ice hockey franchise competing in the National Hockey League (NHL). Suitable for items officially affiliated with or themed after this sports team.</t>
  </si>
  <si>
    <t>Features official branding, logos, insignia, or color schemes associated with the Syracuse Orange, the collegiate athletic program representing Syracuse University in NCAA sports.</t>
  </si>
  <si>
    <t>Features official branding, logos, colors, or imagery associated with the New York Rangers, a professional ice hockey team competing in the National Hockey League (NHL).</t>
  </si>
  <si>
    <t>Features official branding, logos, colors, or imagery associated with the United States Air Force Academy, a federal military service academy whose intercollegiate athletic teams compete in the National Collegiate Athletic Association.</t>
  </si>
  <si>
    <t>Features official branding, logos, colors, or imagery associated with the James Madison Dukes, the intercollegiate athletics teams representing James Madison University competing in the NCAA.</t>
  </si>
  <si>
    <t>Features official branding, logos, colors, or imagery associated with the Cleveland Browns, a professional American football franchise competing in the National Football League (NFL).</t>
  </si>
  <si>
    <t>Features official branding, logos, colors, or imagery associated with the UCF Knights, representing the University of Central Florida in collegiate sports sanctioned by the National Collegiate Athletic Association (NCAA).</t>
  </si>
  <si>
    <t>Features official branding, logos, colors, or imagery associated with the Towson Tigers, the intercollegiate athletics teams representing Towson University in NCAA competitions.</t>
  </si>
  <si>
    <t>Features official branding, logos, insignia, or color schemes associated with the Tennessee Volunteers, the collegiate athletic teams representing the University of Tennessee in NCAA competition.</t>
  </si>
  <si>
    <t>Features official branding, logos, insignia, or color schemes associated with the Purdue Boilermakers, a collegiate athletic program representing Purdue University in National Collegiate Athletic Association (NCAA) competitions.</t>
  </si>
  <si>
    <t>Features official branding, logos, colors, or imagery associated with Texas State University, whose athletic teams compete in the National Collegiate Athletic Association (NCAA).</t>
  </si>
  <si>
    <t>Features official branding, logos, insignia, or color schemes associated with the Pittsburgh Panthers, the collegiate athletic teams representing the University of Pittsburgh.</t>
  </si>
  <si>
    <t>Features official branding, logos, colors, or imagery associated with the SMU Mustangs, the collegiate athletic teams representing Southern Methodist University.</t>
  </si>
  <si>
    <t>Features official branding, logos, insignia, or color schemes associated with the Ole Miss Rebels, the intercollegiate athletic teams representing the University of Mississippi in the National Collegiate Athletic Association (NCAA).</t>
  </si>
  <si>
    <t>Features official branding, logos, colors, or imagery associated with the Seton Hall Pirates, the intercollegiate athletic teams representing Seton Hall University competing in the NCAA.</t>
  </si>
  <si>
    <t>Features official branding, logos, colors, or imagery associated with the Texas Longhorns, the collegiate athletic program representing the University of Texas at Austin.</t>
  </si>
  <si>
    <t>Features official branding, logos, colors, or imagery associated with the Penn State Nittany Lions, the athletic teams representing Pennsylvania State University competing in the National Collegiate Athletic Association (NCAA).</t>
  </si>
  <si>
    <t>Features official branding, logos, colors, or imagery associated with the North Dakota Fighting Hawks, the athletic teams representing the University of North Dakota that compete in the National Collegiate Athletic Association (NCAA).</t>
  </si>
  <si>
    <t>Features the official branding, logo, colors, or imagery associated with the University of North Carolina Tar Heels, a collegiate sports program competing in the National Collegiate Athletic Association (NCAA).</t>
  </si>
  <si>
    <t>Features official branding, logos, colors, or imagery associated with the Mississippi State Bulldogs, the collegiate athletic teams representing Mississippi State University in the National Collegiate Athletic Association (NCAA).</t>
  </si>
  <si>
    <t>Features the official branding, logo, colors, or imagery associated with the Oklahoma Sooners, the collegiate athletic teams representing the University of Oklahoma in the National Collegiate Athletic Association (NCAA).</t>
  </si>
  <si>
    <t>Features official branding, logos, insignia, or color schemes associated with Oklahoma State University, a member of the National Collegiate Athletic Association (NCAA).</t>
  </si>
  <si>
    <t>Features official branding, logos, colors, or imagery associated with the Ohio State Buckeyes, a collegiate athletic program representing Ohio State University that competes in the National Collegiate Athletic Association (NCAA).</t>
  </si>
  <si>
    <t>Features official branding, logos, colors, or imagery associated with the Nebraska Cornhuskers, the intercollegiate athletic teams representing the University of Nebraska–Lincoln competing in the National Collegiate Athletic Association (NCAA).</t>
  </si>
  <si>
    <t>Features official branding, logos, insignia, or color schemes associated with Missouri State University, an institution competing in the National Collegiate Athletic Association (NCAA).</t>
  </si>
  <si>
    <t>Features official branding, logos, colors, or imagery associated with the Ohio State Buckeyes, the intercollegiate athletic teams representing Ohio State University in the National Collegiate Athletic Association (NCAA).</t>
  </si>
  <si>
    <t>Features official branding, logos, colors, or imagery associated with the Notre Dame Fighting Irish, the athletic teams representing the University of Notre Dame in the National Collegiate Athletic Association (NCAA).</t>
  </si>
  <si>
    <t>Features official branding, logos, insignia, or color schemes associated with the University of Michigan, an institution whose athletic teams compete in the National Collegiate Athletic Association (NCAA).</t>
  </si>
  <si>
    <t>Features official branding, logos, insignia, or color schemes associated with Michigan Technological University, whose athletic teams compete as the Huskies.</t>
  </si>
  <si>
    <t>Features official branding, logos, insignia, or color schemes associated with the Michigan Wolverines, the collegiate athletic teams representing the University of Michigan.</t>
  </si>
  <si>
    <t>Features official branding, logos, colors, or imagery associated with the Louisville Cardinals, the collegiate athletic teams representing the University of Louisville in the National Collegiate Athletic Association (NCAA).</t>
  </si>
  <si>
    <t>Features official branding, logos, colors, or imagery associated with the Michigan State Spartans, the athletic teams representing Michigan State University competing in the National Collegiate Athletic Association (NCAA).</t>
  </si>
  <si>
    <t>Features official branding, logos, colors, or imagery associated with the Indiana Hoosiers, the collegiate athletic teams representing Indiana University Bloomington competing in the National Collegiate Athletic Association (NCAA).</t>
  </si>
  <si>
    <t>Features official branding, logos, colors, or imagery associated with the Memphis Tigers, the collegiate athletic teams representing the University of Memphis competing in the National Collegiate Athletic Association (NCAA).</t>
  </si>
  <si>
    <t>Features official branding, logos, colors, or imagery associated with the Houston Cougars, the athletic teams representing the University of Houston that compete in the National Collegiate Athletic Association (NCAA).</t>
  </si>
  <si>
    <t>Features official branding, logos, colors, or imagery associated with the Miami University RedHawks, a collegiate athletic program representing Miami University in Oxford, Ohio, competing in the National Collegiate Athletic Association (NCAA).</t>
  </si>
  <si>
    <t>Features branding, logos, colors, or imagery associated with the Georgia Tech Yellow Jackets, the intercollegiate athletic teams representing the Georgia Institute of Technology competing in the National Collegiate Athletic Association (NCAA).</t>
  </si>
  <si>
    <t>Features the official branding, logo, colors, or imagery associated with Georgia Southern University, a public research university whose athletic teams compete in the National Collegiate Athletic Association (NCAA).</t>
  </si>
  <si>
    <t>Features official branding, logos, colors, or imagery associated with Clemson University, a collegiate institution whose sports teams compete in the National Collegiate Athletic Association (NCAA).</t>
  </si>
  <si>
    <t>Features official branding, logos, colors, or imagery associated with the East Carolina University Pirates, a collegiate sports program competing in the National Collegiate Athletic Association.</t>
  </si>
  <si>
    <t>Features official branding, logos, insignia, or color schemes associated with the Florida Gators, the intercollegiate athletic teams representing the University of Florida that compete in the National Collegiate Athletic Association (NCAA).</t>
  </si>
  <si>
    <t>Features official branding, logos, colors, or imagery associated with the Duke Blue Devils, the intercollegiate athletic teams representing Duke University.</t>
  </si>
  <si>
    <t>Features official branding, logos, colors, or imagery associated with the Eastern Kentucky University Colonels, an intercollegiate athletic program competing in the National Collegiate Athletic Association (NCAA).</t>
  </si>
  <si>
    <t>Features the official branding, logo, colors, or imagery associated with the Georgetown Hoyas, the athletic teams representing Georgetown University in NCAA competitions.</t>
  </si>
  <si>
    <t>Features official branding, logos, colors, or imagery associated with the Coastal Carolina University Chanticleers, an athletic program competing in the National Collegiate Athletic Association (NCAA).</t>
  </si>
  <si>
    <t>Features official branding, logos, colors, or imagery associated with the Colorado State Rams, the collegiate athletic teams representing Colorado State University competing in the NCAA.</t>
  </si>
  <si>
    <t>Features official branding, logos, colors, or imagery associated with the Georgia Bulldogs, the intercollegiate athletic teams representing the University of Georgia that compete in the National Collegiate Athletic Association (NCAA).</t>
  </si>
  <si>
    <t>Features official branding, logos, insignia, or color schemes associated with The Citadel, a public senior military college whose athletic teams compete in the National Collegiate Athletic Association (NCAA).</t>
  </si>
  <si>
    <t>Features the official branding, logo, colors, or imagery associated with the Creighton Bluejays, a collegiate sports program competing in the NCAA.</t>
  </si>
  <si>
    <t>Features official branding, logos, colors, or imagery associated with Central Michigan University, whose athletic teams compete in the National Collegiate Athletic Association (NCAA).</t>
  </si>
  <si>
    <t>Features official branding, logos, colors, or imagery associated with Boston College, a private research university whose athletic teams compete in the National Collegiate Athletic Association.</t>
  </si>
  <si>
    <t>Features official branding, logos, color schemes, or imagery associated with the BYU Cougars, the intercollegiate athletic teams representing Brigham Young University (BYU) competing in the NCAA.</t>
  </si>
  <si>
    <t>Features official branding, logos, colors, or imagery associated with Texas A&amp;M University, an American university with athletic teams competing in the National Collegiate Athletic Association (NCAA).</t>
  </si>
  <si>
    <t>Features the official branding, logo, colors, or imagery associated with Butler University, a private university whose athletic teams compete in the National Collegiate Athletic Association (NCAA).</t>
  </si>
  <si>
    <t>Features the official branding, logos, colors, or imagery associated with the TCU Horned Frogs, the athletic teams representing Texas Christian University in the NCAA.</t>
  </si>
  <si>
    <t>Features the official branding, logo, colors, or imagery associated with the Dallas Cowboys, a professional American football franchise competing in the National Football League (NFL).</t>
  </si>
  <si>
    <t>Features official branding, logos, colors, or imagery associated with the Philadelphia Eagles, a professional American football franchise competing in the National Football League (NFL).</t>
  </si>
  <si>
    <t>Features the official branding, logos, colors, or imagery associated with Virginia Tech, a university whose athletic teams compete in the National Collegiate Athletic Association (NCAA).</t>
  </si>
  <si>
    <t>Features official branding, logos, insignia, or color schemes associated with the Los Angeles Chargers, a professional American football franchise competing in the National Football League (NFL).</t>
  </si>
  <si>
    <t>Features official branding, logos, colors, or imagery associated with the University of Southern California Trojans, an athletic program competing in the National Collegiate Athletic Association.</t>
  </si>
  <si>
    <t>Features official branding, logos, colors, or imagery associated with the Boise State Broncos, the intercollegiate athletic teams representing Boise State University that compete in the National Collegiate Athletic Association (NCAA).</t>
  </si>
  <si>
    <t>Features official branding, logos, colors, or imagery associated with the Tennessee Titans, a professional American football franchise competing in the National Football League (NFL).</t>
  </si>
  <si>
    <t>Features official branding, logos, colors, or imagery associated with Louisiana State University (LSU), a member institution competing within the National Collegiate Athletic Association (NCAA).</t>
  </si>
  <si>
    <t>Features official branding, logos, colors, or imagery associated with the Army Black Knights, the intercollegiate athletic teams representing the United States Military Academy.</t>
  </si>
  <si>
    <t>Features the official branding, logos, colors, or imagery associated with the Seattle Kraken, a professional ice hockey team competing in the National Hockey League (NHL).</t>
  </si>
  <si>
    <t>Features the official branding, logo, colors, or imagery associated with AFC Bournemouth, a professional football club competing in the English Premier League.</t>
  </si>
  <si>
    <t>Features official branding, logos, colors, or imagery associated with Brighton &amp; Hove Albion Football Club, a professional English football club based in Brighton and Hove, East Sussex, that competes in the Premier League.</t>
  </si>
  <si>
    <t>Features branding, colors, or imagery associated with Arsenal Football Club, a professional football club based in London, England, competing in the Premier League.</t>
  </si>
  <si>
    <t>Features official branding, logos, insignia, or color schemes associated with Everton Football Club, a professional English football club based in Liverpool, England.</t>
  </si>
  <si>
    <t>Features official branding, logos, colors, or imagery associated with Chelsea FC, a professional English football club competing in the Premier League.</t>
  </si>
  <si>
    <t>Features branding, colors, or imagery associated with Crystal Palace FC, a professional football club based in South London, England, competing in the Premier League.</t>
  </si>
  <si>
    <t>Features official branding, logos, colors, or imagery associated with Liverpool FC, a professional football club based in Liverpool, England, that competes in the Premier League.</t>
  </si>
  <si>
    <t>Features official branding, logos, insignia, or color schemes associated with Leicester City Football Club, a professional English football club based in Leicester, England. Suitable for merchandise officially affiliated with or themed after this sports franchise.</t>
  </si>
  <si>
    <t>Features official branding, logos, colors, or imagery associated with Fulham Football Club, a professional English football club based in West London that competes in the Premier League.</t>
  </si>
  <si>
    <t>Features the official branding, logo, colors, or imagery associated with Aston Villa Football Club, a professional English football club.</t>
  </si>
  <si>
    <t>Features official branding, logos, colors, or imagery associated with Brentford Football Club, a professional English association football club competing in the Premier League.</t>
  </si>
  <si>
    <t>Features branding, colors, logos, or imagery associated with Leeds United Football Club, a professional English football club based in Leeds, West Yorkshire.</t>
  </si>
  <si>
    <t>Features official branding, logos, colors, or imagery associated with FC Bayern Munich, a professional German sports club competing in the Bundesliga.</t>
  </si>
  <si>
    <t>Features the official branding, logo, colors, or imagery associated with SV Werder Bremen, a professional sports club based in Bremen, Germany, competing in the Bundesliga.</t>
  </si>
  <si>
    <t>Features official branding, logos, insignia, or color schemes associated with RB Leipzig, a professional German football club competing in the Bundesliga.</t>
  </si>
  <si>
    <t>Features official branding, logos, insignia, or color schemes associated with Manchester City, a professional football club based in Manchester, England, that competes in the Premier League. Suitable for items officially affiliated with or themed after this sports franchise.</t>
  </si>
  <si>
    <t>Features official branding, logos, insignia, or color schemes associated with 1. FC Köln, a professional German football club based in Cologne, North Rhine-Westphalia.</t>
  </si>
  <si>
    <t>Features the official branding, logo, colors, or imagery associated with Bayer 04 Leverkusen, a professional German football club competing in the Bundesliga.</t>
  </si>
  <si>
    <t>Features the official branding, logo, colors, or imagery associated with Tottenham Hotspur, a professional football club competing in the English Premier League.</t>
  </si>
  <si>
    <t>Features branding, colors, or imagery associated with West Ham United, a professional English football club based in East London.</t>
  </si>
  <si>
    <t>Features the official branding, logo, colors, or imagery associated with VfB Stuttgart, a professional sports club based in Stuttgart, Germany, that competes in the Bundesliga.</t>
  </si>
  <si>
    <t>Features official branding, logos, colors, or imagery associated with VfL Bochum 1848, a professional German football club based in Bochum, North Rhine-Westphalia.</t>
  </si>
  <si>
    <t>Features official branding, logos, colors, or imagery associated with FC Schalke 04, a professional German sports club based in Gelsenkirchen that competes in football.</t>
  </si>
  <si>
    <t>Features official branding, logos, colors, or imagery associated with the Wolverhampton Wanderers, a professional English football club commonly referred to as Wolves.</t>
  </si>
  <si>
    <t>Features official branding, logos, colors, or imagery associated with 1. FC Union Berlin, a professional association football club based in Berlin, Germany, competing in the Bundesliga.</t>
  </si>
  <si>
    <t>Features official branding, logos, colors, or imagery associated with VfL Wolfsburg, a professional German sports club best known for its association football team.</t>
  </si>
  <si>
    <t>Features official branding, logos, colors, or imagery associated with TSG Hoffenheim, a professional football club based in Germany.</t>
  </si>
  <si>
    <t>Features official branding, logos, colors, or imagery associated with Hertha BSC, a professional German football club based in Berlin.</t>
  </si>
  <si>
    <t>Features the official branding, logo, colors, or themes associated with SC Freiburg, a professional German football club competing in the Bundesliga. Suitable for merchandise officially affiliated with or themed after this sports franchise.</t>
  </si>
  <si>
    <t>Features official branding, logos, colors, or imagery associated with FC Augsburg, a professional football club based in Augsburg, Germany, competing in the Bundesliga.</t>
  </si>
  <si>
    <t>Features official branding, logos, colors, or imagery associated with 1. FSV Mainz 05, a professional German sports club competing in the Bundesliga.</t>
  </si>
  <si>
    <t>Features official branding, logos, colors, or imagery associated with Nottingham Forest Football Club, a professional English football club competing in the Premier League.</t>
  </si>
  <si>
    <t>Features official branding, logos, colors, or imagery associated with Southampton Football Club, a professional English football franchise. Suitable for merchandise officially affiliated with or themed after this sports team.</t>
  </si>
  <si>
    <t>Features official branding, logos, insignia, or color schemes associated with Borussia Dortmund, a professional German football club competing in the Bundesliga. Suitable for items officially affiliated with or themed after this sports franchise.</t>
  </si>
  <si>
    <t>Features official branding, logos, colors, or imagery associated with Manchester United, a professional football club competing in the English Premier League.</t>
  </si>
  <si>
    <t>Features official branding, logos, colors, or imagery associated with Eintracht Frankfurt, a professional German sports club competing in the Bundesliga.</t>
  </si>
  <si>
    <t>Features the official branding, logo, colors, or imagery associated with Borussia Mönchengladbach, a professional German football club competing in the Bundesliga.</t>
  </si>
  <si>
    <t>Features the official branding, logo, colors, or imagery associated with Newcastle United, a professional football club competing in the English Premier League.</t>
  </si>
  <si>
    <t>Features the official branding, logo, colors, or imagery associated with Club Atlético de Madrid, a professional football club based in Madrid, Spain, that competes in La Liga.</t>
  </si>
  <si>
    <t>Features the official branding, logo, colors, or imagery associated with Real Club Celta de Vigo, a professional football club based in Vigo, Spain, competing in La Liga.</t>
  </si>
  <si>
    <t>Features branding, colors, or imagery associated with Rayo Vallecano de Madrid, a professional football club based in Madrid, Spain, that competes in LaLiga. Suitable for items officially affiliated with or themed after this sports franchise.</t>
  </si>
  <si>
    <t>Features branding, colors, or imagery associated with Valencia Club de Fútbol, a professional Spanish football club competing in LaLiga.</t>
  </si>
  <si>
    <t>Features official branding, logos, colors, or imagery associated with Club Atlético Osasuna, a professional Spanish football club based in Pamplona, Navarre. Suitable for items officially affiliated with or themed after this sports franchise.</t>
  </si>
  <si>
    <t>Features official branding, logos, colors, or imagery associated with Real Club Deportivo Mallorca, a professional Spanish football club based in Palma, Mallorca.</t>
  </si>
  <si>
    <t>Features the official branding, logo, colors, or imagery associated with Real Sociedad de Fútbol, a professional sports club based in San Sebastián, Spain, that competes in La Liga.</t>
  </si>
  <si>
    <t>Features official branding, logos, colors, or imagery associated with Sevilla Fútbol Club, a professional Spanish football team competing in La Liga.</t>
  </si>
  <si>
    <t>Features the official branding, logo, colors, or themes of Unión Deportiva Almería, a professional football club based in Almería, Spain.</t>
  </si>
  <si>
    <t>Features the official branding, logo, colors, or imagery associated with Futbol Club Barcelona, a professional football club based in Barcelona, Catalonia, Spain.</t>
  </si>
  <si>
    <t>Features official branding, logos, colors, or imagery associated with RCD Espanyol de Barcelona, a professional sports club based in Barcelona, Spain, competing in La Liga.</t>
  </si>
  <si>
    <t>Features official branding, logos, colors, or imagery associated with Cádiz Club de Fútbol, a professional Spanish football club based in Cádiz, Andalusia, competing in the Segunda División.</t>
  </si>
  <si>
    <t>Features official branding, logos, colors, or imagery associated with Villarreal CF, a professional Spanish football club competing in La Liga. Suitable for any product officially affiliated with or themed after this sports team.</t>
  </si>
  <si>
    <t>Features the official branding, logo, colors, or imagery associated with Getafe Club de Fútbol, a professional Spanish football club competing in La Liga.</t>
  </si>
  <si>
    <t>Features official branding, logos, insignia, or color schemes associated with Girona Futbol Club, a professional Spanish football team based in Girona, Catalonia.</t>
  </si>
  <si>
    <t>Features official branding, logos, colors, or imagery associated with Elche Club de Fútbol, a professional football club based in Elche, Spain.</t>
  </si>
  <si>
    <t>Features the official branding, logo, colors, or imagery associated with Real Betis Balompié, a professional Spanish football club based in Seville, Andalusia, competing in La Liga.</t>
  </si>
  <si>
    <t>Features official branding, logos, insignia, or color schemes associated with Real Valladolid CF, a professional Spanish football club based in Valladolid, Castile and León.</t>
  </si>
  <si>
    <t>Features the official branding, logo, colors, or thematic elements associated with a specific athletic club, sports organization, or fitness society.</t>
  </si>
  <si>
    <t>Features branding, colors, or imagery associated with Real Madrid Club de Fútbol, a professional Spanish football club based in Madrid that competes in La Liga.</t>
  </si>
  <si>
    <t>Features official branding, logos, colors, or imagery associated with AC Monza, a professional Italian football club competing in Serie A.</t>
  </si>
  <si>
    <t>Features the official branding, logo, colors, or imagery associated with Atalanta Bergamasca Calcio, a professional Italian football club competing in Serie A. Suitable for merchandise officially affiliated with or themed after this sports franchise.</t>
  </si>
  <si>
    <t>Features official branding, logos, colors, or imagery associated with Torino Football Club, a professional Italian football club based in Turin, Piedmont, competing in Serie A.</t>
  </si>
  <si>
    <t>Features official branding, logos, colors, or imagery associated with AS Roma, a professional Italian football club competing in Serie A.</t>
  </si>
  <si>
    <t>Features official branding, colors, logos, or imagery associated with Juventus Football Club, a professional Italian football club based in Turin, Italy.</t>
  </si>
  <si>
    <t>Features official branding, logos, colors, or imagery associated with U.S. Sassuolo Calcio, a professional Italian football club based in Sassuolo, Emilia-Romagna.</t>
  </si>
  <si>
    <t>Features official branding, logos, colors, or imagery associated with AC Milan, a professional Italian football club based in Milan that competes in Serie A. Suitable for any product officially affiliated with or themed after this sports franchise.</t>
  </si>
  <si>
    <t>Features official branding, logos, colors, or imagery associated with Udinese Calcio, a professional football club based in Udine, Italy, competing in Serie A.</t>
  </si>
  <si>
    <t>Features the official branding, logo, colors, or imagery associated with Bologna Football Club 1909, a professional Italian football club competing in Serie A.</t>
  </si>
  <si>
    <t>Features official branding, logos, colors, or imagery associated with Unione Sportiva Cremonese, a professional Italian football club based in Cremona, Lombardy.</t>
  </si>
  <si>
    <t>Features official branding, logos, colors, or imagery associated with Spezia Calcio, a professional Italian football club competing in the Italian football league system.</t>
  </si>
  <si>
    <t>Features official branding, logos, colors, or imagery associated with ACF Fiorentina, a professional Italian football club based in Florence, Tuscany.</t>
  </si>
  <si>
    <t>Features the official branding, logo, colors, or imagery associated with Unione Calcio Sampdoria, a professional Italian football club based in Genoa, Liguria.</t>
  </si>
  <si>
    <t>Features official branding, logos, insignia, or color schemes associated with U.S. Salernitana 1919, a professional Italian football club based in Salerno, Campania. Suitable for merchandise officially affiliated with or themed after this sports franchise.</t>
  </si>
  <si>
    <t>Features official branding, logos, colors, or imagery associated with Empoli Football Club, a professional Italian football club.</t>
  </si>
  <si>
    <t>Features official branding, logos, colors, or imagery associated with Unione Sportiva Lecce, a professional Italian football club competing in Serie A.</t>
  </si>
  <si>
    <t>Features branding, colors, or imagery associated with SSC Napoli, a professional Italian football club competing in Serie A.</t>
  </si>
  <si>
    <t>Features official branding, logos, insignia, or color schemes associated with Hellas Verona Football Club, a professional Italian football club based in Verona, Veneto, competing in Italian professional football.</t>
  </si>
  <si>
    <t>Features branding, colors, or imagery associated with Football Club Internazionale Milano (Inter Milan), a professional Italian football club competing in Serie A.</t>
  </si>
  <si>
    <t>Features official branding, logos, colors, or imagery associated with S.S. Lazio, a professional Italian football club based in Rome.</t>
  </si>
  <si>
    <t>Features official branding, logos, colors, or imagery associated with Angers SCO, a professional French football club competing in Ligue 1.</t>
  </si>
  <si>
    <t>Features official branding, logos, colors, or imagery associated with FC Nantes, a professional football club based in Nantes, France, that competes in Ligue 1. Suitable for any product officially affiliated with or themed after this sports franchise.</t>
  </si>
  <si>
    <t>Features official branding, logos, colors, or imagery associated with Football Club de Metz, commonly referred to as FC Metz, a professional French association football club based in Metz, Lorraine.</t>
  </si>
  <si>
    <t>Features official branding, logos, colors, or imagery associated with Olympique de Marseille, a professional French football club competing in Ligue 1. Suitable for any product officially affiliated with or themed after this sports franchise.</t>
  </si>
  <si>
    <t>Features official branding, logos, colors, or imagery associated with Olympique Lyonnais, a professional football club based in Lyon, France, competing in Ligue 1.</t>
  </si>
  <si>
    <t>Features official branding, logos, colors, or imagery associated with LOSC Lille, a professional French football club competing in Ligue 1.</t>
  </si>
  <si>
    <t>Features official branding, logos, insignia, or color schemes associated with Montpellier Hérault SC, a professional French football club competing in Ligue 1.</t>
  </si>
  <si>
    <t>Features official branding, logos, colors, or imagery associated with Racing Club de Lens, a professional French football club competing in Ligue 1.</t>
  </si>
  <si>
    <t>Features official branding, logos, colors, or imagery associated with Paris Saint-Germain, a professional football club based in Paris, France, that competes in Ligue 1. Suitable for items officially affiliated with or themed after this sports franchise.</t>
  </si>
  <si>
    <t>Features official branding, logos, colors, or imagery associated with OGC Nice, a professional French association football club competing in Ligue 1.</t>
  </si>
  <si>
    <t>Features official branding, logos, insignia, or color schemes associated with FC Lorient, a professional French football club competing in Ligue 1.</t>
  </si>
  <si>
    <t>Features official branding, logos, colors, or imagery associated with Racing Club de Strasbourg Alsace, a professional French association football club competing in Ligue 1.</t>
  </si>
  <si>
    <t>Features branding, colors, or imagery associated with ESTAC Troyes, a professional association football club based in Troyes, France.</t>
  </si>
  <si>
    <t>Features the official branding, logo, colors, or imagery associated with Stade Brestois 29, a professional French football club competing in Ligue 1.</t>
  </si>
  <si>
    <t>Features official branding, logos, color schemes, or imagery associated with AS Monaco, a professional football club based in Monaco that competes in France's Ligue 1. Suitable for items officially affiliated with or themed after this sports franchise.</t>
  </si>
  <si>
    <t>Features official branding, logos, colors, or imagery associated with AS Saint-Étienne, a professional French football club competing in the French football league system.</t>
  </si>
  <si>
    <t>Features branding, colors, or imagery associated with FC Girondins de Bordeaux, a professional football club based in Bordeaux, France.</t>
  </si>
  <si>
    <t>Features official branding, logos, insignia, or color schemes associated with Stade Rennais FC, a professional football club based in Rennes, France, competing in Ligue 1.</t>
  </si>
  <si>
    <t>Features the official branding, logo, colors, or imagery associated with Clermont Foot 63, a professional football club based in Clermont-Ferrand, France, that competes in Ligue 2.</t>
  </si>
  <si>
    <t>Features the official branding, logo, colors, or imagery associated with Stade de Reims, a professional football club based in Reims, France.</t>
  </si>
  <si>
    <t>Features the official branding, logo, colors, or imagery associated with the Hamilton Tiger-Cats, a professional Canadian football team competing in the Canadian Football League (CFL).</t>
  </si>
  <si>
    <t>Features official branding, logos, colors, or imagery associated with the Toronto Argonauts, a professional Canadian football team competing in the Canadian Football League (CFL).</t>
  </si>
  <si>
    <t>Features the official branding, logo, colors, or imagery associated with Minnesota United FC, a professional soccer club competing in Major League Soccer (MLS).</t>
  </si>
  <si>
    <t>Features official branding, logos, insignia, or color schemes associated with Los Angeles FC, a professional soccer club competing in Major League Soccer (MLS).</t>
  </si>
  <si>
    <t>Features official branding, logos, insignia, or color schemes associated with CF Montréal (formerly the Montreal Impact), a professional Canadian soccer franchise competing in Major League Soccer (MLS).</t>
  </si>
  <si>
    <t>Features official branding, logos, colors, or imagery associated with Orlando City SC, a professional soccer club competing in Major League Soccer (MLS).</t>
  </si>
  <si>
    <t>Features the official branding, logo, colors, or imagery associated with the Winnipeg Blue Bombers, a professional football team competing in the Canadian Football League (CFL).</t>
  </si>
  <si>
    <t>Features branding, logos, colors, or historical imagery associated with the Boston Braves, a former professional American baseball franchise that competed in Major League Baseball.</t>
  </si>
  <si>
    <t>Features official branding, logos, insignia, or color schemes associated with the Hollywood Rangers, a professional American football team that competed in the American Football League (AFL).</t>
  </si>
  <si>
    <t>Features official branding, logos, colors, or imagery associated with Chicago Fire FC, a professional American soccer club competing in Major League Soccer (MLS).</t>
  </si>
  <si>
    <t>Features official branding, logos, insignia, or color schemes associated with Alabama Agricultural and Mechanical University (Alabama A&amp;M), a public historically black land-grant university whose athletic teams compete in the NCAA.</t>
  </si>
  <si>
    <t>Features official branding, logos, colors, or imagery associated with the 1966 California Angels, a historic era of the professional baseball franchise competing in Major League Baseball (MLB).</t>
  </si>
  <si>
    <t>Features official branding, logos, colors, or imagery associated with Sporting Kansas City, a professional soccer club competing in Major League Soccer (MLS).</t>
  </si>
  <si>
    <t>Features official branding, logos, colors, or imagery associated with the New York Red Bulls, a professional soccer club competing in Major League Soccer (MLS).</t>
  </si>
  <si>
    <t>Features the official branding, logos, colors, or themes of the New England Revolution, a professional soccer club competing in Major League Soccer (MLS).</t>
  </si>
  <si>
    <t>Features the official branding, logo, colors, or imagery associated with New York City FC, a professional soccer club competing in Major League Soccer (MLS).</t>
  </si>
  <si>
    <t>Features official branding, logos, colors, or imagery associated with FC Cincinnati, a professional soccer club competing in Major League Soccer (MLS).</t>
  </si>
  <si>
    <t>Features branding, colors, or imagery associated with the Atlanta Dream, a professional American basketball team competing in the Women's National Basketball Association (WNBA).</t>
  </si>
  <si>
    <t>Features the official branding, logo, colors, or imagery associated with the Colorado Rapids, a professional soccer club competing in Major League Soccer (MLS).</t>
  </si>
  <si>
    <t>Features official branding, logos, colors, or imagery associated with the Houston Dynamo FC, a professional soccer club competing in Major League Soccer (MLS).</t>
  </si>
  <si>
    <t>Features official branding, logos, colors, or imagery associated with the Philadelphia Union, a professional soccer club competing in Major League Soccer (MLS).</t>
  </si>
  <si>
    <t>Features official branding, logos, colors, or historical imagery associated with the 1944 Brooklyn Dodgers, a historic professional American baseball franchise that competed in Major League Baseball (MLB).</t>
  </si>
  <si>
    <t>Features branding, colors, logos, or imagery associated with the 1954 Philadelphia Athletics, a historic professional baseball team that competed in Major League Baseball (MLB).</t>
  </si>
  <si>
    <t>Features branding, colors, or imagery associated with D.C. United, a professional American soccer club competing in Major League Soccer (MLS).</t>
  </si>
  <si>
    <t>Features official branding, logos, colors, or imagery associated with the Edmonton Elks, a professional Canadian football team competing in the Canadian Football League (CFL).</t>
  </si>
  <si>
    <t>Features official branding, logos, colors, or imagery associated with the Columbus Crew, a professional soccer club competing in Major League Soccer (MLS).</t>
  </si>
  <si>
    <t>Features official branding, logos, historic insignia, or color schemes associated with the Brooklyn Dodgers, a historic professional baseball franchise that competed in Major League Baseball before relocating to Los Angeles. Suitable for items themed after this historic sports team.</t>
  </si>
  <si>
    <t>Features official branding, logos, insignia, or color schemes associated with Atlanta United FC, a professional soccer club competing in Major League Soccer (MLS).</t>
  </si>
  <si>
    <t>Features branding, colors, or imagery associated with the Montreal Alouettes, a professional Canadian football team competing in the Canadian Football League (CFL).</t>
  </si>
  <si>
    <t>Features the official branding, logo, colors, or imagery associated with the 1990 Montreal Expos, a professional baseball franchise that competed in Major League Baseball (MLB).</t>
  </si>
  <si>
    <t>Features official branding, logos, insignia, or color schemes associated with the Saskatchewan Roughriders, a professional Canadian football team competing in the Canadian Football League (CFL).</t>
  </si>
  <si>
    <t>Features the historical branding, logos, colors, or imagery associated with the 1998 Tampa Bay Devil Rays, a professional baseball franchise competing in Major League Baseball (MLB).</t>
  </si>
  <si>
    <t>Features official branding, logos, colors, or imagery associated with FC Dallas, a professional American soccer club competing in Major League Soccer (MLS).</t>
  </si>
  <si>
    <t>Features official branding, logos, colors, or imagery associated with the LA Galaxy, a professional soccer club competing in Major League Soccer (MLS).</t>
  </si>
  <si>
    <t>Features official branding, logos, colors, or imagery associated with the Portland Timbers, a professional soccer club competing in Major League Soccer (MLS).</t>
  </si>
  <si>
    <t>Features official branding, logos, colors, or imagery associated with the Kentucky Wildcats, the intercollegiate athletic teams representing the University of Kentucky competing in the National Collegiate Athletic Association.</t>
  </si>
  <si>
    <t>Features official branding, logos, colors, or imagery associated with the Kent State Golden Flashes, the athletic teams representing Kent State University competing in the National Collegiate Athletic Association (NCAA).</t>
  </si>
  <si>
    <t>Features official branding, logos, colors, or imagery associated with the Lamar Cardinals and Lady Cardinals, the intercollegiate athletic teams representing Lamar University competing in the NCAA.</t>
  </si>
  <si>
    <t>Features official branding, logos, colors, or imagery associated with Real Salt Lake, a professional soccer club competing in Major League Soccer (MLS).</t>
  </si>
  <si>
    <t>Features official branding, logos, colors, or imagery associated with the South Florida Bulls, the athletic teams representing the University of South Florida competing in the National Collegiate Athletic Association.</t>
  </si>
  <si>
    <t>Features the official branding, logo, colors, or imagery associated with the Bulldogs, the athletic teams representing Truman State University competing in the National Collegiate Athletic Association.</t>
  </si>
  <si>
    <t>Features official branding, logos, insignia, or color schemes associated with the Tulane Green Wave, the athletic teams representing Tulane University competing in the National Collegiate Athletic Association (NCAA).</t>
  </si>
  <si>
    <t>Features official branding, logos, colors, or imagery associated with England's national football team competing in the FIFA World Cup.</t>
  </si>
  <si>
    <t>Features official branding, logos, colors, or imagery associated with the Kennesaw State Owls, the athletic teams representing Kennesaw State University competing in the National Collegiate Athletic Association.</t>
  </si>
  <si>
    <t>Features official branding, logos, colors, or imagery associated with the Idaho State Bengals, the intercollegiate athletic teams representing Idaho State University in the NCAA.</t>
  </si>
  <si>
    <t>Features official branding, logos, colors, or imagery associated with the Illinois Fighting Illini, the intercollegiate athletic teams representing the University of Illinois Urbana-Champaign competing in the National Collegiate Athletic Association.</t>
  </si>
  <si>
    <t>Features official branding, logos, colors, or imagery associated with the Kansas City Roos, the intercollegiate athletic teams representing the University of Missouri–Kansas City competing in the National Collegiate Athletic Association.</t>
  </si>
  <si>
    <t>Features official branding, logos, colors, or imagery associated with the Idaho Vandals, the athletic teams representing the University of Idaho competing in the National Collegiate Athletic Association.</t>
  </si>
  <si>
    <t>Features official branding, logos, colors, or imagery associated with the Jacksonville Dolphins, the intercollegiate athletic teams representing Jacksonville University competing in the National Collegiate Athletic Association.</t>
  </si>
  <si>
    <t>Features official branding, logos, colors, or imagery associated with the Thorobreds and Thorobrettes, the athletic teams representing Kentucky State University competing in the National Collegiate Athletic Association.</t>
  </si>
  <si>
    <t>Features official branding, logos, colors, or imagery associated with the George Mason Patriots, the athletic teams representing George Mason University competing in the National Collegiate Athletic Association.</t>
  </si>
  <si>
    <t>Features official branding, logos, colors, or imagery associated with the UAH Chargers, the athletic teams representing the University of Alabama in Huntsville competing in the National Collegiate Athletic Association.</t>
  </si>
  <si>
    <t>Features official branding, logos, insignia, or color schemes associated with the Grand Valley State Lakers, the intercollegiate athletic teams representing Grand Valley State University in the National Collegiate Athletic Association.</t>
  </si>
  <si>
    <t>Features official branding, logos, colors, or imagery associated with the Idaho Vandals, the intercollegiate athletic teams representing the University of Idaho competing in the National Collegiate Athletic Association.</t>
  </si>
  <si>
    <t>Features official branding, logos, colors, or imagery associated with the Louisiana–Monroe Warhawks, the athletic teams representing the University of Louisiana at Monroe competing in the National Collegiate Athletic Association.</t>
  </si>
  <si>
    <t>Features official branding, logos, colors, or imagery associated with Toronto FC, a professional soccer club competing in Major League Soccer (MLS).</t>
  </si>
  <si>
    <t>Features official branding, logos, colors, or imagery associated with the athletic teams representing California State University, Long Beach, competing in the National Collegiate Athletic Association (NCAA).</t>
  </si>
  <si>
    <t>Features official branding, logos, colors, or imagery associated with the Akron Zips, the intercollegiate athletic teams representing the University of Akron competing in the National Collegiate Athletic Association (NCAA).</t>
  </si>
  <si>
    <t>Features official branding, logos, colors, or imagery associated with the McNeese State University Cowboys and Cowgirls, the athletic teams representing McNeese State University competing in the National Collegiate Athletic Association.</t>
  </si>
  <si>
    <t>Features official branding, logos, colors, or imagery associated with the Alabama State University Hornets, an athletic program competing in the National Collegiate Athletic Association.</t>
  </si>
  <si>
    <t>Features official branding, logos, colors, or imagery associated with the Minnesota Duluth Bulldogs, the athletic teams representing the University of Minnesota Duluth competing in the National Collegiate Athletic Association.</t>
  </si>
  <si>
    <t>Features branding, logos, colors, or imagery associated with Seattle Sounders FC, a professional soccer club competing in Major League Soccer (MLS).</t>
  </si>
  <si>
    <t>Features official branding, logos, colors, or imagery associated with the Maine Black Bears, the intercollegiate athletic teams representing the University of Maine competing in the National Collegiate Athletic Association.</t>
  </si>
  <si>
    <t>Features official branding, logos, colors, or imagery associated with the New Orleans Privateers, the athletic teams representing the University of New Orleans competing in the National Collegiate Athletic Association.</t>
  </si>
  <si>
    <t>Features official branding, logos, colors, or imagery associated with the Hawaii Rainbow Warriors and Rainbow Wāhine, the athletic teams representing the University of Hawaiʻi at Mānoa competing in the National Collegiate Athletic Association (NCAA).</t>
  </si>
  <si>
    <t>Features official branding, logos, colors, or imagery associated with the Alabama A&amp;M Bulldogs, the athletic teams representing Alabama Agricultural and Mechanical University competing in the National Collegiate Athletic Association.</t>
  </si>
  <si>
    <t>Features official branding, logos, colors, or imagery associated with the Marquette Golden Eagles, the intercollegiate athletic teams representing Marquette University competing in the National Collegiate Athletic Association.</t>
  </si>
  <si>
    <t>Features official branding, logos, insignia, or color schemes associated with the Jackson State Tigers, the athletic teams representing Jackson State University in the National Collegiate Athletic Association.</t>
  </si>
  <si>
    <t>Features official branding, logos, insignia, or color schemes associated with the Missouri Western State University Griffons, the collegiate athletic teams representing Missouri Western State University in the National Collegiate Athletic Association.</t>
  </si>
  <si>
    <t>Features official branding, logos, colors, or imagery associated with the Florida State Seminoles, the athletic teams representing Florida State University competing in the National Collegiate Athletic Association (NCAA).</t>
  </si>
  <si>
    <t>Features official branding, logos, colors, or imagery associated with the Morehead State Eagles, the athletic teams representing Morehead State University competing in the National Collegiate Athletic Association (NCAA).</t>
  </si>
  <si>
    <t>Features official branding, logos, colors, or imagery associated with the Miami Hurricanes, the athletic teams representing the University of Miami competing in the National Collegiate Athletic Association.</t>
  </si>
  <si>
    <t>Features official branding, logos, colors, or imagery associated with the Minot State Beavers, the intercollegiate athletic teams representing Minot State University competing in the National Collegiate Athletic Association.</t>
  </si>
  <si>
    <t>Features official branding, logos, colors, or imagery associated with the Louisiana Ragin' Cajuns, the athletic teams representing the University of Louisiana at Lafayette competing in the National Collegiate Athletic Association.</t>
  </si>
  <si>
    <t>Features official branding, logos, colors, or imagery associated with the Minnesota Golden Gophers, the intercollegiate athletic teams representing the University of Minnesota in the NCAA.</t>
  </si>
  <si>
    <t>Features official branding, logos, colors, or imagery associated with the Missouri Tigers, the intercollegiate athletic teams representing the University of Missouri competing in the National Collegiate Athletic Association.</t>
  </si>
  <si>
    <t>Features official branding, logos, colors, or imagery associated with the Ferris State Bulldogs, the athletic teams representing Ferris State University competing in the National Collegiate Athletic Association.</t>
  </si>
  <si>
    <t>Features official branding, logos, colors, or imagery associated with the Cornell Big Red, the intercollegiate athletic teams representing Cornell University competing in the National Collegiate Athletic Association (NCAA).</t>
  </si>
  <si>
    <t>Features official branding, logos, colors, or imagery associated with the Bowling Green Falcons, the athletic teams representing Bowling Green State University competing in the National Collegiate Athletic Association.</t>
  </si>
  <si>
    <t>Features official branding, logos, insignia, or color schemes associated with the Eastern Washington Eagles, the athletic teams representing Eastern Washington University competing in the National Collegiate Athletic Association (NCAA).</t>
  </si>
  <si>
    <t>Features official branding, logos, colors, or imagery associated with the Bethune-Cookman Wildcats, the athletic teams representing Bethune-Cookman University competing in the National Collegiate Athletic Association.</t>
  </si>
  <si>
    <t>Features official branding, logos, colors, or imagery associated with the Ball State Cardinals, the athletic teams representing Ball State University competing in the National Collegiate Athletic Association (NCAA).</t>
  </si>
  <si>
    <t>Features official branding, logos, colors, or imagery associated with the Davidson Wildcats, the intercollegiate athletic teams representing Davidson College competing in the National Collegiate Athletic Association (NCAA).</t>
  </si>
  <si>
    <t>Features official branding, logos, colors, or imagery associated with the East Carolina Pirates, the athletic teams representing East Carolina University competing in the National Collegiate Athletic Association (NCAA).</t>
  </si>
  <si>
    <t>Features official branding, logos, colors, or imagery associated with the Colgate Raiders, the athletic teams representing Colgate University competing in the National Collegiate Athletic Association.</t>
  </si>
  <si>
    <t>Features official branding, logos, colors, or imagery associated with the Bucknell Bison, the athletic teams representing Bucknell University competing in the National Collegiate Athletic Association.</t>
  </si>
  <si>
    <t>Features official branding, logos, colors, or imagery associated with the Colorado Buffaloes, the athletic teams representing the University of Colorado Boulder competing in the National Collegiate Athletic Association.</t>
  </si>
  <si>
    <t>Features official branding, logos, colors, or imagery associated with the Clark Atlanta Panthers, the athletic teams representing Clark Atlanta University competing in the National Collegiate Athletic Association.</t>
  </si>
  <si>
    <t>Features official branding, logos, colors, or imagery associated with the Duquesne Dukes, the intercollegiate athletic teams representing Duquesne University competing in the National Collegiate Athletic Association.</t>
  </si>
  <si>
    <t>Features official branding, logos, colors, or imagery associated with the Baylor Bears, the athletic teams representing Baylor University competing in the National Collegiate Athletic Association (NCAA).</t>
  </si>
  <si>
    <t>Features official branding, logos, color schemes, or thematic motifs associated with the United States national soccer teams or the FIFA World Cup tournaments hosted by the United States.</t>
  </si>
  <si>
    <t>Features official branding, logos, colors, or imagery associated with the Arizona State Sun Devils, the athletic teams representing Arizona State University competing in the National Collegiate Athletic Association (NCAA).</t>
  </si>
  <si>
    <t>Features official branding, logos, colors, or imagery associated with the Buffalo Bulls, the intercollegiate athletic teams representing the University at Buffalo competing in the National Collegiate Athletic Association (NCAA).</t>
  </si>
  <si>
    <t>Features official branding, logos, insignia, or color schemes associated with the Brown Bears, the intercollegiate athletic teams representing Brown University in the National Collegiate Athletic Association (NCAA).</t>
  </si>
  <si>
    <t>Features official branding, logos, colors, or imagery associated with the Elon Phoenix, the intercollegiate athletic teams representing Elon University competing in the National Collegiate Athletic Association.</t>
  </si>
  <si>
    <t>Features the official branding, logo, colors, or thematic elements associated with the Portugal national football team competing in the FIFA World Cup. Suitable for any product officially affiliated with or themed after this team.</t>
  </si>
  <si>
    <t>Features official branding, logos, insignia, color schemes, or thematic elements associated with the Italy national football team or historic FIFA World Cup events hosted by or featuring Italy.</t>
  </si>
  <si>
    <t>Features the official branding, logos, colors, or thematic elements associated with the Mexican national football team (El Tri) or tournaments hosted by Mexico.</t>
  </si>
  <si>
    <t>Features the official branding, logo, colors, or imagery associated with the Vancouver Whitecaps FC, a professional soccer club competing in Major League Soccer (MLS).</t>
  </si>
  <si>
    <t>Features official branding, logos, colors, or imagery associated with the Delaware Fightin' Blue Hens, the athletic teams representing the University of Delaware competing in the National Collegiate Athletic Association (NCAA).</t>
  </si>
  <si>
    <t>Features official branding, logos, colors, or imagery associated with the Boston University Terriers, the athletic teams representing Boston University competing in the National Collegiate Athletic Association.</t>
  </si>
  <si>
    <t>Features official branding, logos, colors, or imagery associated with the William &amp; Mary Tribe, the athletic teams representing the College of William &amp; Mary competing in the National Collegiate Athletic Association.</t>
  </si>
  <si>
    <t>Features official branding, logos, insignia, or color schemes associated with the Seattle Bombers, a professional American football franchise.</t>
  </si>
  <si>
    <t>Features official branding, logos, colors, or imagery associated with the Boston Shamrocks, a historic professional American football team. Suitable for items officially affiliated with or themed after this sports team.</t>
  </si>
  <si>
    <t>Features the official branding, logo, colors, or imagery associated with the New Orleans Brass, a defunct professional ice hockey team that competed in the ECHL.</t>
  </si>
  <si>
    <t>Features official branding, colors, logos, or imagery associated with the Australian national football team competing in the FIFA World Cup.</t>
  </si>
  <si>
    <t>Features official branding, logos, colors, or imagery associated with the Yale Bulldogs, the intercollegiate athletic teams representing Yale University competing in the National Collegiate Athletic Association (NCAA).</t>
  </si>
  <si>
    <t>Features the official branding, logo, colors, or imagery associated with the Wyoming Cowboys and Cowgirls, the intercollegiate athletic teams representing the University of Wyoming competing in the National Collegiate Athletic Association (NCAA).</t>
  </si>
  <si>
    <t>Features official branding, logos, colors, or imagery associated with the Louisiana Tech Bulldogs and Lady Techsters, the athletic teams representing Louisiana Tech University competing in the NCAA.</t>
  </si>
  <si>
    <t>Features official branding, logos, colors, or imagery associated with the Detroit Mercy Titans, the intercollegiate athletic teams representing the University of Detroit Mercy competing in the National Collegiate Athletic Association.</t>
  </si>
  <si>
    <t>Features the official branding, logo, colors, or imagery associated with the San Jose Earthquakes, a professional soccer team competing in Major League Soccer (MLS).</t>
  </si>
  <si>
    <t>Features official branding, logos, insignia, or color schemes associated with the Calgary Stampeders, a professional Canadian football team competing in the Canadian Football League (CFL).</t>
  </si>
  <si>
    <t>Features official branding, logos, colors, or imagery associated with the France national football team or its FIFA World Cup campaigns.</t>
  </si>
  <si>
    <t>Features official branding, logos, colors, or imagery associated with the Wyoming Cowboys and Cowgirls, the intercollegiate athletic teams representing the University of Wyoming competing in the National Collegiate Athletic Association.</t>
  </si>
  <si>
    <t>Features official branding, logos, colors, or imagery associated with the Gonzaga Bulldogs, the intercollegiate athletic teams representing Gonzaga University competing in the National Collegiate Athletic Association.</t>
  </si>
  <si>
    <t>Features official branding, logos, colors, or imagery associated with the Washington Senators franchise as represented within the National Football League (NFL).</t>
  </si>
  <si>
    <t>Features official branding, logos, insignia, or color schemes associated with the Youngstown State Penguins, the athletic teams representing Youngstown State University competing in the National Collegiate Athletic Association.</t>
  </si>
  <si>
    <t>Features official branding, logos, insignia, or color schemes associated with the Cal State Fullerton Titans, the athletic teams representing California State University, Fullerton, competing in the National Collegiate Athletic Association (NCAA).</t>
  </si>
  <si>
    <t>Features official branding, logos, insignia, or color schemes associated with the Hampton Pirates, the athletic teams representing Hampton University competing in the National Collegiate Athletic Association (NCAA).</t>
  </si>
  <si>
    <t>Features official branding, logos, colors, or imagery associated with athletic teams representing California State University campuses competing in the National Collegiate Athletic Association (NCAA).</t>
  </si>
  <si>
    <t>Features official branding, logos, colors, or imagery associated with the Arkansas State Red Wolves, the athletic teams representing Arkansas State University competing in the National Collegiate Athletic Association (NCAA).</t>
  </si>
  <si>
    <t>Features official branding, logos, colors, or imagery associated with the Baltimore Clippers, a professional ice hockey franchise historically affiliated with the National Hockey League (NHL). Suitable for items officially licensed or themed after this sports team.</t>
  </si>
  <si>
    <t>Features branding, colors, or imagery associated with the Spain national football team, competing in international football tournaments such as the FIFA World Cup.</t>
  </si>
  <si>
    <t>Features official branding, logos, colors, or imagery associated with the athletic teams representing the University of Alaska Anchorage, competing in the National Collegiate Athletic Association (NCAA).</t>
  </si>
  <si>
    <t>Features official branding, logos, colors, or imagery associated with the Mercer Bears, the intercollegiate athletic teams representing Mercer University in the NCAA.</t>
  </si>
  <si>
    <t>Features the official branding, logo, colors, or imagery associated with the Bemidji State Beavers, the intercollegiate athletic teams representing Bemidji State University in the NCAA.</t>
  </si>
  <si>
    <t>Features official branding, logos, colors, or imagery associated with the Wright State Raiders, the intercollegiate athletic teams representing Wright State University competing in the NCAA.</t>
  </si>
  <si>
    <t>Features official branding, logos, colors, or imagery associated with the Florida Gulf Coast Eagles, the athletic teams representing Florida Gulf Coast University competing in the National Collegiate Athletic Association.</t>
  </si>
  <si>
    <t>Features official branding, logos, colors, or imagery associated with the Minnesota State Mavericks, the athletic teams representing Minnesota State University, Mankato competing in the National Collegiate Athletic Association.</t>
  </si>
  <si>
    <t>Features official branding, logos, colors, or imagery associated with the Campbell Fighting Camels, the athletic teams representing Campbell University competing in the National Collegiate Athletic Association (NCAA).</t>
  </si>
  <si>
    <t>Features official branding, logos, colors, or imagery associated with the DePaul Blue Demons, the intercollegiate athletic teams representing DePaul University competing in the National Collegiate Athletic Association.</t>
  </si>
  <si>
    <t>Features official branding, logos, colors, or imagery associated with the Indiana State Sycamores, the intercollegiate athletic teams representing Indiana State University competing in the National Collegiate Athletic Association.</t>
  </si>
  <si>
    <t>Features official branding, logos, colors, or imagery associated with the Bradley Braves, the intercollegiate athletic teams representing Bradley University competing in the National Collegiate Athletic Association (NCAA).</t>
  </si>
  <si>
    <t>Features official branding, logos, colors, or imagery associated with the Fresno State Bulldogs, the intercollegiate athletic teams representing California State University, Fresno competing in the National Collegiate Athletic Association.</t>
  </si>
  <si>
    <t>Features official branding, logos, colors, or imagery associated with the Arkansas Razorbacks, the intercollegiate athletic teams representing the University of Arkansas competing in the National Collegiate Athletic Association.</t>
  </si>
  <si>
    <t>Features official branding, logos, colors, or imagery associated with the Georgia State Panthers, the intercollegiate athletic teams representing Georgia State University competing in the National Collegiate Athletic Association (NCAA).</t>
  </si>
  <si>
    <t>Features official branding, logos, colors, or imagery associated with the California Golden Bears, the intercollegiate athletic teams representing the University of California, Berkeley competing in the National Collegiate Athletic Association.</t>
  </si>
  <si>
    <t>Features official branding, logos, colors, or imagery associated with the Hartford Hawks, the athletic teams representing the University of Hartford competing in the National Collegiate Athletic Association.</t>
  </si>
  <si>
    <t>Features official branding, logos, colors, or imagery associated with the Charleston Southern Buccaneers, the athletic teams representing Charleston Southern University competing in the National Collegiate Athletic Association (NCAA).</t>
  </si>
  <si>
    <t>Features official branding, logos, colors, or imagery associated with the Brooklyn College Bulldogs, the athletic teams representing Brooklyn College competing in the National Collegiate Athletic Association.</t>
  </si>
  <si>
    <t>Features branding, colors, or imagery associated with Swansea City AFC, a professional football club based in Swansea, Wales.</t>
  </si>
  <si>
    <t>Features branding, colors, logos, or imagery associated with the Germany national football team in the context of the FIFA World Cup tournament.</t>
  </si>
  <si>
    <t>Features official branding, logos, colors, or imagery associated with the George Washington Revolutionaries, the athletic teams representing George Washington University competing in the National Collegiate Athletic Association.</t>
  </si>
  <si>
    <t>Features official branding, logos, colors, or imagery associated with the Columbia Lions, the collegiate athletic teams representing Columbia University competing in the National Collegiate Athletic Association (NCAA).</t>
  </si>
  <si>
    <t>Features official branding, logos, colors, or imagery associated with the Iowa State Cyclones, the intercollegiate athletic teams representing Iowa State University competing in the National Collegiate Athletic Association.</t>
  </si>
  <si>
    <t>Features official branding, logos, colors, or imagery associated with the East Tennessee State University Buccaneers, an athletic program competing in the National Collegiate Athletic Association.</t>
  </si>
  <si>
    <t>Features official branding, logos, colors, or imagery associated with the Eastern Illinois Panthers, the athletic teams representing Eastern Illinois University competing in the National Collegiate Athletic Association.</t>
  </si>
  <si>
    <t>Features official branding, logos, colors, or imagery associated with the Cleveland State Vikings, the athletic teams representing Cleveland State University competing in the National Collegiate Athletic Association.</t>
  </si>
  <si>
    <t>Features official branding, logos, colors, or imagery associated with the Auburn Tigers, the intercollegiate athletic teams representing Auburn University competing in the NCAA.</t>
  </si>
  <si>
    <t>Features official branding, logos, colors, or imagery associated with the athletic teams representing Concordia University competing in the National Collegiate Athletic Association.</t>
  </si>
  <si>
    <t>Features official branding, logos, colors, or imagery associated with the Kansas State Wildcats, the intercollegiate athletic teams representing Kansas State University in the NCAA.</t>
  </si>
  <si>
    <t>Features official branding, logos, colors, or imagery associated with the Seattle SuperSonics, a former professional basketball franchise that competed in the National Basketball Association (NBA).</t>
  </si>
  <si>
    <t>Features official branding, logos, colors, or imagery associated with the Denver Pioneers, the intercollegiate athletic teams representing the University of Denver competing in the National Collegiate Athletic Association (NCAA).</t>
  </si>
  <si>
    <t>Features official branding, logos, colors, or imagery associated with the Montana Grizzlies, the athletic teams representing the University of Montana competing in the National Collegiate Athletic Association.</t>
  </si>
  <si>
    <t>Features official branding, logos, colors, or imagery associated with the Albany State Golden Rams, the intercollegiate athletic teams representing Albany State University competing in the National Collegiate Athletic Association.</t>
  </si>
  <si>
    <t>Features official branding, logos, colors, or imagery associated with the athletic teams or programs representing the United States Marine Corps within collegiate sports or related athletic associations.</t>
  </si>
  <si>
    <t>Features official branding, logos, colors, or imagery associated with the Western Michigan Broncos, the athletic teams representing Western Michigan University competing in the National Collegiate Athletic Association.</t>
  </si>
  <si>
    <t>Features official branding, logos, colors, or imagery associated with the Chattanooga Mocs, the athletic teams representing the University of Tennessee at Chattanooga competing in the National Collegiate Athletic Association.</t>
  </si>
  <si>
    <t>Features official branding, logos, colors, or imagery associated with the Loyola Ramblers, the athletic teams representing Loyola University Chicago competing in the National Collegiate Athletic Association (NCAA).</t>
  </si>
  <si>
    <t>Features official branding, logos, colors, or imagery associated with the New Mexico Lobos, the athletic teams representing the University of New Mexico competing in the National Collegiate Athletic Association.</t>
  </si>
  <si>
    <t>Features official branding, logos, colors, or imagery associated with the Dartmouth Big Green, the athletic teams representing Dartmouth College competing in the National Collegiate Athletic Association.</t>
  </si>
  <si>
    <t>Features official branding, logos, colors, or imagery associated with the Morehouse Maroon Tigers, the intercollegiate athletic teams representing Morehouse College competing in the National Collegiate Athletic Association (NCAA).</t>
  </si>
  <si>
    <t>Features official branding, logos, insignia, or color schemes associated with the Montana State Bobcats, the intercollegiate athletic teams representing Montana State University in the NCAA.</t>
  </si>
  <si>
    <t>Features official branding, logos, or imagery associated with the MIT Engineers, the intercollegiate athletic teams representing the Massachusetts Institute of Technology competing in the National Collegiate Athletic Association (NCAA).</t>
  </si>
  <si>
    <t>Features the official branding, logos, colors, or imagery associated with the Atlanta Thrashers, a former professional ice hockey franchise that competed in the National Hockey League (NHL). Suitable for items officially affiliated with or themed after this sports team.</t>
  </si>
  <si>
    <t>Features official branding, logos, colors, or imagery associated with the Arizona Wildcats, the athletic teams representing the University of Arizona competing in the National Collegiate Athletic Association (NCAA).</t>
  </si>
  <si>
    <t>Features official branding, logos, colors, or imagery associated with the Appalachian State Mountaineers, the athletic teams representing Appalachian State University competing in the National Collegiate Athletic Association.</t>
  </si>
  <si>
    <t>Features official branding, logos, colors, or imagery associated with the Iowa Hawkeyes, the intercollegiate athletic teams representing the University of Iowa competing in the National Collegiate Athletic Association.</t>
  </si>
  <si>
    <t>Features official branding, logos, insignia, or color schemes associated with the Middle Tennessee Blue Raiders, the athletic teams representing Middle Tennessee State University competing in the National Collegiate Athletic Association (NCAA).</t>
  </si>
  <si>
    <t>Features official branding, logos, colors, or imagery associated with the Marshall Thundering Herd, the intercollegiate athletic teams representing Marshall University competing in the National Collegiate Athletic Association.</t>
  </si>
  <si>
    <t>Features official branding, logos, colors, or imagery associated with the Kansas Jayhawks, the athletic teams representing the University of Kansas competing in the National Collegiate Athletic Association.</t>
  </si>
  <si>
    <t>Features official branding, logos, colors, or imagery associated with the Milwaukee Panthers, the athletic teams representing the University of Wisconsin–Milwaukee competing in the National Collegiate Athletic Association.</t>
  </si>
  <si>
    <t>Features official branding, logos, colors, or imagery associated with the Cincinnati Bearcats, the athletic teams representing the University of Cincinnati competing in the National Collegiate Athletic Association (NCAA).</t>
  </si>
  <si>
    <t>Features official branding, logos, colors, or imagery associated with the Dayton Flyers, the intercollegiate athletic teams representing the University of Dayton competing in the National Collegiate Athletic Association (NCAA).</t>
  </si>
  <si>
    <t>Features official branding, logos, colors, or imagery associated with the Emporia State Hornets, the intercollegiate athletic teams representing Emporia State University competing in the National Collegiate Athletic Association.</t>
  </si>
  <si>
    <t>Features official branding, logos, colors, or imagery associated with the Nicholls State Colonels, the intercollegiate athletic teams representing Nicholls State University competing in the National Collegiate Athletic Association (NCAA).</t>
  </si>
  <si>
    <t>Features official branding, logos, colors, or imagery associated with the VMI Keydets, the athletic teams representing the Virginia Military Institute.</t>
  </si>
  <si>
    <t>Features official branding, logos, colors, or imagery associated with the Nevada Wolf Pack, the intercollegiate athletic teams representing the University of Nevada, Reno competing in the National Collegiate Athletic Association (NCAA).</t>
  </si>
  <si>
    <t>Features official branding, logos, colors, or imagery associated with the Weber State Wildcats, the athletic teams representing Weber State University competing in the National Collegiate Athletic Association.</t>
  </si>
  <si>
    <t>Features official branding, logos, colors, or imagery associated with the Washington Capitals.</t>
  </si>
  <si>
    <t>Features official branding, logos, colors, or imagery associated with the Washington Huskies, the intercollegiate athletic teams representing the University of Washington competing in the National Collegiate Athletic Association (NCAA).</t>
  </si>
  <si>
    <t>Features official branding, logos, colors, or imagery associated with the Wofford Terriers, the intercollegiate athletic teams representing Wofford College competing in the National Collegiate Athletic Association.</t>
  </si>
  <si>
    <t>Features official branding, logos, insignia, or color schemes associated with Norwich City Football Club, a professional English football club.</t>
  </si>
  <si>
    <t>Features official branding, logos, insignia, or color schemes associated with the Western Carolina Catamounts, the athletic teams representing Western Carolina University in the National Collegiate Athletic Association.</t>
  </si>
  <si>
    <t>Features official branding, logos, colors, or imagery associated with the VCU Rams, the athletic teams representing Virginia Commonwealth University competing in the National Collegiate Athletic Association (NCAA).</t>
  </si>
  <si>
    <t>Features official branding, logos, insignia, or color schemes associated with the Western Kentucky Hilltoppers, the athletic teams representing Western Kentucky University competing in the National Collegiate Athletic Association.</t>
  </si>
  <si>
    <t>Features official branding, logos, colors, or imagery associated with the Virginia Cavaliers, the intercollegiate athletic teams representing the University of Virginia competing in the NCAA.</t>
  </si>
  <si>
    <t>Features official branding, logos, colors, or imagery associated with the Prairie Wolves, the athletic teams representing Nebraska Wesleyan University competing in the National Collegiate Athletic Association.</t>
  </si>
  <si>
    <t>Features official branding, logos, insignia, or color schemes associated with the South Dakota State Jackrabbits, the athletic teams representing South Dakota State University competing in the National Collegiate Athletic Association.</t>
  </si>
  <si>
    <t>Features official branding, logos, colors, or imagery associated with the New Hampshire Wildcats, the intercollegiate athletic teams representing the University of New Hampshire in the NCAA.</t>
  </si>
  <si>
    <t>Features official branding, logos, colors, or imagery associated with the Utah State Aggies, the intercollegiate athletic teams representing Utah State University competing in the National Collegiate Athletic Association (NCAA).</t>
  </si>
  <si>
    <t>Features official branding, logos, colors, or imagery associated with the Valdosta State Blazers, the athletic teams representing Valdosta State University competing in the National Collegiate Athletic Association.</t>
  </si>
  <si>
    <t>Features official branding, logos, colors, or imagery associated with the Cal Poly Mustangs, the athletic teams representing California Polytechnic State University competing in the National Collegiate Athletic Association.</t>
  </si>
  <si>
    <t>Features official branding, logos, colors, or imagery associated with the Vanderbilt Commodores, the intercollegiate athletic teams representing Vanderbilt University competing in the National Collegiate Athletic Association.</t>
  </si>
  <si>
    <t>Features official branding, logos, colors, or imagery associated with the Chicago Maroons, the athletic teams representing the University of Chicago competing in the National Collegiate Athletic Association.</t>
  </si>
  <si>
    <t>Features official branding, logos, colors, or imagery associated with the UConn Huskies, the intercollegiate athletic teams representing the University of Connecticut competing in the National Collegiate Athletic Association (NCAA).</t>
  </si>
  <si>
    <t>Features official branding, logos, insignia, or color schemes associated with the New Mexico State Aggies, the athletic teams representing New Mexico State University competing in the National Collegiate Athletic Association (NCAA).</t>
  </si>
  <si>
    <t>Features official branding, logos, colors, or imagery associated with the Virginia State Trojans, the intercollegiate athletic teams representing Virginia State University competing in the National Collegiate Athletic Association.</t>
  </si>
  <si>
    <t>Features official branding, logos, colors, or imagery associated with the South Carolina State Bulldogs, the athletic teams representing South Carolina State University competing in the National Collegiate Athletic Association.</t>
  </si>
  <si>
    <t>Features official branding, logos, colors, or imagery associated with the Texas Tech Red Raiders, the intercollegiate athletic teams representing Texas Tech University competing in the NCAA.</t>
  </si>
  <si>
    <t>Features official branding, logos, colors, or imagery associated with the Wichita State Shockers, the intercollegiate athletic teams representing Wichita State University in the National Collegiate Athletic Association (NCAA).</t>
  </si>
  <si>
    <t>Features official branding, logos, colors, or imagery associated with the UMass Minutemen, the athletic teams representing the University of Massachusetts Amherst competing in the National Collegiate Athletic Association.</t>
  </si>
  <si>
    <t>Features official branding, logos, colors, or imagery associated with the Tulsa Golden Hurricane, the athletic teams representing the University of Tulsa competing in the National Collegiate Athletic Association.</t>
  </si>
  <si>
    <t>Features official branding, logos, colors, or imagery associated with the NC State Wolfpack, the athletic teams representing North Carolina State University.</t>
  </si>
  <si>
    <t>Features official branding, logos, insignia, or color schemes associated with the St. John's Red Storm, the athletic teams representing St. John's University competing in the National Collegiate Athletic Association.</t>
  </si>
  <si>
    <t>Features official branding, logos, colors, or imagery associated with the Southwest Minnesota State Mustangs, the athletic teams representing Southwest Minnesota State University competing in the National Collegiate Athletic Association.</t>
  </si>
  <si>
    <t>Features official branding, logos, colors, or imagery associated with the Washington State Cougars, the athletic teams representing Washington State University competing in the National Collegiate Athletic Association.</t>
  </si>
  <si>
    <t>Features official branding, logos, colors, or imagery associated with the Wake Forest Demon Deacons, the athletic teams representing Wake Forest University competing in the National Collegiate Athletic Association.</t>
  </si>
  <si>
    <t>Features official branding, logos, colors, or imagery associated with the UNC Wilmington Seahawks, the athletic teams representing the University of North Carolina Wilmington competing in the National Collegiate Athletic Association (NCAA).</t>
  </si>
  <si>
    <t>Features official branding, logos, colors, or imagery associated with the Nebraska Cornhuskers, the athletic teams representing the University of Nebraska–Lincoln competing in the National Collegiate Athletic Association (NCAA).</t>
  </si>
  <si>
    <t>Features official branding, logos, colors, or imagery associated with the Vermont Catamounts, the intercollegiate athletic teams representing the University of Vermont competing in the National Collegiate Athletic Association (NCAA).</t>
  </si>
  <si>
    <t>Features official branding, logos, colors, or imagery associated with the UNC Asheville Bulldogs, the intercollegiate athletic teams representing the University of North Carolina at Asheville competing in the National Collegiate Athletic Association.</t>
  </si>
  <si>
    <t>Features official branding, logos, colors, or imagery associated with the Southern Miss Golden Eagles, the athletic teams representing the University of Southern Mississippi competing in the National Collegiate Athletic Association.</t>
  </si>
  <si>
    <t>Features official branding, logos, colors, or imagery associated with the Southern Jaguars, the intercollegiate athletic teams representing Southern University competing in the National Collegiate Athletic Association (NCAA).</t>
  </si>
  <si>
    <t>Features official branding, logos, colors, or imagery associated with the Seattle Redhawks, the intercollegiate athletic teams representing Seattle University competing in the National Collegiate Athletic Association (NCAA).</t>
  </si>
  <si>
    <t>Features official branding, logos, colors, or imagery associated with the Saint Joseph's Hawks, the athletic teams representing Saint Joseph's University competing in the National Collegiate Athletic Association (NCAA).</t>
  </si>
  <si>
    <t>Features official branding, logos, colors, or imagery associated with the West Virginia Mountaineers, the athletic teams representing West Virginia University competing in the National Collegiate Athletic Association.</t>
  </si>
  <si>
    <t>Features official branding, logos, colors, or imagery associated with the Tennessee Tech Golden Eagles, the intercollegiate athletic teams representing Tennessee Technological University competing in the National Collegiate Athletic Association.</t>
  </si>
  <si>
    <t>Features official branding, logos, colors, or imagery associated with the San Diego State Aztecs, the intercollegiate athletic teams representing San Diego State University competing in the National Collegiate Athletic Association.</t>
  </si>
  <si>
    <t>Features the official branding, logos, insignia, or color schemes associated with the North Dakota State Bison, the athletic teams representing North Dakota State University competing in the National Collegiate Athletic Association.</t>
  </si>
  <si>
    <t>Features official branding, logos, colors, or imagery associated with the South Alabama Jaguars, the intercollegiate athletic teams representing the University of South Alabama competing in the National Collegiate Athletic Association.</t>
  </si>
  <si>
    <t>Features official branding, logos, colors, or imagery associated with the Stanford Cardinal, the athletic teams representing Stanford University competing in the National Collegiate Athletic Association.</t>
  </si>
  <si>
    <t>Features official branding, logos, colors, or imagery associated with the Sacramento State Hornets, the athletic teams representing California State University, Sacramento competing in the National Collegiate Athletic Association (NCAA).</t>
  </si>
  <si>
    <t>Features official branding, logos, colors, or imagery associated with the Toledo Rockets, the intercollegiate athletic teams representing the University of Toledo competing in the NCAA.</t>
  </si>
  <si>
    <t>Features official branding, logos, colors, or imagery associated with the Rutgers Scarlet Knights, the athletic teams representing Rutgers University competing in the National Collegiate Athletic Association (NCAA).</t>
  </si>
  <si>
    <t>Features official branding, logos, insignia, or color schemes associated with the Northern Illinois Huskies, the athletic teams representing Northern Illinois University competing in the National Collegiate Athletic Association (NCAA).</t>
  </si>
  <si>
    <t>Features official branding, logos, insignia, or color schemes associated with the Northwestern Wildcats, the intercollegiate athletic teams representing Northwestern University in the NCAA.</t>
  </si>
  <si>
    <t>Features official branding, logos, colors, or imagery associated with the Alcorn State Braves, the athletic teams representing Alcorn State University competing in the National Collegiate Athletic Association.</t>
  </si>
  <si>
    <t>Features official branding, logos, insignia, or color schemes associated with the California Golden Seals (originally established as the California Seals), a former professional ice hockey franchise that competed in the National Hockey League (NHL).</t>
  </si>
  <si>
    <t>Features official branding, logos, colors, or imagery associated with the Maryland Terrapins, the intercollegiate athletic teams representing the University of Maryland, College Park competing in the National Collegiate Athletic Association (NCAA).</t>
  </si>
  <si>
    <t>Features official branding, logos, insignia, or color schemes associated with the UAB Blazers, the athletic teams representing the University of Alabama at Birmingham competing in the National Collegiate Athletic Association.</t>
  </si>
  <si>
    <t>Features official branding, logos, colors, or imagery associated with the Eastern Michigan Eagles, the athletic teams representing Eastern Michigan University competing in the National Collegiate Athletic Association.</t>
  </si>
  <si>
    <t>Features official branding, logos, colors, or imagery associated with the Illinois State Redbirds, the intercollegiate athletic teams representing Illinois State University competing in the National Collegiate Athletic Association.</t>
  </si>
  <si>
    <t>Features official branding, logos, colors, or imagery associated with the Southern Illinois Salukis, the athletic teams representing Southern Illinois University Carbondale competing in the National Collegiate Athletic Association.</t>
  </si>
  <si>
    <t>Features official branding, logos, insignia, or color schemes associated with the Saint Joseph's Hawks, the intercollegiate athletic teams representing Saint Joseph's University competing in the National Collegiate Athletic Association (NCAA).</t>
  </si>
  <si>
    <t>Features official branding, logos, colors, or imagery associated with the San Diego State Aztecs, the athletic teams representing San Diego State University competing in the National Collegiate Athletic Association.</t>
  </si>
  <si>
    <t>Features official branding, logos, colors, or imagery associated with the South Dakota Coyotes, the intercollegiate athletic teams representing the University of South Dakota competing in the National Collegiate Athletic Association.</t>
  </si>
  <si>
    <t>Features official branding, logos, insignia, or color schemes associated with the Northern Arizona Lumberjacks, the athletic teams representing Northern Arizona University competing in the National Collegiate Athletic Association (NCAA).</t>
  </si>
  <si>
    <t>Features official branding, logos, colors, or imagery associated with the Wolfpack, the athletic teams representing North Carolina State University competing in the National Collegiate Athletic Association.</t>
  </si>
  <si>
    <t>Features official branding, logos, colors, or imagery associated with the Northern Iowa Panthers, the athletic teams representing the University of Northern Iowa competing in the National Collegiate Athletic Association.</t>
  </si>
  <si>
    <t>Features official branding, logos, colors, or imagery associated with the athletic teams representing the University of Toronto.</t>
  </si>
  <si>
    <t>Features official branding, logos, insignia, or color schemes associated with the Portland Pilots, the athletic teams representing the University of Portland competing in the National Collegiate Athletic Association.</t>
  </si>
  <si>
    <t>Features official branding, logos, colors, or imagery associated with the Saint Louis Billikens, the intercollegiate athletic teams representing Saint Louis University in the NCAA.</t>
  </si>
  <si>
    <t>Features official branding, logos, colors, or imagery associated with the San Francisco Dons, the intercollegiate athletic teams representing the University of San Francisco competing in the NCAA.</t>
  </si>
  <si>
    <t>Features official branding, logos, colors, or imagery associated with the Oregon Ducks, the athletic teams representing the University of Oregon competing in the National Collegiate Athletic Association (NCAA).</t>
  </si>
  <si>
    <t>Features official branding, logos, insignia, or color schemes associated with the San Jose State Spartans, the intercollegiate athletic teams representing San José State University.</t>
  </si>
  <si>
    <t>Features official branding, logos, colors, or imagery associated with the Valparaiso Beacons (formerly Crusaders), the intercollegiate athletic teams representing Valparaiso University.</t>
  </si>
  <si>
    <t>Features official branding, logos, colors, or imagery associated with the Sioux Falls Cougars, the intercollegiate athletic teams representing the University of Sioux Falls.</t>
  </si>
  <si>
    <t>Features official branding, logos, colors, or imagery associated with the Temple Owls, the intercollegiate athletic teams representing Temple University.</t>
  </si>
  <si>
    <t>Features official branding, logos, colors, or imagery associated with the Washington and Lee Generals, the collegiate athletic teams representing Washington and Lee University.</t>
  </si>
  <si>
    <t>Features official branding, logos, colors, or imagery associated with the Sam Houston Bearkats, the intercollegiate athletic teams representing Sam Houston State University.</t>
  </si>
  <si>
    <t>Features official branding, logos, colors, or imagery associated with the Coast Guard Bears, the athletic teams representing the United States Coast Guard Academy competing in the National Collegiate Athletic Association.</t>
  </si>
  <si>
    <t>Features official branding, logos, colors, or imagery associated with the Oakland Golden Grizzlies, the intercollegiate athletic teams representing Oakland University.</t>
  </si>
  <si>
    <t>Features official branding, logos, colors, or imagery associated with the Regent Royals, the intercollegiate athletic teams representing Regent University.</t>
  </si>
  <si>
    <t>Features official branding, logos, insignia, or color schemes associated with the Colorado Buffaloes, the intercollegiate athletic teams representing the University of Colorado Boulder.</t>
  </si>
  <si>
    <t>Features official branding, logos, insignia, or color schemes associated with the Southeastern Louisiana University Lions, an athletic program competing in the National Collegiate Athletic Association (NCAA).</t>
  </si>
  <si>
    <t>Features official branding, logos, colors, or imagery associated with the Northern Michigan Wildcats, the intercollegiate athletic teams representing Northern Michigan University.</t>
  </si>
  <si>
    <t>Features official branding, logos, colors, or imagery associated with the Ohio Dominican Panthers, the athletic teams representing Ohio Dominican University.</t>
  </si>
  <si>
    <t>Features the official branding, logo, colors, or imagery associated with the NYU Violets, the intercollegiate athletic teams representing New York University.</t>
  </si>
  <si>
    <t>Features official branding, logos, colors, or imagery associated with the Northern State Wolves, the athletic teams representing Northern State University competing in the National Collegiate Athletic Association.</t>
  </si>
  <si>
    <t>Features official branding, logos, colors, or imagery associated with the UTEP Miners, the intercollegiate athletic teams representing the University of Texas at El Paso.</t>
  </si>
  <si>
    <t>Features official branding, logos, colors, or imagery associated with the South Carolina Gamecocks, the athletic teams representing the University of South Carolina competing in the National Collegiate Athletic Association.</t>
  </si>
  <si>
    <t>Features official branding, logos, insignia, or color schemes associated with the UTSA Roadrunners, the collegiate athletic teams representing the University of Texas at San Antonio.</t>
  </si>
  <si>
    <t>Features official branding, logos, colors, or imagery associated with the North Florida Ospreys, the intercollegiate athletic teams representing the University of North Florida.</t>
  </si>
  <si>
    <t>Features official branding, logos, colors, or imagery associated with the Virginia Wesleyan University Marlins, the intercollegiate athletic teams representing Virginia Wesleyan University.</t>
  </si>
  <si>
    <t>Features official branding, logos, insignia, or color schemes associated with the Tennessee State Tigers, the collegiate athletic teams representing Tennessee State University.</t>
  </si>
  <si>
    <t>Features official branding, logos, colors, or imagery associated with the Richmond Spiders, the intercollegiate athletic teams representing the University of Richmond.</t>
  </si>
  <si>
    <t>Features official branding, logos, colors, or imagery associated with the Rhode Island Rams, the intercollegiate athletic teams representing the University of Rhode Island.</t>
  </si>
  <si>
    <t>Features official branding, logos, colors, or imagery associated with the Stephen F. Austin Lumberjacks and Ladyjacks, the athletic teams representing Stephen F. Austin State University competing in the National Collegiate Athletic Association.</t>
  </si>
  <si>
    <t>Features official branding, logos, colors, or imagery associated with the North Texas Mean Green, the athletic teams representing the University of North Texas competing in the National Collegiate Athletic Association.</t>
  </si>
  <si>
    <t>Features official branding, logos, colors, or imagery associated with the Old Dominion Monarchs, the intercollegiate athletic teams representing Old Dominion University.</t>
  </si>
  <si>
    <t>Features official branding, logos, insignia, or color schemes associated with the Rice Owls, the collegiate athletic teams representing Rice University.</t>
  </si>
  <si>
    <t>Features official branding, logos, colors, or imagery associated with the Vaqueros, the athletic teams representing the University of Texas Rio Grande Valley competing in the National Collegiate Athletic Association.</t>
  </si>
  <si>
    <t>Features official branding, logos, colors, or imagery associated with the Oregon State Beavers, the intercollegiate athletic teams representing Oregon State University.</t>
  </si>
  <si>
    <t>Animal Print</t>
  </si>
  <si>
    <t>Chevron</t>
  </si>
  <si>
    <t>Damask</t>
  </si>
  <si>
    <t>Floral</t>
  </si>
  <si>
    <t>Geometric</t>
  </si>
  <si>
    <t>Paisley</t>
  </si>
  <si>
    <t>Plaid</t>
  </si>
  <si>
    <t>Polka Dots</t>
  </si>
  <si>
    <t>Striped</t>
  </si>
  <si>
    <t>Toile</t>
  </si>
  <si>
    <t>Brick</t>
  </si>
  <si>
    <t>Solid Color</t>
  </si>
  <si>
    <t>Stone</t>
  </si>
  <si>
    <t>Wood &amp; Shiplap</t>
  </si>
  <si>
    <t>Marble</t>
  </si>
  <si>
    <t>Gingham</t>
  </si>
  <si>
    <t>Camouflage</t>
  </si>
  <si>
    <t>Ikat</t>
  </si>
  <si>
    <t>Houndstooth</t>
  </si>
  <si>
    <t>Patchwork</t>
  </si>
  <si>
    <t>Ombre</t>
  </si>
  <si>
    <t>Checkered</t>
  </si>
  <si>
    <t>Argyle</t>
  </si>
  <si>
    <t>No Pattern</t>
  </si>
  <si>
    <t>Trellis</t>
  </si>
  <si>
    <t>Dots</t>
  </si>
  <si>
    <t>Starburst</t>
  </si>
  <si>
    <t>Geometric Shapes</t>
  </si>
  <si>
    <t>Irish Chain</t>
  </si>
  <si>
    <t>Chevron / Zig Zag</t>
  </si>
  <si>
    <t>Drunkard's Path</t>
  </si>
  <si>
    <t>Moroccan</t>
  </si>
  <si>
    <t>Oriental</t>
  </si>
  <si>
    <t>Block Print</t>
  </si>
  <si>
    <t>Arc</t>
  </si>
  <si>
    <t>Vintage Look</t>
  </si>
  <si>
    <t>A non-representational pattern that does not contain recognizable objects, distinct shapes, figures, or symmetry. It is unstructured and lacks a repeating design.</t>
  </si>
  <si>
    <t>A pattern that resembles the natural skin, fur, or scales of an animal (e.g., leopard, zebra, tiger, snake). This applies to the pattern only, not to products featuring a single animal illustration, which should be tagged as Animal Theme.</t>
  </si>
  <si>
    <t>A repeating pattern formed by continuous, symmetrical V or inverted V shapes, creating an unbroken zig-zag stripe, typically in alternating colors. It is distinguished from Herringbone by its continuous line.</t>
  </si>
  <si>
    <t>A highly detailed, symmetrical pattern created through a complex weave, often monochromatic or two-color, where the design appears slightly raised against the ground. It is characterized by the contrasting sheen and matte texture, typically featuring ornamental scroll, swirl, or floral motifs.</t>
  </si>
  <si>
    <t>A repeating pattern where the primary motif is botanical, such as flowers, vines, leaves, or groups of blossoms. The pattern must be dominated visually by these plant-based forms and not be a minor accent or purely geometric</t>
  </si>
  <si>
    <t>A repeating pattern of geometric forms such as circles, squares, triangles, hexagons, rectangles, or any other shapes.</t>
  </si>
  <si>
    <t>A repeating pattern featuring the curved teardrop or droplet-shaped motif, often called "boteh," with intricate, ornate detailing or embellishments within the shape.</t>
  </si>
  <si>
    <t>A pattern of intersecting horizontal and vertical bands of different widths and colors that cross at right angles to form a grid of squares or rectangles. Excludes simple checkerboard (Checkered) or uniform white and colored squares (Gingham)</t>
  </si>
  <si>
    <t>An array of uniformly sized, filled circular dots on a contrasting background, arranged in a regular, evenly spaced formation (grid or offset). This pattern is distinct from 'Dots,' which feature irregular size or spacing.</t>
  </si>
  <si>
    <t>Repeating parallel bands or lines on a contrasting background.</t>
  </si>
  <si>
    <t>A scenic pattern characterized by a single color printed on a light background. The design depicts detailed pastoral or nature scenes with a delicate, sketched or illustrative appearance.</t>
  </si>
  <si>
    <t>Repeating rectangular units arranged in a staggered or offset row formation, mimicking the structure of traditional brickwork.</t>
  </si>
  <si>
    <t>A uniform, single color across the entire product surface with no printed design, contrasting colors, or visible motif. A pattern created by the texture or weave of the same-colored material is included, provided the product is 100% one color.</t>
  </si>
  <si>
    <t>A pattern designed to resemble the natural, irregular, and often coarse surface of stone. It features organic shapes, mottling, veining, or speckling with varied coloration, lacking the uniform structure of geometric patterns.</t>
  </si>
  <si>
    <t>A pattern that imitates the look of wood grain and the structure of shiplap paneling. Characterized by linear designs, knots, and graining, and repeated parallel lines or grooves that simulate side-by-side or overlapping wooden boards.</t>
  </si>
  <si>
    <t>A pattern that mimics the appearance of natural marble, characterized by irregular, flowing lines, veining, and swirling colors.</t>
  </si>
  <si>
    <t>A pattern of uniform, intersecting horizontal and vertical lines in white and a single color. The colored line acts as a sheer overlay, creating a darker shade where the lines intersect. White is a required component.</t>
  </si>
  <si>
    <t>Pattern resembling military or hunting camouflage, featuring irregular, abstract shapes in earthy tones (green, brown, tan, black). Excludes simple floral or plant designs.</t>
  </si>
  <si>
    <t>A dyeing and weaving technique where the warp, weft, or both yarns are tie-dyed before being woven, resulting in a finished pattern characterized by a colorful, uneven, blurred, or hazy appearance.</t>
  </si>
  <si>
    <t>A large checked pattern with notched corners suggestive of a canine tooth, presenting as broken checks or abstract four-pointed shapes.</t>
  </si>
  <si>
    <t>A pattern of large, multi-colored squares or blocks that appear pieced or patched together</t>
  </si>
  <si>
    <t>A pattern of colors or tones that shade or blend gradually into each other, typically graduating from light to dark or from one hue to another. It does not have a distinct or repeating motif, with the design created purely by the smooth tonal transition.</t>
  </si>
  <si>
    <t>A pattern of equally sized, opaque squares in a repeating grid of two alternating colors. It is distinguished from Plaid, which uses varying stripe widths, and Gingham, which features semi-transparent color blending.</t>
  </si>
  <si>
    <t>A geometric pattern of varicolored diamonds in solid and outline shapes on a single background color or an overlay of intercrossing diagonal lines on solid diamonds.</t>
  </si>
  <si>
    <t>Applies when the product has no discernible or deliberate pattern, design, or motif, but is not a uniform, single solid color. Use for visually unadorned or blank surfaces, which may include natural material variations, clear, or transparent finishes.</t>
  </si>
  <si>
    <t>An open framework or lattice of interwoven or intersecting elements, often forming repeating geometric shapes.</t>
  </si>
  <si>
    <t>A pattern consisting of small, circular shapes, which may be solid or outlined. Unlike a Polka Dot pattern, the dots may be uniform or varied in size, and their placement can be regular, irregular, or scattered.</t>
  </si>
  <si>
    <t>A pattern of lines or shapes radiating outward from a central point, resembling a star or sunburst effect.</t>
  </si>
  <si>
    <t>A pattern composed of distinct geometric shapes (such as circles, squares, triangles, or polygons) that are the primary visual motif. The arrangement can be repeating or non-repeating.</t>
  </si>
  <si>
    <t>A geometric pattern characterized by a grid of interlocking squares or rectangles arranged in continuous diagonal chains, creating a repeating lattice or linked effect.</t>
  </si>
  <si>
    <t>A continuous, angular pattern composed of repeated diagonal lines that meet to form sharp V-shapes (chevron) or a more varied zigzag motif. This pattern is distinct from Herringbone (broken, interlocking V-shapes).</t>
  </si>
  <si>
    <t>Fully transparent or see-through material with an absence of visible pattern, color, or applied texture, allowing clear visibility of underlying elements.</t>
  </si>
  <si>
    <t>A geometric pattern created from repeating curved units, often quarter-circles, arranged to form continuous, interlocking, and meandering pathways.</t>
  </si>
  <si>
    <t>An ornate and intricate pattern inspired by traditional Moroccan decorative arts. It is characterized by complex, symmetrical, and repeating geometric motifs, such as stars, arabesques, and interlocking lattice shapes.</t>
  </si>
  <si>
    <t>A design inspired by traditional East Asian or Eastern artistry. It is characterized by intricate, decorative details and features symbolic, floral, or geometric motifs in a balanced, often symmetrical layout.</t>
  </si>
  <si>
    <t>A pattern created by stamping a carved block onto a material, resulting in repetitive motifs or designs. It is characterized by a handcrafted aesthetic, slight irregularities, and a subtle variation in the print.</t>
  </si>
  <si>
    <t>A pattern characterized by repeated or overlapping curved elements, such as arches or semi-circles, which form portions of a circular motif.</t>
  </si>
  <si>
    <t>A pattern or design that intentionally evokes a retro or nostalgic appearance reminiscent of past eras. This may include historically inspired motifs, faded colors, distressed effects, or a timeworn aesthetic.</t>
  </si>
  <si>
    <t>Drop</t>
  </si>
  <si>
    <t>Random</t>
  </si>
  <si>
    <t>Straight</t>
  </si>
  <si>
    <t>A type of pattern match where the design elements align both horizontally and vertically, creating a staggered or diagonal repeat. This alignment typically requires every other strip or panel to be offset from the previous one to create a seamless visual transition.</t>
  </si>
  <si>
    <t>A layout or pattern repeat where elements are arranged in a non-linear, scattered, or arbitrary fashion. This configuration does not require specific horizontal or vertical alignment at seams or edges, facilitating a seamless appearance regardless of placement.</t>
  </si>
  <si>
    <t>Refers to a pattern match where the design elements align horizontally across adjacent strips or panels. Every panel starts at the same point of the pattern at the top edge, ensuring a continuous and level flow of the design across the entire surface.</t>
  </si>
  <si>
    <t>3D Embossed</t>
  </si>
  <si>
    <t>Flocked</t>
  </si>
  <si>
    <t>Smooth</t>
  </si>
  <si>
    <t>Textured</t>
  </si>
  <si>
    <t>Features a three-dimensional, raised surface pattern created by pressing or embossing the material. Designs physically project above the background layer, offering a pronounced tactile effect and visual depth.</t>
  </si>
  <si>
    <t>Features a raised, velvety surface created by applying short natural or synthetic fibers to a base material. Characterized by a soft-touch texture and visual depth, this finish is often used to create decorative patterns or to mimic the appearance of snow or suede.</t>
  </si>
  <si>
    <t>An even, flat surface without any raised or tactile texture. It feels completely level to the touch and has no visible texture or pattern in relief.</t>
  </si>
  <si>
    <t>Features a physically raised, textured, or three-dimensional surface pattern that can be felt or seen. This includes any non-smooth surface created by the material or manufacturing process, providing depth and tactile interest beyond a purely visual or printed design.</t>
  </si>
  <si>
    <t>Achille Castiglioni</t>
  </si>
  <si>
    <t>Alfredo Llorens</t>
  </si>
  <si>
    <t>Becky Bailey</t>
  </si>
  <si>
    <t>Badeloft</t>
  </si>
  <si>
    <t>Alain Van Havre</t>
  </si>
  <si>
    <t>Bannoura</t>
  </si>
  <si>
    <t>Ann Gish</t>
  </si>
  <si>
    <t>Ambesonne</t>
  </si>
  <si>
    <t>Alberto Tabellini &amp; David Reiss</t>
  </si>
  <si>
    <t>Andres Martinez</t>
  </si>
  <si>
    <t>Allison Paladino</t>
  </si>
  <si>
    <t>AERIN</t>
  </si>
  <si>
    <t>Alexa Hampton</t>
  </si>
  <si>
    <t>Antonio Citterio</t>
  </si>
  <si>
    <t>BergHOFF</t>
  </si>
  <si>
    <t>Ardmore</t>
  </si>
  <si>
    <t>Arnold Krog</t>
  </si>
  <si>
    <t>Bruno Marashlian</t>
  </si>
  <si>
    <t>Carol Benson-Cobb</t>
  </si>
  <si>
    <t>Campania International</t>
  </si>
  <si>
    <t>Debra Ann of Atomic Mobiles</t>
  </si>
  <si>
    <t>ARTCANVAS</t>
  </si>
  <si>
    <t>Karen Didion</t>
  </si>
  <si>
    <t>Maceteros</t>
  </si>
  <si>
    <t>Rosiland Solomon</t>
  </si>
  <si>
    <t>Ysnay</t>
  </si>
  <si>
    <t>Ashley Norton</t>
  </si>
  <si>
    <t>University frames</t>
  </si>
  <si>
    <t>Ashley Helms</t>
  </si>
  <si>
    <t>B2U</t>
  </si>
  <si>
    <t>Artwall</t>
  </si>
  <si>
    <t>Aviva Stanoff</t>
  </si>
  <si>
    <t>ArtVerse</t>
  </si>
  <si>
    <t>Artorang</t>
  </si>
  <si>
    <t>ACROMA</t>
  </si>
  <si>
    <t>Barrow Industries</t>
  </si>
  <si>
    <t>Barclay Butera</t>
  </si>
  <si>
    <t>Aqua Gallery</t>
  </si>
  <si>
    <t>Barrow Fabric</t>
  </si>
  <si>
    <t>Barbara Barry</t>
  </si>
  <si>
    <t>Aston</t>
  </si>
  <si>
    <t>Barry Goralnick</t>
  </si>
  <si>
    <t>Barbara and James Restin</t>
  </si>
  <si>
    <t>Arshs Fine Rugs</t>
  </si>
  <si>
    <t>Brightech</t>
  </si>
  <si>
    <t>C.L.L Collections</t>
  </si>
  <si>
    <t>Bunny Williams</t>
  </si>
  <si>
    <t>Busalt Design</t>
  </si>
  <si>
    <t>Candice Olson</t>
  </si>
  <si>
    <t>Betsy Drake Interiors</t>
  </si>
  <si>
    <t>Bhawna's Fusion</t>
  </si>
  <si>
    <t>Capital Lighting Fixture Co.</t>
  </si>
  <si>
    <t>Booth &amp; Williams</t>
  </si>
  <si>
    <t>Berbermade</t>
  </si>
  <si>
    <t>Caroline's Treasures</t>
  </si>
  <si>
    <t>Christian Lacroix</t>
  </si>
  <si>
    <t>Chic Teak</t>
  </si>
  <si>
    <t>Chapman &amp; Myers</t>
  </si>
  <si>
    <t>ChiChi Decor</t>
  </si>
  <si>
    <t>Celerie Kemble</t>
  </si>
  <si>
    <t>ChildBeWild</t>
  </si>
  <si>
    <t>Casa Fine Arts</t>
  </si>
  <si>
    <t>Bespoky Rugs</t>
  </si>
  <si>
    <t>Dawn Sweitzer</t>
  </si>
  <si>
    <t>Dana Gibson</t>
  </si>
  <si>
    <t>David Chipperfield</t>
  </si>
  <si>
    <t>Darren Gygi</t>
  </si>
  <si>
    <t>Creative Matters Inc.</t>
  </si>
  <si>
    <t>Dana McMillan</t>
  </si>
  <si>
    <t>Danielle Davis</t>
  </si>
  <si>
    <t>David Phoenix</t>
  </si>
  <si>
    <t>Christopher Fareed</t>
  </si>
  <si>
    <t>E by Design</t>
  </si>
  <si>
    <t>COXBRIGHT</t>
  </si>
  <si>
    <t>Coe Steinwart</t>
  </si>
  <si>
    <t>DreamLine</t>
  </si>
  <si>
    <t>Daphne Polselli</t>
  </si>
  <si>
    <t>Diane Beesley</t>
  </si>
  <si>
    <t>Denny Knight</t>
  </si>
  <si>
    <t>Diane Keaton</t>
  </si>
  <si>
    <t>echo</t>
  </si>
  <si>
    <t>Ebros Gift</t>
  </si>
  <si>
    <t>EGLO</t>
  </si>
  <si>
    <t>Duravit</t>
  </si>
  <si>
    <t>Eleonora Ferragatta</t>
  </si>
  <si>
    <t>E. F. Chapman</t>
  </si>
  <si>
    <t>Elaine Smith</t>
  </si>
  <si>
    <t>East West Furniture</t>
  </si>
  <si>
    <t>iCanvas</t>
  </si>
  <si>
    <t>Empava</t>
  </si>
  <si>
    <t>Ernest Massuet</t>
  </si>
  <si>
    <t>James Restin</t>
  </si>
  <si>
    <t>Enrico Lavazzi</t>
  </si>
  <si>
    <t>Ella's Bubbles</t>
  </si>
  <si>
    <t>Emissary</t>
  </si>
  <si>
    <t>Jaime Hayon</t>
  </si>
  <si>
    <t>Evergreen</t>
  </si>
  <si>
    <t>Jean-Marie Massaud</t>
  </si>
  <si>
    <t>J Paul</t>
  </si>
  <si>
    <t>Jennifer Hollack Raboin</t>
  </si>
  <si>
    <t>Javier Mariscal</t>
  </si>
  <si>
    <t>Jasper Morrison</t>
  </si>
  <si>
    <t>James Brooksberry</t>
  </si>
  <si>
    <t>Jamie Graney</t>
  </si>
  <si>
    <t>J. Kent Martin</t>
  </si>
  <si>
    <t>Jonathan Adler</t>
  </si>
  <si>
    <t>Jennifer Ridel</t>
  </si>
  <si>
    <t>Jose Javier Malavia</t>
  </si>
  <si>
    <t>John Beard</t>
  </si>
  <si>
    <t>JMV</t>
  </si>
  <si>
    <t>Jordan Glassco Smith</t>
  </si>
  <si>
    <t>Europatex</t>
  </si>
  <si>
    <t>Jorge Pensi</t>
  </si>
  <si>
    <t>Jose Luis Santes</t>
  </si>
  <si>
    <t>John Strauss/Carisa Marie</t>
  </si>
  <si>
    <t>Jose Maria Reina</t>
  </si>
  <si>
    <t>Ettore Sottsass</t>
  </si>
  <si>
    <t>Enrico Cosi &amp; Sergio Tabellini</t>
  </si>
  <si>
    <t>Eugeni Quitllet</t>
  </si>
  <si>
    <t>Jose Santaeulalia</t>
  </si>
  <si>
    <t>Jessica Hollander</t>
  </si>
  <si>
    <t>JoyJolt</t>
  </si>
  <si>
    <t>Jim and Phoebe Howard</t>
  </si>
  <si>
    <t>Julia Knight</t>
  </si>
  <si>
    <t>Kelly Wearstler</t>
  </si>
  <si>
    <t>Laura Park</t>
  </si>
  <si>
    <t>Kurt Merki Jr.</t>
  </si>
  <si>
    <t>Karin Reiter</t>
  </si>
  <si>
    <t>Karo Martirosyan</t>
  </si>
  <si>
    <t>Lexora</t>
  </si>
  <si>
    <t>LACAVA</t>
  </si>
  <si>
    <t>LILY</t>
  </si>
  <si>
    <t>Levi Wilson</t>
  </si>
  <si>
    <t>LeadGoods</t>
  </si>
  <si>
    <t>Julie Neill</t>
  </si>
  <si>
    <t>Juan Huerta</t>
  </si>
  <si>
    <t>Lillian August</t>
  </si>
  <si>
    <t>Kent Wilcoxson Jordan</t>
  </si>
  <si>
    <t>Kayvan</t>
  </si>
  <si>
    <t>Karim Rashid</t>
  </si>
  <si>
    <t>Kevin O'Brien</t>
  </si>
  <si>
    <t>Lynn McKernan</t>
  </si>
  <si>
    <t>Lipman Art</t>
  </si>
  <si>
    <t>Madison Knowles-Stewart</t>
  </si>
  <si>
    <t>MaestroBath</t>
  </si>
  <si>
    <t>M. FEDER</t>
  </si>
  <si>
    <t>LOOMLAN</t>
  </si>
  <si>
    <t>Loretta Yang</t>
  </si>
  <si>
    <t>Lyn Hamer Cook</t>
  </si>
  <si>
    <t>Loloi</t>
  </si>
  <si>
    <t>Linum Home Textiles</t>
  </si>
  <si>
    <t>Konstantin Grcic</t>
  </si>
  <si>
    <t>Ludovica &amp; Roberto Palomba</t>
  </si>
  <si>
    <t>Kaleen</t>
  </si>
  <si>
    <t>Liora Manne</t>
  </si>
  <si>
    <t>Malanta Knowles</t>
  </si>
  <si>
    <t>Mark D. Sikes</t>
  </si>
  <si>
    <t>Marc Sadler</t>
  </si>
  <si>
    <t>Mesut Bozkurt</t>
  </si>
  <si>
    <t>Meirxifeng Design</t>
  </si>
  <si>
    <t>Marcel Wanders</t>
  </si>
  <si>
    <t>Marla Rae</t>
  </si>
  <si>
    <t>Matteo Thun</t>
  </si>
  <si>
    <t>Matteo Thun &amp; Antonio Rodriguez</t>
  </si>
  <si>
    <t>Metrohouse Designs</t>
  </si>
  <si>
    <t>Marytumm</t>
  </si>
  <si>
    <t>National Outdoor Living</t>
  </si>
  <si>
    <t>Mary Jurek</t>
  </si>
  <si>
    <t>Melissa Hyatt LLC</t>
  </si>
  <si>
    <t>Naomi Neilson</t>
  </si>
  <si>
    <t>Myard</t>
  </si>
  <si>
    <t>The Met x Ann Gish</t>
  </si>
  <si>
    <t>Martha Stewart</t>
  </si>
  <si>
    <t>Modern Space</t>
  </si>
  <si>
    <t>Melea Markell</t>
  </si>
  <si>
    <t>MTI Baths</t>
  </si>
  <si>
    <t>Michael Updike</t>
  </si>
  <si>
    <t>Naoto Fukasawa</t>
  </si>
  <si>
    <t>Morettis</t>
  </si>
  <si>
    <t>National Tree Company</t>
  </si>
  <si>
    <t>Nick Sheridan</t>
  </si>
  <si>
    <t>Momeni</t>
  </si>
  <si>
    <t>Michele De Lucchi &amp; Giancarlo Fassina</t>
  </si>
  <si>
    <t>Mode Living Team</t>
  </si>
  <si>
    <t>Monika Lubkowsa-Jonas</t>
  </si>
  <si>
    <t>MH London</t>
  </si>
  <si>
    <t>New World Trading</t>
  </si>
  <si>
    <t>Ngala Trading</t>
  </si>
  <si>
    <t>NovaSolo</t>
  </si>
  <si>
    <t>York Wallcoverings</t>
  </si>
  <si>
    <t>Fran Bradburn</t>
  </si>
  <si>
    <t>Yasi</t>
  </si>
  <si>
    <t>Suzanne Kasler</t>
  </si>
  <si>
    <t>Norman Wyatt Jr.</t>
  </si>
  <si>
    <t>Nikki Chu</t>
  </si>
  <si>
    <t>Tammy Keller</t>
  </si>
  <si>
    <t>TapLong</t>
  </si>
  <si>
    <t>Glow Crystal Lighting</t>
  </si>
  <si>
    <t>Patrice Lowe</t>
  </si>
  <si>
    <t>Summer Snow</t>
  </si>
  <si>
    <t>Flatfish</t>
  </si>
  <si>
    <t>Olivia Rose</t>
  </si>
  <si>
    <t>TeakSmith</t>
  </si>
  <si>
    <t>Notting Hill Decorative Hardware</t>
  </si>
  <si>
    <t>Tovolo</t>
  </si>
  <si>
    <t>Feiss</t>
  </si>
  <si>
    <t>Oiva Toikka</t>
  </si>
  <si>
    <t>Swig Life</t>
  </si>
  <si>
    <t>The Enchanted Home</t>
  </si>
  <si>
    <t>Wedgwood</t>
  </si>
  <si>
    <t>Frank Huster</t>
  </si>
  <si>
    <t>Tim Klein</t>
  </si>
  <si>
    <t>Exotic India</t>
  </si>
  <si>
    <t>Quorum</t>
  </si>
  <si>
    <t>Vera Wang</t>
  </si>
  <si>
    <t>Tvilum</t>
  </si>
  <si>
    <t>Tufenkian Design Studio</t>
  </si>
  <si>
    <t>Francisco Polope</t>
  </si>
  <si>
    <t>Hiroshi Koshitaka</t>
  </si>
  <si>
    <t>Oussum</t>
  </si>
  <si>
    <t>Sylvia Corban</t>
  </si>
  <si>
    <t>Suzanne Renaud</t>
  </si>
  <si>
    <t>Nude design team</t>
  </si>
  <si>
    <t>Ottomanson</t>
  </si>
  <si>
    <t>Peter Townsend</t>
  </si>
  <si>
    <t>Pergamino</t>
  </si>
  <si>
    <t>Hansgrohe</t>
  </si>
  <si>
    <t>George Dyachenko</t>
  </si>
  <si>
    <t>Hilary Farr</t>
  </si>
  <si>
    <t>Thom Filicia</t>
  </si>
  <si>
    <t>VEVOR</t>
  </si>
  <si>
    <t>Hubbardton Forge</t>
  </si>
  <si>
    <t>Hendryx Haus</t>
  </si>
  <si>
    <t>Four Hands</t>
  </si>
  <si>
    <t>Urban Trends Collection</t>
  </si>
  <si>
    <t>Viso Project</t>
  </si>
  <si>
    <t>Harmonia Living</t>
  </si>
  <si>
    <t>Hekman</t>
  </si>
  <si>
    <t>Yinuo Pure Furniture Limited</t>
  </si>
  <si>
    <t>Gorham</t>
  </si>
  <si>
    <t>Varvara Sivas</t>
  </si>
  <si>
    <t>Franklin Corporation</t>
  </si>
  <si>
    <t>Graywolf Design Co</t>
  </si>
  <si>
    <t>The Creative Bunch Studio</t>
  </si>
  <si>
    <t>Rachel K</t>
  </si>
  <si>
    <t>United Artworks</t>
  </si>
  <si>
    <t>Vickerman</t>
  </si>
  <si>
    <t>Willow Collections</t>
  </si>
  <si>
    <t>Piero Lissoni</t>
  </si>
  <si>
    <t>Wexford Home</t>
  </si>
  <si>
    <t>Homebody Accents</t>
  </si>
  <si>
    <t>Pride Sasser</t>
  </si>
  <si>
    <t>Handy Living</t>
  </si>
  <si>
    <t>HKH International</t>
  </si>
  <si>
    <t>Ferruccio Laviani</t>
  </si>
  <si>
    <t>Twist Modern</t>
  </si>
  <si>
    <t>Fernando Martinez</t>
  </si>
  <si>
    <t>Phoenix Design</t>
  </si>
  <si>
    <t>Thomas O'Brien</t>
  </si>
  <si>
    <t>Home Dynamix</t>
  </si>
  <si>
    <t>Sweet Jojo Designs</t>
  </si>
  <si>
    <t>RBROHANT</t>
  </si>
  <si>
    <t>Ramon Esteve</t>
  </si>
  <si>
    <t>Yamazaki Home</t>
  </si>
  <si>
    <t>Tycolit</t>
  </si>
  <si>
    <t>Oxygen Lighting</t>
  </si>
  <si>
    <t>Phyllis Morris</t>
  </si>
  <si>
    <t>Get Bed Ready</t>
  </si>
  <si>
    <t>Heckman</t>
  </si>
  <si>
    <t>Robert Sonneman</t>
  </si>
  <si>
    <t>The Allstone Group</t>
  </si>
  <si>
    <t>Ellen DeGeneres</t>
  </si>
  <si>
    <t>Foersom &amp; Hiort-Lorenzen MDD</t>
  </si>
  <si>
    <t>Dexsa</t>
  </si>
  <si>
    <t>Vinform</t>
  </si>
  <si>
    <t>ELK Home</t>
  </si>
  <si>
    <t>Patricia Urquiola</t>
  </si>
  <si>
    <t>Ron Rezek</t>
  </si>
  <si>
    <t>Hudson Valley</t>
  </si>
  <si>
    <t>Rachel Lee</t>
  </si>
  <si>
    <t>Zaza Ergemlidze</t>
  </si>
  <si>
    <t>Robert Allen</t>
  </si>
  <si>
    <t>Raul Rubio</t>
  </si>
  <si>
    <t>Ron McIntyre</t>
  </si>
  <si>
    <t>Roma Moulding</t>
  </si>
  <si>
    <t>Ralph Lauren</t>
  </si>
  <si>
    <t>Reflectionsonus Art Studio</t>
  </si>
  <si>
    <t>Philippe Starck</t>
  </si>
  <si>
    <t>Howcool</t>
  </si>
  <si>
    <t>Tony Zaza</t>
  </si>
  <si>
    <t>Greentouch Home</t>
  </si>
  <si>
    <t>Riverside Furniture</t>
  </si>
  <si>
    <t>Umbra</t>
  </si>
  <si>
    <t>Falls Bridge Candles</t>
  </si>
  <si>
    <t>Michael Anastassiades</t>
  </si>
  <si>
    <t>E. Barber and J. Osgerby</t>
  </si>
  <si>
    <t>Sean Lavin</t>
  </si>
  <si>
    <t>Neri &amp; Hu</t>
  </si>
  <si>
    <t>Flemming Lassen</t>
  </si>
  <si>
    <t>Mogens Lassen</t>
  </si>
  <si>
    <t>Paloma Contreras</t>
  </si>
  <si>
    <t>Alicia Engman</t>
  </si>
  <si>
    <t>Meneghello Paolelli</t>
  </si>
  <si>
    <t>G. DeBrekht</t>
  </si>
  <si>
    <t>Zeki Muren</t>
  </si>
  <si>
    <t>Corey Damen Jenkins</t>
  </si>
  <si>
    <t>Garcia Cumini</t>
  </si>
  <si>
    <t>Charlotte Moss</t>
  </si>
  <si>
    <t>Angela Harris, The Studio</t>
  </si>
  <si>
    <t>An influential Italian architect and industrial designer celebrated for innovative, functional, and playful designs that often repurposed everyday objects. His acclaimed career spanned decades, earning numerous prestigious design awards and placement in prominent international museum collections.</t>
  </si>
  <si>
    <t>Alfredo Llorens is a product designer. This value should only be used when the product is explicitly credited to this designer or design studio in official documentation.</t>
  </si>
  <si>
    <t>Indicates the product or collection was created by Becky Bailey, a designer or artist known for specific aesthetic or technical contributions. Use this value only when the product is explicitly credited to this individual or their design studio in official documentation.</t>
  </si>
  <si>
    <t>A German-founded company specializing in luxury fixtures recognized for modern, minimalist forms that emphasize functionality, material integrity, and comfort. Their aesthetic combines contemporary design with durable materials, making it a prominent choice for both residential and hospitality settings.</t>
  </si>
  <si>
    <t>A Belgian designer and head designer at Ethnicraft, renowned for minimalist and nature-inspired designs. His work is characterized by a deep emphasis on form and craftsmanship, often incorporating organic shapes and balanced aesthetics.</t>
  </si>
  <si>
    <t>A design team or studio recognized for creating specific product collections. This value should only be used when the product is distinctly credited to this entity in official documentation.</t>
  </si>
  <si>
    <t>Capital Lighting Fixture Co. is a design-focused manufacturing company founded in 1990. The company’s in-house design team is recognized for creating a wide range of products that blend transitional and contemporary aesthetics with high-quality standards.</t>
  </si>
  <si>
    <t>A home décor brand recognized for its vibrant and artistic designs featuring digitally printed patterns. Ambesonne focuses on creative and diverse aesthetics, utilizing a design collective approach rather than attribution to an individual designer.</t>
  </si>
  <si>
    <t>A collaborative design partnership between Alberto Tabellini and David Reiss, known for their work in high-quality pewter and metalware. Their designs often emphasize a blend of traditional craftsmanship with contemporary forms, resulting in elegant and functional pieces.</t>
  </si>
  <si>
    <t>A designer from Cordoba, Spain, recognized for blending traditional craftsmanship with contemporary aesthetics. His work is characterized by a serene, restrained, and timeless luxury, emphasizing meticulous attention to detail and the use of noble materials to create sophisticated, high-quality designs.</t>
  </si>
  <si>
    <t>Allison Paladino is an American interior designer recognized for her refined transitional style, blending modern and traditional elements. Her aesthetic emphasizes clean lines and timeless elegance, often characterized by a balanced approach developed through collaborations with various manufacturers.</t>
  </si>
  <si>
    <t>A global luxury lifestyle brand founded by Aerin Lauder, defined by a signature aesthetic of effortless style and modern femininity. Collections are created under the creative direction of Aerin Lauder and her design studio, emphasizing artisanal craftsmanship and refined detailing.</t>
  </si>
  <si>
    <t>Alexa Hampton is a prominent American interior designer and author known for advancing the legacy of her father’s firm, Mark Hampton, with elegant, classically inspired interiors for contemporary living. Her work merges classical principles with functional solutions for a broad range of products.</t>
  </si>
  <si>
    <t>Antonio Citterio is a renowned Italian architect and industrial designer celebrated for an elegant, functional, and timeless aesthetic. A multi-time recipient of the Compasso d'Oro award, he is recognized for his sophisticated, understated approach and extensive collaborations with prestigious global design brands.</t>
  </si>
  <si>
    <t>BergHOFF is an international brand and manufacturer specializing in housewares and kitchen products. Product design is primarily managed by an in-house team unless an individual designer is specifically credited. Use only when the brand is formally recognized as the designer of the product.</t>
  </si>
  <si>
    <t>Established in 1985 by Fée Halsted, Ardmore is a celebrated design collective and studio from South Africa. It is recognized for its unique, artist-driven aesthetic that blends Zulu storytelling with vibrant, hand-painted imagery and intricate sculptural details inspired by African wildlife.</t>
  </si>
  <si>
    <t>Arnold Krog (1856–1931) was a Danish architect, designer, and painter, best known for his tenure as artistic director of Royal Copenhagen. He revitalized decorative arts by blending Japanese-inspired and Impressionist styles, earning international acclaim for his innovative, nature-inspired work.</t>
  </si>
  <si>
    <t>Bruno Marashlian is an American designer and entrepreneur recognized for blending industrial and modern aesthetics. As the founder of Innovations Lighting, his work is characterized by a balance of creative design and functional engineering across diverse categories.</t>
  </si>
  <si>
    <t>An American artist and designer recognized for her custom abstract paintings, textiles, and wallcoverings. Her work is characterized by a fluid, layered aesthetic often translated into home décor and lifestyle products through collaborative partnerships and licensing.</t>
  </si>
  <si>
    <t>A premier designer, manufacturer, and distributor known for blending classic European traditions with a contemporary American sensibility. Led by Creative Director Peter C. Cilio, the brand employs a team of artisans to create original, often hand-crafted designs for residential and commercial spaces.</t>
  </si>
  <si>
    <t>Debra Ann is an American artist, kinetic sculptor, and founder of Atomic Mobiles. She is recognized for her mid-century modern-inspired kinetic art and home decor, characterized by vibrant colors, playful forms, and bespoke craftsmanship.</t>
  </si>
  <si>
    <t>ARTCANVAS is a design collective and art studio based in the United States. Designs are created by an in-house team known as the ARTCANVAS Design Group, which produces a broad array of contemporary artworks and home decor featuring various styles for interior environments.</t>
  </si>
  <si>
    <t>Karen Didion is an artist and designer recognized for creating seasonal collections and decorative figures. This value identifies products designed or created by her studio.</t>
  </si>
  <si>
    <t>A brand or company name. Designer attribution should only be applied if a specific individual or studio associated with the entity is explicitly credited in the product documentation; otherwise, this value should be treated as a brand identifier rather than a designer.</t>
  </si>
  <si>
    <t>Rosiland Solomon is an award-winning artist and illustrator known for her commercial paintings and design work in consumer products. She is recognized for her research-driven creative process influenced by themes of animals, nature, and the outdoors. Solomon has designed products and artwork for licensing.</t>
  </si>
  <si>
    <t>A recognized designer, design studio, or collective credited with the creation or styling of a product. This value should only be selected when official product documentation or verifiable records explicitly attribute the design to this entity.</t>
  </si>
  <si>
    <t>A brand and manufacturer specializing in designer architectural hardware and decorative fixtures. Collections are developed through a company-led or team-based approach, focusing on high-end functional design and premium materials for residential and commercial interiors.</t>
  </si>
  <si>
    <t>University Frames is an American company specializing in the design and manufacturing of custom framing solutions. Their team focuses on craftsmanship and the use of quality materials to create products that are both functional and decorative.</t>
  </si>
  <si>
    <t>Ashley Helms is an American designer and creative professional. This selection indicates that the product has been specifically created or credited to her or her design studio.</t>
  </si>
  <si>
    <t>The product or collection is associated with B2U, which typically functions as a brand or manufacturing entity rather than an individual designer. This value should only be selected if the product documentation specifically credits B2U as the primary designer.</t>
  </si>
  <si>
    <t>An art and design company that creates and manufactures original works, curated collections, and home decor items. This selection should be used when the company’s internal design team or studio is explicitly credited with the creative development and aesthetic direction of the product.</t>
  </si>
  <si>
    <t>An award-winning American designer and artist recognized for an innovative approach to home decor and accessories. Her work is characterized by nature-inspired motifs, artisanal techniques, and deliberate luxury, often integrating natural materials to create tactile, unique aesthetic designs.</t>
  </si>
  <si>
    <t>ArtVerse is a design and manufacturing studio specializing in custom and printed home decor, recognized for a variety of artistic prints and graphic-driven designs. This name refers to a company or collective credited with the creation or artistic direction of the product.</t>
  </si>
  <si>
    <t>A creative design studio and collective specializing in contemporary Middle Eastern and Persian-inspired art. Their work often features intricate patterns, traditional calligraphy, and vibrant color palettes, blending classical cultural themes with modern artistic expressions.</t>
  </si>
  <si>
    <t>A design entity or brand whose products are developed by an in-house creative team. Attribution to this studio indicates a focus on combining contemporary style with functional design, typically applied when the work is credited to the collective brand entity rather than a specific individual.</t>
  </si>
  <si>
    <t>A design house and supplier specializing in decorative materials for residential and contract markets. Its collections emphasize innovative patterns and durable constructions developed by an in-house team to provide sophisticated and high-performance aesthetic solutions.</t>
  </si>
  <si>
    <t>Barclay Butera is a renowned American interior and product designer recognized for his signature aesthetic that blends classic and contemporary styles. His work is characterized by approachable elegance, sophisticated layering of textures and patterns, and a polished yet livable design philosophy.</t>
  </si>
  <si>
    <t>Aqua Gallery is a manufacturer and distributor of home products characterized by its in-house design team. Products are generally credited to the company's internal studio rather than a specific individual designer.</t>
  </si>
  <si>
    <t>Barrow Fabric (Barrow Industries) is an American textile brand specializing in home furnishing materials. Known for decorative and performance textiles, their in-house design team produces a wide range of textures, colors, and patterns for residential and commercial interiors.</t>
  </si>
  <si>
    <t>A world-renowned interior and product designer known for a signature style of quiet elegance, refined simplicity, and timeless design. Her work is characterized by a masterful understanding of proportion and balance, drawing inspiration from the natural world to create harmonious, livable aesthetics.</t>
  </si>
  <si>
    <t>Refers to a brand, manufacturer, or entity rather than a distinguishable individual designer or design studio. This value should only be used if specific product documentation explicitly credits Aston as the designer or creative lead.</t>
  </si>
  <si>
    <t>An American architect and product designer known for his Blended Modern style, which fuses classical and contemporary influences. His work spans architecture, interior design, and various home and hospitality collections, emphasizing a harmonious balance of diverse aesthetic elements.</t>
  </si>
  <si>
    <t>Barbara and James Restin are individual designers and the founding creative force behind UltraLights Lighting. Their work focuses on architectural lighting fixtures and home decor, characterized by a collaborative design process between the founders and their in-house team.</t>
  </si>
  <si>
    <t>A brand and manufacturer specializing in home textiles and floor coverings. This value refers to the entity as the primary design authority or producer and does not typically credit an individual designer unless specifically indicated in product documentation.</t>
  </si>
  <si>
    <t>A direct-to-consumer home décor brand. In the context of designer attribution, this value refers to products developed and credited to the brand’s internal design or creative teams. Use when the design is explicitly attributed to the brand's in-house team rather than a specific individual.</t>
  </si>
  <si>
    <t>C.L.L Collections is a brand or label involved in the design of home decor and furnishings. Its collections often include decorative accents and curated accessories, though specific individual designer names are typically not individually credited.</t>
  </si>
  <si>
    <t>An acclaimed American interior designer, author, and entrepreneur celebrated for her refined yet livable spaces. Her work blends antique inspirations with new, enduring designs, resulting in collections that reflect her classic design sensibilities and a focus on detail.</t>
  </si>
  <si>
    <t>A design studio and boutique firm that curates and creates interior accents and furnishings. Known for blending classic and unexpected aesthetics, the studio focuses on artisan-crafted pieces, layered textures, and soulful, eclectic designs intended to elevate residential and commercial environments.</t>
  </si>
  <si>
    <t>Candice Olson is a Canadian interior designer and television personality recognized for her sophisticated, contemporary style. Her signature aesthetic blends traditional form and scale with modern simplicity, often characterized by subtle color palettes and rich textures.</t>
  </si>
  <si>
    <t>A home décor brand founded by Betsy Drake and R. B. Hamilton, featuring original designs often inspired by nature, coastal themes, and wildlife. Products showcase realistic renderings from the artists, with designs credited to the brand as a collaborative design entity.</t>
  </si>
  <si>
    <t>Bhawna's Fusion refers to designs by Bhawna Sharma, an artist and creative director known for hand-crafted goods inspired by nature and Indian heritage. Her work often involves collaboration with artisans to create unique pieces distinguished by a fusion of simplicity and luxury.</t>
  </si>
  <si>
    <t>Evergreen is an American design company known for a wide range of home and garden décor. Designer attribution refers to the company's in-house team or collaborative efforts when no individual designer is credited. For products with no known, named designer, select Does Not Apply.</t>
  </si>
  <si>
    <t>Booth &amp; Williams is a design resource and brand specializing in curated decorative collections for interior design projects. Products are created by an in-house design and curation team rather than an individual designer, representing a collective approach to product design and styling.</t>
  </si>
  <si>
    <t>A brand and design collective specializing in artisan-crafted goods that utilize traditional Moroccan weaving techniques. Characterized by authentic craftsmanship and tribal geometric motifs, the brand blends ancestral heritage with contemporary aesthetics using premium natural materials.</t>
  </si>
  <si>
    <t>An American brand specializing in home decor and functional items featuring artist-illustrated designs. The brand is recognized for its extensive range of artwork applied to various surfaces, often emphasizing colorful and decorative motifs.</t>
  </si>
  <si>
    <t>Javier Mariscal is a renowned Spanish multidisciplinary designer and artist, known for a playful, expressive style across graphic art, furniture, and product design. His work is characterized by vibrant colors, bold forms, and an imaginative approach that often reflects Mediterranean cultural influences.</t>
  </si>
  <si>
    <t>A brand and retail entity primarily recognized for manufacturing and distributing products. This value does not represent an individual designer or design studio and should only be used if the brand itself is explicitly credited with the product design in official documentation.</t>
  </si>
  <si>
    <t>A design partnership between E.F. Chapman and Kyle Myers that combines classically influenced styles with modern sensibilities. The collaboration is characterized by a blend of timeless architectural motifs and refined, contemporary aesthetics.</t>
  </si>
  <si>
    <t>A design collective or studio staffed by artists specializing in contemporary surface and product design. They are recognized for an artist-driven approach characterized by bold patterns, vibrant colors, and innovative use of materials to create style-focused home accents and decorative statements.</t>
  </si>
  <si>
    <t>Celerie Kemble is an American interior designer known for her distinctive, fresh approach to traditional decor. This selection identifies the product as being specifically designed or authored by Celerie Kemble.</t>
  </si>
  <si>
    <t>ChildBeWild is an art and design studio known for creating whimsical and playful works for home décor. It is characterized by an aesthetic that often incorporates child-centric themes and creative, handcrafted personalization. Use this tag only when the product or design is formally credited to the studio.</t>
  </si>
  <si>
    <t>A collaborative art studio and home decor brand that focuses on decorative wall art and prints. This designation is typically used for products associated with their creative collective or branding rather than an individual designer.</t>
  </si>
  <si>
    <t>A design house and brand specializing in artisan and custom-crafted items for residential and commercial interiors. Their work focuses on blending traditional craftsmanship with contemporary patterns through a collaborative in-house design team and skilled artisans.</t>
  </si>
  <si>
    <t>Dawn Sweitzer is an artist and designer recognized for creating lifestyle decor and home products that often incorporate mixed materials, unique finishes, and artistic motifs. Her work frequently stems from her background in fine art, including paintings and woven textiles.</t>
  </si>
  <si>
    <t>An American designer and artist recognized for bold, painterly patterns and vibrant designs. Her approach combines classic motifs with contemporary color and style, producing collections that evoke joy and personality in interior decor.</t>
  </si>
  <si>
    <t>An acclaimed British architect known for his minimalist aesthetic, modern architectural projects, and significant contributions to building restoration and urban planning. This designation indicates the product was created or inspired by his design studio.</t>
  </si>
  <si>
    <t>An American artist and illustrator recognized for his vibrant aesthetic and signature home decor collections. With a background in freelance illustration and portraiture, his work is characterized by bold expression, craftsmanship, and a focus on high-quality giclee reproductions.</t>
  </si>
  <si>
    <t>A multidisciplinary design studio and brand known for creating original, high-quality, and ethically produced floor and wall coverings. Based in Toronto, Canada, the company specializes in custom surface design, utilizing a wide range of materials and artisanal production techniques.</t>
  </si>
  <si>
    <t>A Spanish sculptor and designer recognized for his artistic collaborations with Lladró. His work blends sculptural artistry with functional design, specializing in porcelain and ceramic creations that encompass decorative figures, lighting, and high-end home accessories.</t>
  </si>
  <si>
    <t>A self-taught artist and designer based in Los Angeles, California, Danielle Davis is recognized for her abstract works inspired by diverse cultures and personal experiences. Her designs often utilize acrylic and watercolor mediums to explore themes of emotion and nature through layered textures.</t>
  </si>
  <si>
    <t>David Phoenix is an American interior and product designer known for residential and hospitality projects characterized by a luxurious and classic aesthetic. Use this value only if the product is explicitly and officially credited to David Phoenix.</t>
  </si>
  <si>
    <t>Christopher Fareed is a contemporary multimedia artist and designer recognized for a modern approach that emphasizes innovative textures, organic forms, and the intersection of traditional craftsmanship with bold aesthetics. His work is characterized by high standards of refinement for residential and hospitality environments.</t>
  </si>
  <si>
    <t>An American home décor brand specializing in printed textiles and a variety of household accessories. Use this value if official product documentation explicitly credits E by Design as the designer.</t>
  </si>
  <si>
    <t>No public information is available for an individual designer or design team under this name. This value likely refers to a brand or manufacturer rather than a credited designer. Only select if the product is explicitly attributed to a designer of this name.</t>
  </si>
  <si>
    <t>Coe Steinwart is a multi-disciplinary designer and artist known for blending functional design with aesthetic detail. With an background in painting and design, their work focuses on ergonomic improvements and user-friendly features across various consumer product categories.</t>
  </si>
  <si>
    <t>A global brand and manufacturer recognized for its engineering and design of premium home products. This selection indicates that the item was conceptualized and created by the brand's professional in-house design team.</t>
  </si>
  <si>
    <t>Daphne Polselli is an artist and commercial designer primarily recognized for her work in illustration, typography, and surface design. Her work often features graphic patterns and stylized motifs. Use this value only if the product is explicitly attributed to her authorship.</t>
  </si>
  <si>
    <t>Diane Beesley is an artist and designer known for contributing original art and design collections to the home decor market. Her work often features unique creative elements developed for various residential applications.</t>
  </si>
  <si>
    <t>Denny Knight is an artist and designer recognized for creating vibrant, expressive prints and decorative designs. His creative work often blends classic themes with a bold artistic vision, contributing to various home decor collections and accessories.</t>
  </si>
  <si>
    <t>Diane Keaton is an American actress, director, and author who has collaborated on various interior design projects and home product collections. Her work often reflects a signature eclectic style, blending classic and modern elements with a focus on sophisticated, curated aesthetics.</t>
  </si>
  <si>
    <t>Laura Park is an American artist and designer recognized for her bright, abstract patterns and vibrant color palettes. As the founder of Laura Park Designs, she transforms original artwork into a diverse range of textiles and home décor accessories characterized by a whimsical, sophisticated aesthetic.</t>
  </si>
  <si>
    <t>A home décor and gift brand specializing in themed, sculptural collectibles and decorative accents. Product designs are typically developed by an in-house creative team rather than a specifically credited individual designer. When no individual is named, designer attribution refers to the Ebros Gift in-house team.</t>
  </si>
  <si>
    <t>A global lighting design and manufacturing company established in 1969 in Austria. EGLO is recognized for contemporary, innovative decorative solutions for modern home interiors, developed by an internal team of designers.</t>
  </si>
  <si>
    <t>A globally recognized brand known for its architectural approach to contemporary living. The company collaborates with world-renowned independent designers and utilizes a specialized in-house team to develop products defined by technical precision, thoughtful functionality, and high-quality materials.</t>
  </si>
  <si>
    <t>Eleonora Ferragatta is an Italian-American artist and designer recognized for original fine art, textiles, and limited-edition decor. Her work often features hand-painted, nature-inspired motifs, emphasizing a blend of classical elegance and modern functional design.</t>
  </si>
  <si>
    <t>An American designer best known for luxury lighting and home accents, characterized by traditional and transitional styles. Chapman’s work typically features classic shapes with contemporary updates and refined finishing details, often developed through collaborations with high-end brands.</t>
  </si>
  <si>
    <t>A designer and founder recognized for creating luxury performance goods characterized by fashion-inspired textiles. The work emphasizes a blend of sophisticated style and functional durability, utilizing high-quality materials suitable for diverse interior and exterior environments.</t>
  </si>
  <si>
    <t>Levi Wilson is an American designer and the founder of Hammerton, an artisanal design company. His work emphasizes handcrafted techniques, high-quality materials, and organic forms inspired by the natural world, resulting in contemporary functional art for the home.</t>
  </si>
  <si>
    <t>A digital art collective and home decor brand recognized for bridging the gap between artists and consumers. The brand collaborates with a wide range of classic and contemporary artists to offer high-quality, curated designs across various artistic styles and subjects.</t>
  </si>
  <si>
    <t>A home appliance brand known for modern kitchen and bath products. Empava focuses on combining contemporary aesthetics with functionality, reliability, and affordability, offering a diverse range of appliances and fixtures designed for both compact and full-size residential spaces.</t>
  </si>
  <si>
    <t>Ernest Massuet is a Spanish sculptor recognized for his refined and elegant representations of animals, characterized by anatomical precision and technical mastery. Often working in porcelain and bronze, his designs reflect a classical influence and a handcrafted aesthetic.</t>
  </si>
  <si>
    <t>I do not have enough information to provide a biographical definition for James Restin. There is no publicly available information identifying an individual by this name as a recognized designer in the home goods or furniture industry. This value should only be selected if the product is explicitly credited to James Restin in the manufacturer's documentation.</t>
  </si>
  <si>
    <t>An individual designer and sculptor recognized for his contributions to product design and European ceramic production. His work is characterized by modern, streamlined aesthetics and collaborative craftsmanship in the creation of decorative and functional homeware.</t>
  </si>
  <si>
    <t>A brand and manufacturer specializing in accessible fixtures and wellness-oriented solutions designed for safety, comfort, and durability in residential and commercial environments. Products are developed by an internal design team focused on functional engineering and therapeutic features.</t>
  </si>
  <si>
    <t>An Egyptian-born, Canadian-American industrial designer renowned for his vibrant, futuristic, and democratic approach to furniture, home accessories, and interior design. Recognized for distinctive organic shapes, bold colors, and innovative use of materials for global brands.</t>
  </si>
  <si>
    <t>Jaime Hayon is an internationally acclaimed Spanish artist and designer known for a distinct creative universe that blurs the lines between art, decoration, and design. His work is characterized by optimistic aesthetics, bold colors, whimsical forms, and a deep commitment to craftsmanship.</t>
  </si>
  <si>
    <t>A design company known for offering a wide range of home and garden décor. Their in-house designers collaborate with artists to create decorative, message-driven designs across various categories, emphasizing individuality and creative self-expression through diverse collections.</t>
  </si>
  <si>
    <t>A renowned French architect and designer celebrated for innovative, essentialist forms that harmonize function and emotion. His work is characterized by fluid lines, organic shapes, and a thoughtful dialogue with nature, focusing on simplicity and modernity across various design disciplines.</t>
  </si>
  <si>
    <t>The J Paul Company is a promotional marketing and design firm based in Texas, USA. The company develops branded products and awards using an in-house design and production team. Individual designers are typically not credited.</t>
  </si>
  <si>
    <t>An American artist and studio owner who creates original fine art and mixed media works for residential and commercial interiors. Known for custom commissioned pieces and architectural-inspired designs, her work serves various sectors, including healthcare, hospitality, and corporate spaces.</t>
  </si>
  <si>
    <t>A renowned Spanish multidisciplinary designer and artist known for a playful, expressive style. His work is characterized by vibrant colors, bold forms, and an innovative approach that often reflects Mediterranean cultural influences. Mariscal has contributed iconic designs to the world of interiors and was a participant in the Memphis Group.</t>
  </si>
  <si>
    <t>A prominent British industrial and product designer recognized for his functional and pared-down approach. His work is characterized by simplicity and practical elegance, often collaborating with leading international brands to create understated objects intended for everyday use.</t>
  </si>
  <si>
    <t>There is currently no verifiable public information identifying James Brooksberry as a recognized professional designer or design studio. This value may refer to an in-house brand or exclusive entity without a documented individual designer profile.</t>
  </si>
  <si>
    <t>Jamie Graney is a designer specializing in surface and product design, including home decor. Their work often involves bold patterns and innovative use of materials, with products featured in collaborations and design events for contemporary interiors.</t>
  </si>
  <si>
    <t>J. Kent Martin is an American artist and product designer known for abstract works and product designs that bridge the worlds of fine art, architecture, and home furnishings. His work is defined by modern forms and a focus on material explorations.</t>
  </si>
  <si>
    <t>American designer and potter recognized for a distinctive aesthetic known as Modern American Glamour. His work is characterized by a bold, whimsical approach that merges mid-century modern influences with vibrant patterns, playful motifs, and a mix of irreverent luxury and polished craftsmanship.</t>
  </si>
  <si>
    <t>An interior designer and creative director with expertise in residential and commercial interiors, art consulting, and custom product design. Her work is known for integrating architectural and artistic elements to create purposeful and holistic spaces.</t>
  </si>
  <si>
    <t>Jose Javier Malavia is a Spanish sculptor and designer known for his refined technique and exploration of human emotion. Notable for his detailed work in porcelain and figurative art, his style often bridges traditional craftsmanship with contemporary aesthetics, characterized by sculptural elegance and artistry.</t>
  </si>
  <si>
    <t>A brand or entity whose products are designed by an internal team of designers and artisans rather than a specifically named individual. This attribution identifies the company's collective design studio as the source of the product's aesthetic and functional development.</t>
  </si>
  <si>
    <t>Refers to a design studio, architectural firm, or collaborative label rather than an individual designer. This entity is associated with the creative direction and execution of projects across various industries and design disciplines.</t>
  </si>
  <si>
    <t>Jordan Glassco Smith is a professional designer recognized for contributing unique creative concepts and aesthetic direction to product collections. This value attributes the design of the product to Jordan Glassco Smith.</t>
  </si>
  <si>
    <t>Europatex is a design company recognized for creative textiles and home trimmings. This value refers to products designed by its in-house collaborative studio rather than a specific individual. Use this selection only if the product is explicitly credited to the Europatex design team.</t>
  </si>
  <si>
    <t>An Argentine-born, Spanish-based designer internationally recognized for minimalist, functional designs. Pensi’s work is noted for its refined lines, elegant forms, and innovative use of materials, blending timeless aesthetics with modern industrial design principles.</t>
  </si>
  <si>
    <t>Jose Luis Santes is a Spanish sculptor and designer recognized for his detailed porcelain and ceramic creations, notably in collaboration with Lladró. His work emphasizes artistic craftsmanship and sculptural sensibility, often blending decorative artistry with functional design elements.</t>
  </si>
  <si>
    <t>Indicates the product design is explicitly attributed to designers John Strauss and Carisa Marie, or their collaborative design team. This value identifies items where these specific individuals or their studio are recognized as the primary creative contributors.</t>
  </si>
  <si>
    <t>Jose Maria Reina is a Spanish designer recognized for creating functional and visually striking items characterized by innovative forms. This value should only be used when the product is specifically attributed to the designer in official documentation.</t>
  </si>
  <si>
    <t>An influential Italian architect and designer (1917–2007) and founder of the Memphis Group. He is celebrated for his visionary contributions to postmodern design, characterized by vibrant colors, unconventional geometric forms, and a playful, experimental aesthetic.</t>
  </si>
  <si>
    <t>Enrico Cosi and Sergio Tabellini are the Italian designers and founders of Cosi Tabellini, a family-owned workshop established in 1954 in Brescia, Italy. They are known for their expertise in pewtersmithing, creating designs that blend traditional casting techniques with contemporary aesthetics.</t>
  </si>
  <si>
    <t>A Catalan industrial designer known for an innovative, futuristic approach that merges technology and art to create fluid, contemporary designs. His work is characterized by a unique synthesis of form and function, often resulting in iconic pieces recognized for their modern aesthetic.</t>
  </si>
  <si>
    <t>A renowned Spanish sculptor and designer known for his sophisticated and highly detailed artistic creations. His work often emphasizes intricate forms and delicate expressions, characterized by a blend of classical modeling and contemporary aesthetic elements.</t>
  </si>
  <si>
    <t>Jessica Hollander is an American botanical artist and founder of the lifestyle brand India &amp; Purry. Known for her detailed oil and watercolor paintings of flora, her work merges fine art with home decor by translating original botanical renderings into various functional designs.</t>
  </si>
  <si>
    <t>A lifestyle brand specializing in home goods, drinkware, and accessories. Products under this name are developed by an in-house design team rather than a single individual. Designer attribution refers to the internal creative group responsible for the product's aesthetic and functional design.</t>
  </si>
  <si>
    <t>American interior designers recognized for their timeless, classically inspired aesthetic. Designing together under the "Mr. &amp; Mrs. Howard" name, their work is characterized by refined traditional styles, architectural detailing, and a focus on balance, comfort, and livability.</t>
  </si>
  <si>
    <t>A designer renowned for luxury home décor inspired by vibrant colors, nature, and global travels. Known for handcrafted pieces that blend signature enamel and mother-of-pearl finishes, creating a distinctive, artistic aesthetic across various lifestyle and home collections.</t>
  </si>
  <si>
    <t>An acclaimed American designer recognized for an expressive, sculptural style that blends contemporary and vintage influences. Her work is characterized by a fearless use of form and texture, sophisticated color palettes, and a juxtaposition of architectural and organic elements.</t>
  </si>
  <si>
    <t>An American artist and designer recognized for her vibrant, abstract patterns and sophisticated use of color. Founder of Laura Park Designs, she specializes in transforming original, painterly artwork into digital patterns for textiles and home decor, characterized by a playful and modern aesthetic.</t>
  </si>
  <si>
    <t>Kurt Merki Jr. is a Swiss-Ghanaian designer known for a diverse range of work spanning furniture, industrial design, and architecture. His approach often blends cultural influences and emphasizes precision and functionality. This value indicates that the product was created by or in collaboration with his design studio.</t>
  </si>
  <si>
    <t>Karin Reiter is a designer and the founder of Tourmaline Home, recognized for her work with textiles and home decor. Her designs often blend vintage-inspired aesthetics with modern materials to create distinctive, high-end collections.</t>
  </si>
  <si>
    <t>An Armenian-American artist and founder of Karo Studios, recognized for creating contemporary 3D glass and metal sculptures. His work often integrates architectural principles, precision engineering, and abstract geometric forms to explore themes of balance, light, and nature.</t>
  </si>
  <si>
    <t>A home product company recognized for its in-house design team's approach to modern, functional products. Designs are characterized by sleek, contemporary aesthetics and practical construction, blending innovation with timeless appeal to enhance interior spaces.</t>
  </si>
  <si>
    <t>MTI Baths is an American company established in 1988, focused on the design and manufacture of luxury products. Its designs are primarily attributed to an in-house team rather than a single individual. Use this tag only if product documentation explicitly credits the company as the designer.</t>
  </si>
  <si>
    <t>Lily refers to a brand or design studio rather than a recognized individual designer. Product attribution is typically credited to an in-house design team or the entity itself rather than a single individual.</t>
  </si>
  <si>
    <t>Levi Wilson is an American designer and the founder of Hammerton, a company recognized for artisanal craftsmanship and decorative home accents. Wilson’s work emphasizes handcrafted design, high-quality materials, and inspiration from natural forms to create functional art for contemporary interiors.</t>
  </si>
  <si>
    <t>LeadGoods is a company specializing in customizable apparel, home decor, and gifts. Their creative team develops embroidered and printed designs for a variety of consumer products, often focusing on seasonal, family, and occasion-based motifs and personalized elements.</t>
  </si>
  <si>
    <t>Julie Neill is an American designer and artist based in New Orleans, renowned for her bespoke, sculptural creations. Drawing on fine art and interior design backgrounds, she creates collections characterized by organic forms, classical inspiration, and a dedication to handmade detail.</t>
  </si>
  <si>
    <t>A designer recognized for creating sculptural works characterized by classical influences and handcrafted techniques. Often associated with artistic porcelain and ceramic designs, his work emphasizes aesthetic detail and traditional craftsmanship.</t>
  </si>
  <si>
    <t>Lillian August is an American interior designer and textile artist known for blending classic, traditional, and modern aesthetics. Her signature style features an expressive use of color and pattern, often inspired by English country and American luxury lifestyles.</t>
  </si>
  <si>
    <t>Kent Wilcoxson Jordan is an artist and designer recognized for digital art and framed works. Indicates that the product is formally credited to this individual. Do not apply this value unless product documentation explicitly identifies Kent Wilcoxson Jordan as the designer.</t>
  </si>
  <si>
    <t>Refers to the collective in-house design team at Mode Living. Designs are developed collaboratively by the brand's internal creative team rather than being attributed to a specific individual designer.</t>
  </si>
  <si>
    <t>Karim Rashid is an Egyptian-born, Canadian-American industrial designer renowned for a vibrant, futuristic, and democratic approach to design. His work is characterized by distinctive organic shapes, bold colors, and an innovative use of materials to create functional and expressive objects.</t>
  </si>
  <si>
    <t>Kevin O’Brien is an American designer and artist recognized for his work in high-end textiles and home decor. Known for founded Kevin O’Brien Studio, his work is characterized by original hand-painted and hand-dyed techniques, vibrant colors, and unique surface treatments.</t>
  </si>
  <si>
    <t>Lynn McKernan is a designer and the owner of Rightside Design Studio, specializing in coastal-themed home décor and textiles. She is recognized for incorporating nature-inspired motifs and artistic creativity into her designs.</t>
  </si>
  <si>
    <t>A curation-focused brand and design studio that collaborates with a range of contemporary artists and designers to create varied collections. This value identifies products developed by the brand's in-house design team or through its curated artistic partnerships.</t>
  </si>
  <si>
    <t>A designer or creative studio involved in professional product design and creative direction. The work typically blends functional and aesthetic elements for residential environments, often featured in curated collections focused on original design concepts and stylish accents.</t>
  </si>
  <si>
    <t>A luxury brand characterized by artisanal craftsmanship and European-inspired elegance. Designs utilize premium materials and sculptural, handcrafted aesthetics to create high-end, sophisticated elements for residential and commercial environments.</t>
  </si>
  <si>
    <t>Refers to the specific designer, design studio, or brand responsible for the aesthetic and structural conception of the product. This value should be selected only when product documentation or secondary research explicitly credits M. FEDER as the designer.</t>
  </si>
  <si>
    <t>There is insufficient public information to reliably identify 'Yasi' as an individual designer or design studio. This value is generally not applicable for designer attribution unless the product documentation explicitly credits an individual by this name. For most products, this tag should be treated as unavailable.</t>
  </si>
  <si>
    <t>Loretta Hui-shan Yang is an acclaimed Taiwanese artist and co-founder of Liuli Crystal Art, recognized as a pioneer in contemporary glass art. She is renowned for reviving the ancient pate-de-verre (lost-wax) casting technique, creating intricate works that blend traditional Asian philosophy with modern artistic expression.</t>
  </si>
  <si>
    <t>Lyn Hamer Cook is an artist and designer known for her animal-themed artwork and pet portraiture. Her work focuses on capturing the personality and movement of animals, often utilizing acrylic, oil, and pastel mediums, and is featured on a variety of home décor products.</t>
  </si>
  <si>
    <t>A design-focused brand characterized by an in-house creative team and high-profile artist collaborations. The studio emphasizes original patterns and textures, developing collections through a blend of internal expertise and partnerships with recognized interior designers.</t>
  </si>
  <si>
    <t>An international brand specializing in home textile products, known for utilizing premium materials and meticulous craftsmanship to create decorative and functional items rooted in quality and timeless aesthetics. Use this value only if the product is explicitly attributed to this brand as the designer.</t>
  </si>
  <si>
    <t>Renowned German industrial designer recognized for a minimalist, functionalist approach. Characterized by a reduced design language that utilizes geometric forms, unexpected angles, and technical sophistication, his work emphasizes efficiency and the innovative application of materials.</t>
  </si>
  <si>
    <t>Ludovica and Roberto Palomba are an award-winning Italian designer duo and founders of Palomba Serafini Associati. Internationally celebrated for their holistic approach, their work is recognized for its timeless balance of innovation and tradition across various industrial and product designs.</t>
  </si>
  <si>
    <t>Refers to a design or collection attributed to the internal design team and artisans of Kaleen. This designation indicates a collaborative studio approach to design rather than the work of a single named individual.</t>
  </si>
  <si>
    <t>A textile and home designer known for integrating innovative technologies with a bold, contemporary aesthetic. Her work is characterized by the use of vibrant colors and intricate patterns inspired by her background in textile design and traditional craftsmanship.</t>
  </si>
  <si>
    <t>Malanta Knowles is a designer with nearly 40 years of experience in the home decor industry, focusing on traditional Southern style with contemporary influences. Her work involves developing product concepts, managing design strategy, and integrating artistic trends into commercial collections.</t>
  </si>
  <si>
    <t>Mark D. Sikes is an esteemed American interior and product designer recognized for his fresh take on classic styles. Known for all-American sensibilities and timeless, classically inspired aesthetics, his work often features blue-and-white palettes and approachable elegance.</t>
  </si>
  <si>
    <t>An Austrian-born French designer renowned for his pioneering experimentation with materials and the integration of diverse technologies. A multi-time recipient of the Compasso d'Oro award, his work is characterized by a multifaceted approach that combines technical innovation with a contemporary aesthetic.</t>
  </si>
  <si>
    <t>Mesut Bozkurt is a professional designer primarily recognized for his work in user interface (UI), user experience (UX), and game design. This value should only be selected if the individual is explicitly credited as the product's designer in official documentation.</t>
  </si>
  <si>
    <t>Meirxifeng Design is a design studio and manufacturer based in Southern California, specializing in both contemporary and traditional styles. Product designs are developed by an in-house team with expertise in material selection and modern manufacturing techniques. Attribution is typically given to the Meirxifeng Design group rather than a single individual.</t>
  </si>
  <si>
    <t>Marcel Wanders is a renowned Dutch designer and art director celebrated for innovative designs that merge whimsical, historical references with modern materials. He is the founder of Marcel Wanders studio and co-founder of the design label Moooi, known for his unique, expressive aesthetic.</t>
  </si>
  <si>
    <t>Oiva Toikka (1931–2019) was a celebrated Finnish designer renowned for his imaginative approach to glass, ceramics, and textiles. He is best known for creating iconic collections characterized by vibrant patterns, playful shapes, and nature-inspired motifs.</t>
  </si>
  <si>
    <t>Italian architect and designer recognized for innovative architecture and product design. A founding member of the Memphis Group, Thun’s work focuses on timeless simplicity, sustainability, and aesthetic durability, earning numerous international accolades including the Compasso d'Oro.</t>
  </si>
  <si>
    <t>The Enchanted Home is a home decor brand and studio specializing in classic and elegant accessories, including blue and white porcelain, lighting, and seasonal accents. Their collections are recognized for timeless patterns, high-quality craftsmanship, and a refined residential aesthetic.</t>
  </si>
  <si>
    <t>A historic British design house and manufacturer established in 1759, recognized for its heritage in fine ceramics and decorative arts. In product design, this refers to items created by the brand's internal creative team or through official collaborations, emphasizing traditional craftsmanship and high-end aesthetic standards.</t>
  </si>
  <si>
    <t>Marytumm is an artist and designer specializing in contemporary art, abstract painting, and custom artwork for home decor. Additional designer information is not currently available.</t>
  </si>
  <si>
    <t>Indicates that the product was developed by the National Outdoor Living in-house design team or studio. This attribution is used when the brand's internal design department is responsible for the product's conceptual and functional development rather than a specific individual designer.</t>
  </si>
  <si>
    <t>An award-winning American designer recognized for a signature style that blends modern simplicity with artisanal craftsmanship. Her work is characterized by organic, sculptural forms and the use of high-quality, hand-hammered materials to create enduringly beautiful and functional home goods.</t>
  </si>
  <si>
    <t>Melissa Hyatt is an accomplished watercolor artist, surface pattern designer, and illustrator known for her coastal-inspired aesthetic. Her work often features original watercolor art and licensed designs for home decor and lifestyle brands, reflecting her background as a textile design director.</t>
  </si>
  <si>
    <t>Naomi Neilson is a designer and entrepreneur best known as the founder of Native Trails, a company established in 1996 that creates sustainable home furnishings and decor. Her work emphasizes artisan traditions, sustainability, and fair trade practices.</t>
  </si>
  <si>
    <t>A brand or design-focused entity recognized for developing products with an emphasis on functional and decorative solutions. This value should only be used when the brand is explicitly credited with the design of the product; otherwise, use Does Not Apply.</t>
  </si>
  <si>
    <t>A design collaboration between luxury brand Ann Gish and The Metropolitan Museum of Art (The Met), featuring products inspired by the museum's vast global archives. The collection translates historic motifs, patterns, and artworks into contemporary designs for the home.</t>
  </si>
  <si>
    <t>A renowned American entrepreneur and lifestyle expert recognized for her expertise in home décor and functional design. Her collections often feature aesthetic and practical elements developed under her creative direction or in collaboration with her in-house design teams.</t>
  </si>
  <si>
    <t>A design studio or brand label characterized by a collaborative in-house design team rather than a single named individual. Their work typically features streamlined, contemporary aesthetics tailored for modern living environments. Selection should be verified through product documentation.</t>
  </si>
  <si>
    <t>Melea Markell is an American interior and product designer recognized for her Parisian-inspired designs. She is known for bringing a modern, feminine interpretation to classical forms and antiques, creating pieces that blend traditional elegance with contemporary sophistication.</t>
  </si>
  <si>
    <t>An American design and manufacturing brand established in 1988, distinguished by a focus on handcrafted quality, technical innovation, and extensive customization. The brand’s aesthetic is developed by an in-house design and engineering team recognized for award-winning excellence and high-end functional design.</t>
  </si>
  <si>
    <t>Michael Updike is an American sculptor and designer recognized for creating decorative and functional home accessories. His work often emphasizes handcrafted details and original sculpted prototypes, blending artistic value with practical application in home decor.</t>
  </si>
  <si>
    <t>An internationally acclaimed Japanese industrial designer known for minimalist, user-centric designs. His work emphasizes intuitive function, simplicity, and seamless integration into the environment, often focusing on the observation of unconscious human behavior.</t>
  </si>
  <si>
    <t>Refers to several brands and manufacturing firms often associated with Italian-inspired craftsmanship. This value signifies products developed by a family-run company or in-house production team rather than an individual designer or independent design studio.</t>
  </si>
  <si>
    <t>A leading importer and wholesaler of seasonal and holiday decorative products. Founded in 1990, the company is recognized for its innovation and broad range of home decor items, often featuring in-house design teams or specific brand-led concepts.</t>
  </si>
  <si>
    <t>An American industrial designer and co-founder of Cerno, recognized for a modern and contemporary design aesthetic that emphasizes clean lines and minimalist forms. He is known for integrating natural materials with high-performance engineering to create functional, aesthetically driven designs.</t>
  </si>
  <si>
    <t>A leading manufacturer recognized for innovative technology, high-quality materials, and contemporary design. Products are engineered for high performance and durability in both residential and commercial applications, utilized globally to provide functional and aesthetic solutions for modern interior spaces.</t>
  </si>
  <si>
    <t>Renowned Italian designers recognized for their influential collaborations in architecture and industrial design. Their joint work is celebrated for merging functional engineering with timeless modern aesthetics, most notably exemplified by the iconic and award-winning Tolomeo series.</t>
  </si>
  <si>
    <t>The Mode Living Team refers to the collective in-house designers for the brand. This designation is used when design work is developed collaboratively by the company's internal creative staff rather than being attributed to a specific individual designer.</t>
  </si>
  <si>
    <t>Monika Lubkowska-Jonas is a designer and creative director known for her leadership at LSA International, where she blends contemporary design with traditional craft techniques. Her work emphasizes simplicity, quality, and originality in home decor.</t>
  </si>
  <si>
    <t>A brand known for stylish home goods and furnishings. Products under this label are typically the result of proprietary in-house design rather than a named individual or specific design studio. This value should only be used if the brand is explicitly credited with the product's design.</t>
  </si>
  <si>
    <t>A brand or design group that focuses on blending traditional craftsmanship with contemporary design principles. This selection indicates that the product’s aesthetic or construction was developed by the New World Trading creative team, often emphasizing the use of natural materials and artisanal techniques.</t>
  </si>
  <si>
    <t>A design house that collaborates with artisans across the African continent to create contemporary pieces. It is characterized by the combination of sustainable, indigenous materials and traditional craftsmanship with modern aesthetics.</t>
  </si>
  <si>
    <t>A Danish design company established in 1996 that specializes in products blending Scandinavian design sensibilities with classic French-country and rustic elements. All designs are developed in-house, characterized by clean lines, functional elegance, and a focus on timeless comfort.</t>
  </si>
  <si>
    <t>An American company and long-standing manufacturer known for producing a vast array of residential and commercial surface designs. Their prolific in-house design studio develops a broad portfolio of patterns and artistic prints ranging from traditional to contemporary styles.</t>
  </si>
  <si>
    <t>Indicates that the product or collection was created by or in collaboration with the designer Fran Bradburn. Use this value only when official product documentation or marketing materials explicitly credit the design to this individual.</t>
  </si>
  <si>
    <t>Refers to products created by the designer or design studio known as Yasi. This value should only be selected when the product is explicitly credited to this designer in official documentation. If no such attribution exists, select Does Not Apply.</t>
  </si>
  <si>
    <t>An influential American interior designer renowned for her luminous, timeless aesthetic that blends European classics with modern sensibilities. Her signature style is characterized by elegant, refined spaces and sophisticated product collections noted for their approachable luxury.</t>
  </si>
  <si>
    <t>An artist and designer recognized for his work in home decor, fine art, and lifestyle accessories. Selection indicates the product is designed or influenced by his distinct artistic style and creative vision.</t>
  </si>
  <si>
    <t>A celebrity interior and product designer recognized for a bold, global-modern aesthetic that fuses fashion-forward concepts with cultural references. Her work is characterized by eclectic patterns, modern lines, and a sophisticated, multi-layered approach to creating elevated, livable style.</t>
  </si>
  <si>
    <t>Tammy Keller is an American contemporary artist and interior designer known for her abstract art and vibrant color palettes. Her work often blends creative expression with personal style, drawing inspiration from nature and contemporary aesthetics to create distinctive home interior designs.</t>
  </si>
  <si>
    <t>A brand known for design and manufacture through an in-house team of designers and engineers, with no individual designer or design team specifically credited.</t>
  </si>
  <si>
    <t>Glow Crystal Lighting is a decor brand known for incorporating crystal and quartz into its designs. Products are developed by an in-house design team with no individual designer or studio specifically credited for design authorship.</t>
  </si>
  <si>
    <t>An American interior designer and home decor stylist known for a curated approach to modern design. This creative influence blends cozy textures with meaningful accents to create distinctive and inviting spaces.</t>
  </si>
  <si>
    <t>Refers to an individual or studio functioning as a designer or creative entity. This designation is applied when the product is explicitly credited to this name in official documentation or through recognized brand collaborations.</t>
  </si>
  <si>
    <t>An architecture and home design firm recognized for coastal residential projects. This attribution should only be applied when product documentation explicitly credits the firm as the designer; it does not refer to a motif or biological classification.</t>
  </si>
  <si>
    <t>A New York-based botanical artist and designer known for creating sculptural items and decor that merge contemporary art with horticultural design. Her work often features organic forms, urban ecological themes, and a systems-based approach to materials.</t>
  </si>
  <si>
    <t>Teak Smith is a brand and design collective recognized for its commitment to craftsmanship and refined aesthetics. Founded by a group of artisans and designers, the brand focuses on creating products with clean lines and minimalist silhouettes, utilizing sustainably sourced materials and traditional artisanal values.</t>
  </si>
  <si>
    <t>An American hardware manufacturer recognized for detailed, artisan designs handcrafted by an in-house team. The brand serves as a designer-led studio specializing in products with intricate relief and artistic motifs.</t>
  </si>
  <si>
    <t>A kitchenware and home products brand characterized by an internal design team that emphasizes practicality, modern functionality, and innovation. Use this value when a product is explicitly credited as an original design by the brand’s in-house group or a named designer.</t>
  </si>
  <si>
    <t>Feiss is a company and design house established by Murray Feiss in 1955, recognized for developing a broad range of products that blend traditional and modern styles. This value refers to the manufacturer's in-house design team rather than a specific individual designer.</t>
  </si>
  <si>
    <t>A celebrated Finnish designer and artist (1931–2019) renowned for an imaginative, vibrant, and nature-inspired aesthetic. His work is characterized by bold patterns and playful forms that represent a departure from classic Nordic functionalism through the experimental use of color and texture.</t>
  </si>
  <si>
    <t>The creative process behind the product is led by an internal design team, ensuring each item features the brand’s signature blend of color, pattern, and functionality. This value applies when the product development is credited to the brand's in-house studio rather than an individual designer.</t>
  </si>
  <si>
    <t>A home decor brand and design studio specializing in classic, elegant aesthetics and traditional patterns. Recognized for high-quality craftsmanship and a refined style, the brand develops sophisticated collections intended for upscale residential interiors.</t>
  </si>
  <si>
    <t>A historic British design house founded in 1759, recognized for its heritage in craftsmanship and decorative arts. This attribution signifies a product developed by the brand’s in-house creative team or through documented collaborations with recognized designers.</t>
  </si>
  <si>
    <t>A German designer and artist recognized for work in contemporary glass and ceramics, focusing on minimalist forms and innovative techniques. Attributed designs typically feature clean, functional lines, often produced through collaborations with specialized studios.</t>
  </si>
  <si>
    <t>I do not have enough information to provide a specific professional biography for Tim Klein as a designer. There is no publicly available information or industry documentation identifying a recognized designer or design studio by this name. This value should only be used if product documentation explicitly credits Tim Klein as the designer.</t>
  </si>
  <si>
    <t>Exotic India is a retailer and brand specializing in traditional Indian art, home decor, and handicrafts. Products are typically crafted by regional artisans rather than a single individual designer or design studio. This value should only be used when Exotic India is specifically credited as the designer.</t>
  </si>
  <si>
    <t>Quorum is a brand and manufacturer recognized for its in-house industrial design team, known for producing products characterized by craftsmanship and innovative design within the home industry. This designation is used when the product design is attributed to the brand's internal studio.</t>
  </si>
  <si>
    <t>An American fashion designer internationally renowned for a modern and sophisticated aesthetic. Her work is characterized by a balance of contemporary flair and timeless elegance, extending from couture bridal fashion into a comprehensive lifestyle brand including refined homeware collections.</t>
  </si>
  <si>
    <t>A brand and design team recognized for manufacturing and product development. This selection identifies the product as an original design attributed to the brand's internal design studio or collective engineering team.</t>
  </si>
  <si>
    <t>The in-house creative team for the luxury brand founded by James Tufenkian, focused on high-end, handcrafted artisanal designs. The studio emphasizes a collaborative design philosophy, often crediting the collective team rather than a single individual for their original and timeless works.</t>
  </si>
  <si>
    <t>Francisco Polope is a Spanish sculptor and designer, recognized as a master sculptor at Lladró, renowned for high-porcelain figurative art. His expertise includes design and sculpting, characterized by detailed, expressive forms and technical mastery with porcelain and ceramics.</t>
  </si>
  <si>
    <t>Hiroshi Koshitaka is a self-taught designer known for creating collections influenced by Japanese architecture, nature, and traditional artisanal techniques. His work often emphasizes a blend of artistic detail and functional drama, reflecting a background in architectural installations.</t>
  </si>
  <si>
    <t>Oussum is a brand or design group rather than an individual designer or studio. Specific designer information for this entity is currently unavailable. Use this value only if the product is explicitly credited to Oussum; otherwise, select Does Not Apply.</t>
  </si>
  <si>
    <t>Sylvia Corban is an American artist and designer known for realistic watercolor artworks inspired by the wildlife and coastal scenery of the Gulf Coast. Her designs are featured across a variety of home goods, often depicting regional culture, nature, and coastal themes.</t>
  </si>
  <si>
    <t>Suzanne Renaud (1951–2011) was an American artist and designer recognized for her creative contributions to decorative and functional home products. Best known for whimsical animal portraiture, her work emphasizes originality and detail, often reflecting distinctive and playful artwork.</t>
  </si>
  <si>
    <t>The Nude design team is an in-house creative collective responsible for the design and development of products for the Nude brand. Design work is attributed to the collaborative team rather than an individual, reflecting a shared creative vision and a contemporary, minimalist aesthetic.</t>
  </si>
  <si>
    <t>A home furnishings brand where product development and design are typically credited to an in-house design team or studio. This value is used when the concept and creation of the product are attributed to the brand's internal design department rather than a specific individual designer.</t>
  </si>
  <si>
    <t>A name associated with several creative professionals, including architects and editors, though it lacks a singular, widely recognized commercial product design profile. This designation should be applied only when product documentation or manufacturing records explicitly credit the design to an individual or studio of this name.</t>
  </si>
  <si>
    <t>A creative team of designers and artisans specializing in high-quality home accessories. The brand blends global influences and innovative design approaches to create vibrant and distinctive home décor.</t>
  </si>
  <si>
    <t>A German company specializing in bathroom and kitchen fixtures known for innovative technology, high-quality materials, and contemporary design. Their products are utilized in residential and commercial interiors worldwide, focusing on functional and water-efficient solutions.</t>
  </si>
  <si>
    <t>George Dyachenko is a contemporary artist and illustrator known for watercolor and mixed-media artworks, often centered on animal and nature themes. His work is distinguished by its realistic and expressive depictions.</t>
  </si>
  <si>
    <t>Hilary Farr is a British-Canadian designer, businesswoman, and television host recognized for her work on HGTV's Love It or List It. As president of Hilary Farr's Designs, she is known for creating practical yet sophisticated residential interiors and home furnishing collections.</t>
  </si>
  <si>
    <t>Indicates the product is specifically designed or credited to Thom Filicia, a renowned interior designer and lifestyle expert known for his classic simplicity and modern flair. This value should only be selected when product documentation explicitly attributes the design to Thom Filicia or his firm.</t>
  </si>
  <si>
    <t>A global equipment and home goods brand recognized for providing a wide range of tools and industrial products. Selection indicates the product is manufactured or branded by VEVOR, rather than being the work of a specific individual designer or independent design studio.</t>
  </si>
  <si>
    <t>A collaborative in-house design team based in Vermont, recognized for blending traditional blacksmithing techniques with modern innovation. The studio is composed of designers from diverse backgrounds in architecture, sculpture, and jewelry, focused on handcrafted, artisanal aesthetics.</t>
  </si>
  <si>
    <t>A design team or studio recognized for its contributions to home decor and furnishings. Precise biographical or historical details regarding the entity's authorship in specific product categories may be limited.</t>
  </si>
  <si>
    <t>A global design brand and manufacturer known for modern and vintage-inspired pieces that emphasize craftsmanship, innovative materials, and refined style. Products are developed and curated in-house by the brand's design team rather than attributed to a single named individual designer.</t>
  </si>
  <si>
    <t>A home decor company specializing in decorative accessories and accent pieces for residential and commercial interiors. Products are typically developed by an in-house design team or attributed to the brand's design staff, rather than a single individual designer.</t>
  </si>
  <si>
    <t>A multidisciplinary design studio and lifestyle brand based in Madrid and New York that specializes in collectible homeware. The brand is recognized for its commitment to global craftsmanship and the creation of refined, form-based pieces rooted in artisanal skill and timeless design.</t>
  </si>
  <si>
    <t>An American design house and brand recognized for its heritage in luxury patterns and sophisticated aesthetics. Characterized by high-quality material standards, the brand applies its signature style across various interior categories through a company-led design approach.</t>
  </si>
  <si>
    <t>An American manufacturer established in 1922, recognized for its traditional and modern pieces. This value refers to company-led or collective design by an in-house creative team rather than attribution to a single individual designer.</t>
  </si>
  <si>
    <t>A manufacturing and design entity recognized for producing a variety of home goods. This selection identifies the product as an original creation attributed to this specific design house or manufacturer rather than an individual independent designer.</t>
  </si>
  <si>
    <t>An influential American design house and manufacturer established in 1831, recognized for its historic contributions to craftsmanship and artistry. Products associated with this name reflect the creative leadership of the company’s internal design department, which has collaborated with renowned master silversmiths and artisans to produce iconic traditional and modern styles.</t>
  </si>
  <si>
    <t>Varvara Sivas is the co-founder and creative lead at D.V. KAP Home. She is recognized for her design direction and role in shaping the aesthetic vision for high-quality collections of home accessories and decorative textiles.</t>
  </si>
  <si>
    <t>An American manufacturing company founded in 1970 and based in Houston, Mississippi, known for producing a wide range of home goods and interior products. Items credited to this name are typically developed through the company's in-house design and engineering teams.</t>
  </si>
  <si>
    <t>Graywolf Design Co is a design studio and collective. This value should only be used if the product documentation explicitly credits the studio for the creative direction or design of the item.</t>
  </si>
  <si>
    <t>Howcool is a home decor and furniture brand known for modern accent pieces and portable furniture. Its products are developed by an internal design team, focusing on combining ergonomic functionality with contemporary styling for home organization and interior aesthetics.</t>
  </si>
  <si>
    <t>Refers to an individual or studio credited with the creative direction or original design of the product. Information regarding this designer's specific background or portfolio may be limited or unavailable for certain product categories.</t>
  </si>
  <si>
    <t>An art and wall decor studio specializing in contemporary prints and canvases for residential and commercial interiors. Known for producing a wide range of decorative works, the studio focuses on collaborative and commercial artistic designs that provide visual impact for varied living and hospitality spaces.</t>
  </si>
  <si>
    <t>Vickerman products are developed by an in-house creative team, representing the design work of a collaborative group rather than any one individual. As a tag value, Vickerman refers to company-led or collective design across various seasonal and decorative categories.</t>
  </si>
  <si>
    <t>A design studio and brand known for creating a range of contemporary and classic home products. The brand emphasizes quality craftsmanship, versatile finishes, and a signature blend of modern aesthetics and functional utility suitable for residential spaces.</t>
  </si>
  <si>
    <t>An acclaimed Italian architect and designer recognized for a contemporary, humanist approach characterized by sophisticated minimalism, essential lines, and harmonious proportions. His work emphasizes a balance between formal rigor and creative freedom, often utilizing refined materials.</t>
  </si>
  <si>
    <t>Indicates that the product was developed by the in-house design or creative team at Wexford Home, a manufacturer and distributor known for a wide range of home decor. This value should be applied only when the brand is explicitly credited with the design or conceptual creation of the item.</t>
  </si>
  <si>
    <t>Homebody Accents is a creative design team and manufacturer known for producing decorative accents for home interiors. The studio develops distinctive product designs that reflect the brand's approach to home styling and personalization through innovative craftsmanship.</t>
  </si>
  <si>
    <t>Pride Sasser is a designer and founder recognized for an innovative and eclectic aesthetic. With a background in sculpture and extensive international experience, Sasser blends artistic expression with specialized material use to create unique designs across various product categories.</t>
  </si>
  <si>
    <t>A brand that utilizes an in-house team for design and development. This value is used when the brand itself is the credited design entity, rather than a specific individual designer or an independent design studio.</t>
  </si>
  <si>
    <t>No known designer profile or attribution found; appears to be a brand or entity with no individual designer credited. Only use this value if a specific designer or design team within the organization is not identified.</t>
  </si>
  <si>
    <t>Flemming Lassen (1902–1984) was a Danish architect and designer, and a pioneer of Danish functionalism. Known for his contributions to Scandinavian modernism, his work is celebrated for its simple, functional forms, clean lines, and use of natural materials.</t>
  </si>
  <si>
    <t>A contemporary brand and creative team recognized for a design aesthetic that blends classic silhouettes with unique, personalized, or modern elements. Selection indicates the product is officially credited to the brand's design portfolio.</t>
  </si>
  <si>
    <t>Fernando Martinez is a multidisciplinary artist and designer recognized for his work in ceramics, lighting, and furniture. His creative approach often integrates technical engineering with fine arts, emphasizing an exploration of cultural intersection, narrative forms, and tactile surfaces.</t>
  </si>
  <si>
    <t>An international, award-winning industrial design studio founded in Germany in 1987, specializing in product and interaction design that emphasizes functionality, user experience, and long-lasting aesthetic value.</t>
  </si>
  <si>
    <t>Alicia Engman is an American entrepreneur and co-founder of the design studio Hygge &amp; West, recognized for creating artisanal patterns and home decor collections. Her work often emphasizes collaborative, hand-drawn designs that blend modern and traditional aesthetics.</t>
  </si>
  <si>
    <t>A global home decor and furnishing brand recognized for its versatile collections and commitment to functional design. This attribution indicates that the product was developed by the brand's in-house design team or manufactured as part of its proprietary line of home goods.</t>
  </si>
  <si>
    <t>An in-house creative team and lifestyle brand recognized for developing a wide range of home textiles and decorative accents. This value identifies products designed and released under the Sweet Jojo Designs studio name.</t>
  </si>
  <si>
    <t>RBROHANT is a global design brand and manufacturer recognized for avant-garde and modern aesthetics. The brand utilizes a collaborative approach to product development, integrating a team of international in-house and external designers to create innovative and high-quality designs.</t>
  </si>
  <si>
    <t>Ramón Esteve is a Spanish architect and industrial designer celebrated for minimalist and harmonious creations. As the founder of Ramón Esteve Estudio, his work is characterized by clean lines, functional elegance, and architectural inspiration, balancing modern sophistication with simplicity.</t>
  </si>
  <si>
    <t>A Japanese home goods company recognized for minimalist and functional design. Its products are characterized by a modern aesthetic focused on space-saving solutions and organization, developed by an in-house design team.</t>
  </si>
  <si>
    <t>Refers to products designed by or explicitly credited to Tycolit, a brand recognized for its functional design and engineering standards. This value should only be selected when the product's creative origin is officially documented as Tycolit.</t>
  </si>
  <si>
    <t>A lighting brand and division of Quorum International specializing in modern, energy-efficient solutions for residential and commercial interiors. Known for a sleek, sophisticated aesthetic, the brand emphasizes sharp angles, clean lines, and geometric styling across its product offerings.</t>
  </si>
  <si>
    <t>A type of steel alloyed with elements such as chromium, nickel, molybdenum, or manganese to enhance mechanical properties like strength, toughness, and corrosion resistance. This material is used for components requiring increased durability and performance under demanding conditions.</t>
  </si>
  <si>
    <t>A brand and company specializing in home textiles and accessories. When credited as a designer, it indicates that the products are developed by the company’s internal creative team or through a collaborative, team-driven design approach rather than by a specific individual designer.</t>
  </si>
  <si>
    <t>An American manufacturer established in 1922, recognized for high-quality craftsmanship and a focus on traditional and transitional styles. Design development is typically attributed to the company's in-house team unless an individual designer is explicitly credited.</t>
  </si>
  <si>
    <t>Robert Sonneman is a pioneering American designer recognized for his modernist and functionalist approach to lighting and home furnishings. As the founder of SONNEMAN – A Way of Light, he is celebrated for innovative, architectural designs that utilize contemporary materials and sleek forms.</t>
  </si>
  <si>
    <t>A global manufacturer and distributor specializing in handcrafted products made from premium natural stones such as granite, marble, and onyx. The brand is recognized for its artisanal craftsmanship and use of high-quality materials to create unique, organic focal points for residential and commercial spaces.</t>
  </si>
  <si>
    <t>Ellen DeGeneres is an American lifestyle entrepreneur whose signature design style features relaxed mid-century and rustic modern influences. Her collections reflect an affinity for approachable, artful, and comfortable decor across various home product categories.</t>
  </si>
  <si>
    <t>Foersom and Hiort-Lorenzen MDD is a Danish design duo consisting of Johannes Foersom and Peter Hiort-Lorenzen. Renowned for their contributions to Scandinavian design, they create functional, aesthetically informed pieces characterized by craftsmanship, sustainability, and user-centered design.</t>
  </si>
  <si>
    <t>Dexsa is a design studio specializing in home décor and inspirational products. The brand's internal team is responsible for conceptualizing and developing the unique aesthetic and emotional appeal of its product offerings.</t>
  </si>
  <si>
    <t>The product is attributed to Vinform, which may represent a specific designer, design studio, or branded design team. This value should be used when the item's design is officially credited to this entity in the product documentation.</t>
  </si>
  <si>
    <t>Hardwood refers to wood harvested from deciduous trees, which lose their leaves annually. Valued for its durability and strength, it often features unique grain and color variations that develop richer character over time. Common examples include oak, maple, cherry, hickory, alder, and walnut.</t>
  </si>
  <si>
    <t>Patricia Urquiola is a Spanish architect and designer recognized for her innovative approach to contemporary industrial design and interiors. She leads a Milan-based studio, collaborating with leading global brands to create works known for blending artisanal techniques with industrial methods.</t>
  </si>
  <si>
    <t>Ron Rezek is an American industrial designer recognized for his modern aesthetic and contributions to contemporary product design. His work is characterized by simplicity and functional innovation, often emphasizing clean lines and a minimalist approach to product development.</t>
  </si>
  <si>
    <t>Hudson Valley Lighting Group is a brand and manufacturer of home goods and lighting fixtures, but it is not an individual designer or credited design studio. Selection indicates the product is associated with the brand entity rather than a specific individual designer.</t>
  </si>
  <si>
    <t>A designer or design studio specializing in home and lifestyle products. Rachel Lee is recognized for a personalized design approach that incorporates visual storytelling and creative intuition to create unique, human-centric experiences within the brand's specific aesthetic.</t>
  </si>
  <si>
    <t>Zaza Ergemlidze is a designer and the president of Zaer Ltd. International, a family-owned company specializing in unique, handcrafted decorative pieces. Known for distinctive artistic flair and skilled craftsmanship, Ergemlidze oversees the design and production of varied aesthetic collections.</t>
  </si>
  <si>
    <t>An American textile and design brand established in 1938, recognized for its luxury fabrics and sophisticated color palettes. The brand offers a wide range of patterns and textures, often adapted from its signature residential textiles into various home décor and interior design applications.</t>
  </si>
  <si>
    <t>Designer information is not currently available for this entity. This value should only be selected when there is verifiable documentation or a distinct credit naming Raul Rubio as the designer of the product.</t>
  </si>
  <si>
    <t>Ron McIntyre is an architect and designer recognized for a multidisciplinary approach to integrated architecture and planning. He specializes in creating collaborative, functional, and cost-conscious solutions for public and interior environments through a combination of artistic and technical expertise.</t>
  </si>
  <si>
    <t>Refers to products designed by or in collaboration with Roma Moulding, a company specializing in handcrafted designs and innovative mouldings. This indicates the item reflects the brand's creative heritage and specific design standards.</t>
  </si>
  <si>
    <t>Ralph Lauren is an iconic American fashion designer and founder of the Ralph Lauren Corporation, known for classic, luxury lifestyle products. His designs are characterized by a refined, timeless aesthetic often inspired by traditional, preppy, and equestrian motifs.</t>
  </si>
  <si>
    <t>Reflectionsonus Art Studio is an art and design studio recognized for creative and expressive works, particularly in fine art painting and graphic design. Products credited to this name are typically developed by the studio's principal artist(s), who bring artistic interpretation to items.</t>
  </si>
  <si>
    <t>Philippe Starck is an internationally recognized French designer and architect known for his innovative, boundary-pushing approach. His work is characterized by playful creativity, functional minimalism, and a philosophy of democratic design that blends bold aesthetics with everyday utility.</t>
  </si>
  <si>
    <t>Howcool is a home and outdoor goods brand that emphasizes ergonomic, portable, and modern designs for the home. Their products are typically developed by an internal design team rather than a specific credited designer, focusing on affordable functionality and interior styling.</t>
  </si>
  <si>
    <t>Refers to products created or inspired by the work of designer Tony Zaza. This designation identifies items that feature the specific aesthetic, style, or technical specifications attributed to this designer or design house.</t>
  </si>
  <si>
    <t>Greentouch Home is a home furnishings brand and manufacturer. If the product is explicitly credited to a specific Greentouch Home design team or named designer, this value indicates the involvement of their in-house creative studio in the design and development process.</t>
  </si>
  <si>
    <t>An American company founded in 1946 known for its design and manufacturing of home goods. Products are developed by an in-house creative team, representing the design work of a collaborative group rather than any one individual. This refers to company-led or collective design.</t>
  </si>
  <si>
    <t>A Canadian design company and brand known for creating innovative, functional, and affordable items. Their in-house design team emphasizes modern aesthetics and practical solutions, making their designs globally recognized for bringing intelligent design to everyday objects.</t>
  </si>
  <si>
    <t>A brand known primarily for home fragrances and artisanal products. When listed as a designer, it indicates the design is attributed to the company's creative team or brand aesthetic rather than a specific individual.</t>
  </si>
  <si>
    <t>Michael Anastassiades is a Cypriot-born, London-based designer renowned for a minimalist aesthetic that combines poetic interpretation with technical precision. His work balances clarity, geometry, and refined materials, often exploring themes of balance and timeless structure.</t>
  </si>
  <si>
    <t>Edward Barber and Jay Osgerby are British industrial designers and founders of the Barber Osgerby studio, established in 1996. Known for an innovative approach to material and form, their work is featured in major museums and involves collaboration with leading international design brands.</t>
  </si>
  <si>
    <t>Sean Lavin is a designer recognized for contemporary lighting and home product design, characterized by a modern aesthetic and a focus on sleek, functional style. This selection indicates that the product was created or inspired by his specific design influence.</t>
  </si>
  <si>
    <t>An interdisciplinary design practice founded by Lyndon Neri and Rossana Hu, recognized for a multicultural approach that fuses contemporary aesthetics with historical context. The studio works across multiple scales, integrating architecture and interior design with refined materiality.</t>
  </si>
  <si>
    <t>Flemming Lassen (1902–1984) was an influential Danish architect and designer who helped pioneer the Functionalist movement in Scandinavia. Often collaborating with Arne Jacobsen, his work is characterized by simple, clean lines, organic forms, and a commitment to modernist principles.</t>
  </si>
  <si>
    <t>Mogens Lassen (1901–1987) was an influential Danish architect and designer recognized as a pioneer of Danish functionalism. His work is characterized by a commitment to modernist principles, mathematical precision, and an architectural approach to form and proportion.</t>
  </si>
  <si>
    <t>Paloma Contreras is an award-winning American interior designer and author known for her modern take on traditional style. Her work is characterized by a balance of classic silhouettes, timeless elegance, and contemporary touches, often incorporating a touch of glamour and vibrant color.</t>
  </si>
  <si>
    <t>Alicia Engman is an entrepreneur and co-founder of Hygge &amp; West, a home decor company recognized for artisanal designs and collaborative patterns. This selection indicates the product was created or designed in collaboration with her.</t>
  </si>
  <si>
    <t>A Milan-based industrial design studio founded in 2006 by Marco Paolelli and Sandro Meneghello. The studio is recognized for its unconventional approach to product development, blending lateral thinking with technical precision to create innovative, functional, and aesthetically iconic designs.</t>
  </si>
  <si>
    <t>An artistic studio renowned for handcrafted collections that blend traditional old-world craftsmanship with contemporary design. Founded by Andre Gabricht, the studio specializes in intricate, freehand-painted artistry and fine-cut woodwork created by skilled master artisans.</t>
  </si>
  <si>
    <t>Zeki Müren (1931–1996) was a prominent Turkish musician, composer, and multidisciplinary artist. An alumnus of the Istanbul State Academy of Fine Arts, his creative influence extended beyond music and film to include the design of textiles, rugs, and theatrical costumes.</t>
  </si>
  <si>
    <t>An award-winning American interior designer known for a bold, maximalist aesthetic that fuses classic traditionalism with vibrant colors and layered patterns. His work is recognized for its sophisticated architectural bones and a focus on creating high-design spaces that remain functional.</t>
  </si>
  <si>
    <t>A multidisciplinary design studio founded in Italy by Cinzia Cumini and Vicente García Jiménez. The studio is recognized for its fusion of Italian and Spanish influences, blending art and technology with a philosophy of slow design to create innovative and unique designs.</t>
  </si>
  <si>
    <t>An award-winning American interior designer known for her timeless, layered interiors and collections for major home décor brands. Her work is recognized for its classical influences, Southern warmth, and extensive contributions to design literature and philanthropy.</t>
  </si>
  <si>
    <t>Refers to designer Angela Harris and her design collective, recognized for modern and approachable interior designs. Their work features distinctive patterns and a blend of contemporary and classic aesthetics across a variety of home décor and surface products.</t>
  </si>
  <si>
    <t>Drip Free</t>
  </si>
  <si>
    <t>Reinforced</t>
  </si>
  <si>
    <t>Non-Porous</t>
  </si>
  <si>
    <t>Features a design or construction that prevents or minimizes the dripping of liquids from surfaces or edges.</t>
  </si>
  <si>
    <t>Includes additional material or structural features to increase durability, strength, and resistance to breaking or deforming under stress.</t>
  </si>
  <si>
    <t>Characterized by a surface that lacks pores, preventing the absorption of liquids, air, and contaminants. This feature facilitates easy cleaning and provides resistance to stains and moisture.</t>
  </si>
  <si>
    <t>Non Residential Use</t>
  </si>
  <si>
    <t>Residential Use</t>
  </si>
  <si>
    <t>Intended for non-residential, commercial, institutional, or public environments. Products are designed for higher durability and heavier usage, featuring sturdier construction, enhanced performance, and compliance with commercial industry standards.</t>
  </si>
  <si>
    <t>Designed and suitable for private homes, apartments, or other non-commercial residential environments. Products for this use are subject to lighter, less frequent usage and do not require commercial-grade durability or safety standards.</t>
  </si>
  <si>
    <t>Wipe down with mild soap and water</t>
  </si>
  <si>
    <t>Use product specific cleaner</t>
  </si>
  <si>
    <t>Wipe clean with a dry cloth</t>
  </si>
  <si>
    <t>Dust mop</t>
  </si>
  <si>
    <t>Hand wash recommended</t>
  </si>
  <si>
    <t>Spot clean only</t>
  </si>
  <si>
    <t>Clean with soap and water</t>
  </si>
  <si>
    <t>Clean spills immediately</t>
  </si>
  <si>
    <t>Non-Abrasive, Neutral Ph Cleaner</t>
  </si>
  <si>
    <t>Vacuum with no beater bar/rotating brush</t>
  </si>
  <si>
    <t>Professional / Dry Clean Recommended</t>
  </si>
  <si>
    <t>Vacuum with upholstery attachment</t>
  </si>
  <si>
    <t>Avoid use of abrasive cleaners</t>
  </si>
  <si>
    <t>Do not wash</t>
  </si>
  <si>
    <t>Spot clean</t>
  </si>
  <si>
    <t>Wipe with wet cloth</t>
  </si>
  <si>
    <t>Spot clean with water</t>
  </si>
  <si>
    <t>No washing / drying care</t>
  </si>
  <si>
    <t>Do not bleach</t>
  </si>
  <si>
    <t>Vacuum</t>
  </si>
  <si>
    <t>Avoid direct sunlight</t>
  </si>
  <si>
    <t>Clean with cloth, mild soap, and warm water</t>
  </si>
  <si>
    <t>Spot clean with mild detergent</t>
  </si>
  <si>
    <t>Spot clean as needed</t>
  </si>
  <si>
    <t>Do not use any cleaning agents</t>
  </si>
  <si>
    <t>Use dry, solvent-based cleaner</t>
  </si>
  <si>
    <t>Wipe with cloth</t>
  </si>
  <si>
    <t>Wipe Clean Only</t>
  </si>
  <si>
    <t>Wipe clean with a damp cloth</t>
  </si>
  <si>
    <t>Wipe surfaces with a soft cloth dampened with a mild soap and water solution. Dry thoroughly immediately after cleaning to prevent moisture damage and water spots.</t>
  </si>
  <si>
    <t>Use a cleaner specifically formulated for the product's material or finish. Always follow manufacturer recommendations for safe and effective use.</t>
  </si>
  <si>
    <t>Remove dust and light debris by wiping the surface with a clean, dry, non-abrasive cloth. Do not use water or cleaning solutions.</t>
  </si>
  <si>
    <t>Use a soft, dry dust mop or duster for the routine removal of loose dust and light debris from hard, non-fabric surfaces.</t>
  </si>
  <si>
    <t>Manufacturer's recommended care method for the item or its components. Use a mild detergent and water. Hand washing is preferred for best results and to prevent potential damage from machine washing.</t>
  </si>
  <si>
    <t>Clean only isolated spots or affected areas. Do not fully wash, immerse, dry clean, or machine clean the entire product. Use a cleaning method appropriate for the material.</t>
  </si>
  <si>
    <t>Clean the product or its components with a solution of mild soap and water, applied with a soft cloth or sponge. Rinse well and dry thoroughly. Avoid harsh chemicals and saturation.</t>
  </si>
  <si>
    <t>Promptly clean all spills to prevent stains, discoloration, and material damage. Use the cleaning method appropriate for the product's specific material.</t>
  </si>
  <si>
    <t>Use a non-abrasive cleaner that is pH neutral to prevent scratching, damage, or discoloration on sensitive surfaces and finishes. Avoid acidic or alkaline cleaning products.</t>
  </si>
  <si>
    <t>Use a vacuum cleaner without an active beater bar or rotating brush to remove debris and prevent damage to delicate or decorated surfaces.</t>
  </si>
  <si>
    <t>Recommendation for professional or commercial dry cleaning, typically for items with delicate materials or special finishes. Follow the manufacturer's care instructions to maintain product integrity.</t>
  </si>
  <si>
    <t>Gently clean fabric and upholstered surfaces with a vacuum's upholstery attachment to remove dust, dirt, and debris without causing snags or damage.</t>
  </si>
  <si>
    <t>Do not use cleaning agents or tools that contain abrasive particles or harsh chemicals, as they can scratch, dull, or damage the product's surface, finish, or fabric.</t>
  </si>
  <si>
    <t>Do not wash or immerse the product in water by any method, including hand or machine washing. Cleaning should use only the alternative care instructions specified by the manufacturer.</t>
  </si>
  <si>
    <t>Address localized stains or soil by cleaning only the affected spot with an appropriate solution and cloth. Do not clean or immerse the entire product.</t>
  </si>
  <si>
    <t>Wipe the product's surface with a clean cloth dampened with water. Avoid excess moisture and dry immediately after cleaning for optimal care.</t>
  </si>
  <si>
    <t>Apply water only with a damp, clean cloth or sponge to gently clean localized stains or soiled areas. Do not saturate the material; air dry thoroughly.</t>
  </si>
  <si>
    <t>No specific washing or drying care is required. Maintenance may consist of occasional dusting, wiping, or light cleaning only, with no routine laundering necessary.</t>
  </si>
  <si>
    <t>Do not use any type of bleach or bleach-based cleaning products, as bleach can discolor, weaken, or damage materials and finishes.</t>
  </si>
  <si>
    <t>Use a vacuum cleaner to remove dust, debris, and loose particles from the surface. Use suitable attachments and settings appropriate for the material being cleaned.</t>
  </si>
  <si>
    <t>Prolonged exposure to direct sunlight or UV rays can cause fading, discoloration, warping, or material degradation.</t>
  </si>
  <si>
    <t>Clean the product's surface with a soft cloth using mild soap and warm water. Rinse with a clean cloth to remove soap residue, then dry the surface thoroughly.</t>
  </si>
  <si>
    <t>Apply a mild or diluted detergent solution with a damp cloth or sponge to treat soiled areas. Gently blot or rub, then rinse with a clean, damp cloth. Avoid oversaturating the material and test on an inconspicuous area first.</t>
  </si>
  <si>
    <t>Address localized soiling or stains as needed by applying a material-appropriate cleaning agent only to the affected area. Full washing is not implied.</t>
  </si>
  <si>
    <t>Prohibits the use of any cleaning agents (soaps, detergents, solvents, or chemicals) on the product. Cleaning must be done only with dry methods or as specified in the manufacturer's care instructions.</t>
  </si>
  <si>
    <t>Clean with a dry, solvent-based agent only. Follow manufacturer/care label instructions, avoid water or water-based cleaners, and test in an inconspicuous area before use.</t>
  </si>
  <si>
    <t>Wipe the surface using a clean, soft cloth (dry or slightly damp) to remove dust and dirt. Suitable for general maintenance, avoiding excessive moisture or harsh detergents.</t>
  </si>
  <si>
    <t>Clean only by wiping with a clean, dry, or slightly damp cloth. Do not wash, soak, immerse, or use harsh/abrasive cleaners. Follow manufacturer specifications.</t>
  </si>
  <si>
    <t>Wipe product surfaces clean with a damp, non-abrasive cloth. Avoid saturating the material, soaking, or submerging the product. For best results, dry immediately after wiping.</t>
  </si>
  <si>
    <t>Wallpaper Material</t>
  </si>
  <si>
    <t>{"app_version": "v3", "template_context": "STANDARD", "supplier_id": 65183, "use_legacy_excel_format": false, "sheet_metadata": {"Instructions": {"sheet_type": "NON_DATA_SHEET"}, "Error Summary": {"sheet_type": "NON_DATA_SHEET"}, "3757 - Wall Stickers (S)": {"sheet_type": "CLASS_FEED_SHEET", "class_id": 3757, "feed_profiles": ["STANDARD"]}, "3757-S-WUO_ERR": {"sheet_type": "NON_DATA_SHEET"}, "3757-S-WUO_TRK": {"sheet_type": "NON_DATA_SHEET"}, "6161 - Wallpaper (S)": {"sheet_type": "CLASS_FEED_SHEET", "class_id": 6161, "feed_profiles": ["STANDARD"]}, "6161-S-WUO_ERR": {"sheet_type": "NON_DATA_SHEET"}, "6161-S-WUO_TRK": {"sheet_type": "NON_DATA_SHEET"}, "Valid Values": {"sheet_type": "NON_DATA_SHEET"}}, "market_context": {"brand": "WF", "channel": "ECM", "country": "US", "locale": "en-US"}, "schema_version_id": 12, "locale": "en-US", "download_template_request_id": "27f9c856-6ba2-4382-a02e-f3465dc74243", "template_question_scope": "DEFAULT_QUESTIONS", "include_default_answers": true}</t>
  </si>
</sst>
</file>

<file path=xl/styles.xml><?xml version="1.0" encoding="utf-8"?>
<styleSheet xmlns="http://schemas.openxmlformats.org/spreadsheetml/2006/main">
  <numFmts count="1">
    <numFmt numFmtId="164" formatCode="@"/>
  </numFmts>
  <fonts count="11">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sz val="11"/>
      <color theme="1"/>
      <name val="Calibri"/>
      <family val="2"/>
      <scheme val="minor"/>
    </font>
    <font>
      <b/>
      <u/>
      <sz val="11"/>
      <color rgb="FF0000FF"/>
      <name val="Helvetica"/>
      <family val="2"/>
    </font>
    <font>
      <b/>
      <sz val="11"/>
      <color rgb="FFFFFFFF"/>
      <name val="Helvetica"/>
      <family val="2"/>
    </font>
    <font>
      <sz val="11"/>
      <color rgb="FFFFFFFF"/>
      <name val="Calibri"/>
      <family val="2"/>
      <scheme val="minor"/>
    </font>
    <font>
      <sz val="8"/>
      <color indexed="81"/>
      <name val="Tahoma"/>
      <family val="2"/>
    </font>
  </fonts>
  <fills count="22">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
      <patternFill patternType="solid">
        <fgColor rgb="FFEEECE1"/>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164" fontId="1" fillId="2" borderId="0" xfId="0" applyNumberFormat="1" applyFont="1" applyFill="1" applyAlignment="1">
      <alignment wrapText="1"/>
    </xf>
    <xf numFmtId="164" fontId="2" fillId="0" borderId="0" xfId="0" applyNumberFormat="1" applyFont="1" applyAlignment="1">
      <alignment wrapText="1"/>
    </xf>
    <xf numFmtId="164" fontId="3" fillId="0" borderId="0" xfId="0" applyNumberFormat="1" applyFont="1" applyAlignment="1">
      <alignment wrapText="1"/>
    </xf>
    <xf numFmtId="164" fontId="4" fillId="0" borderId="0" xfId="0" applyNumberFormat="1" applyFont="1" applyAlignment="1">
      <alignment wrapText="1"/>
    </xf>
    <xf numFmtId="164" fontId="1" fillId="3" borderId="0" xfId="0" applyNumberFormat="1" applyFont="1" applyFill="1" applyAlignment="1">
      <alignment wrapText="1"/>
    </xf>
    <xf numFmtId="164" fontId="3" fillId="3" borderId="1" xfId="0" applyNumberFormat="1" applyFont="1" applyFill="1" applyBorder="1" applyAlignment="1">
      <alignment wrapText="1"/>
    </xf>
    <xf numFmtId="164" fontId="4" fillId="3" borderId="2" xfId="0" applyNumberFormat="1" applyFont="1" applyFill="1" applyBorder="1" applyAlignment="1">
      <alignment wrapText="1"/>
    </xf>
    <xf numFmtId="164" fontId="4" fillId="4" borderId="3" xfId="0" applyNumberFormat="1" applyFont="1" applyFill="1" applyBorder="1" applyAlignment="1">
      <alignment wrapText="1"/>
    </xf>
    <xf numFmtId="164" fontId="4" fillId="0" borderId="4" xfId="0" applyNumberFormat="1" applyFont="1" applyBorder="1" applyAlignment="1">
      <alignment wrapText="1"/>
    </xf>
    <xf numFmtId="164" fontId="4" fillId="3" borderId="3" xfId="0" applyNumberFormat="1" applyFont="1" applyFill="1" applyBorder="1" applyAlignment="1">
      <alignment wrapText="1"/>
    </xf>
    <xf numFmtId="164" fontId="4" fillId="5" borderId="3" xfId="0" applyNumberFormat="1" applyFont="1" applyFill="1" applyBorder="1" applyAlignment="1">
      <alignment wrapText="1"/>
    </xf>
    <xf numFmtId="164" fontId="4" fillId="6" borderId="3" xfId="0" applyNumberFormat="1" applyFont="1" applyFill="1" applyBorder="1" applyAlignment="1">
      <alignment wrapText="1"/>
    </xf>
    <xf numFmtId="164" fontId="4" fillId="7" borderId="3" xfId="0" applyNumberFormat="1" applyFont="1" applyFill="1" applyBorder="1" applyAlignment="1">
      <alignment wrapText="1"/>
    </xf>
    <xf numFmtId="164" fontId="4" fillId="0" borderId="5" xfId="0" applyNumberFormat="1" applyFont="1" applyBorder="1" applyAlignment="1">
      <alignment wrapText="1"/>
    </xf>
    <xf numFmtId="164" fontId="4" fillId="0" borderId="6" xfId="0" applyNumberFormat="1" applyFont="1" applyBorder="1" applyAlignment="1">
      <alignment wrapText="1"/>
    </xf>
    <xf numFmtId="164" fontId="4" fillId="0" borderId="7" xfId="0" applyNumberFormat="1" applyFont="1" applyBorder="1" applyAlignment="1">
      <alignment wrapText="1"/>
    </xf>
    <xf numFmtId="164" fontId="5" fillId="0" borderId="0" xfId="0" applyNumberFormat="1" applyFont="1" applyAlignment="1">
      <alignment wrapText="1"/>
    </xf>
    <xf numFmtId="164" fontId="3" fillId="0" borderId="8" xfId="0" applyNumberFormat="1" applyFont="1" applyBorder="1" applyAlignment="1">
      <alignment horizontal="center" vertical="center" wrapText="1"/>
    </xf>
    <xf numFmtId="164" fontId="3" fillId="0" borderId="8" xfId="0" applyNumberFormat="1" applyFont="1" applyBorder="1" applyAlignment="1">
      <alignment horizontal="center" vertical="center"/>
    </xf>
    <xf numFmtId="164" fontId="6" fillId="0" borderId="0" xfId="0" applyNumberFormat="1" applyFont="1" applyAlignment="1" applyProtection="1">
      <alignment vertical="center" wrapText="1"/>
      <protection hidden="1"/>
    </xf>
    <xf numFmtId="164" fontId="7" fillId="0" borderId="0" xfId="0" applyNumberFormat="1" applyFont="1" applyAlignment="1" applyProtection="1">
      <alignment vertical="center" wrapText="1"/>
      <protection hidden="1"/>
    </xf>
    <xf numFmtId="164" fontId="6" fillId="0" borderId="0" xfId="0" applyNumberFormat="1" applyFont="1"/>
    <xf numFmtId="164" fontId="3" fillId="8" borderId="8" xfId="0" applyNumberFormat="1" applyFont="1" applyFill="1" applyBorder="1"/>
    <xf numFmtId="164" fontId="3" fillId="9" borderId="8" xfId="0" applyNumberFormat="1" applyFont="1" applyFill="1" applyBorder="1"/>
    <xf numFmtId="164" fontId="3" fillId="10" borderId="8" xfId="0" applyNumberFormat="1" applyFont="1" applyFill="1" applyBorder="1"/>
    <xf numFmtId="164" fontId="3" fillId="11" borderId="8" xfId="0" applyNumberFormat="1" applyFont="1" applyFill="1" applyBorder="1"/>
    <xf numFmtId="164" fontId="3" fillId="12" borderId="8" xfId="0" applyNumberFormat="1" applyFont="1" applyFill="1" applyBorder="1"/>
    <xf numFmtId="164" fontId="3" fillId="13" borderId="8" xfId="0" applyNumberFormat="1" applyFont="1" applyFill="1" applyBorder="1"/>
    <xf numFmtId="164" fontId="3" fillId="14" borderId="8" xfId="0" applyNumberFormat="1" applyFont="1" applyFill="1" applyBorder="1"/>
    <xf numFmtId="164" fontId="3" fillId="15" borderId="8" xfId="0" applyNumberFormat="1" applyFont="1" applyFill="1" applyBorder="1"/>
    <xf numFmtId="164" fontId="3" fillId="16" borderId="8" xfId="0" applyNumberFormat="1" applyFont="1" applyFill="1" applyBorder="1"/>
    <xf numFmtId="164" fontId="6" fillId="17" borderId="9" xfId="0" applyNumberFormat="1" applyFont="1" applyFill="1" applyBorder="1" applyAlignment="1">
      <alignment horizontal="center" vertical="top" wrapText="1"/>
    </xf>
    <xf numFmtId="164" fontId="8" fillId="18" borderId="8" xfId="0" applyNumberFormat="1" applyFont="1" applyFill="1" applyBorder="1" applyAlignment="1">
      <alignment horizontal="center" vertical="center"/>
    </xf>
    <xf numFmtId="164" fontId="3" fillId="19" borderId="8" xfId="0" applyNumberFormat="1" applyFont="1" applyFill="1" applyBorder="1" applyAlignment="1">
      <alignment horizontal="center" vertical="center"/>
    </xf>
    <xf numFmtId="164" fontId="3" fillId="0" borderId="9" xfId="0" applyNumberFormat="1" applyFont="1" applyBorder="1" applyAlignment="1">
      <alignment horizontal="center" vertical="top" wrapText="1"/>
    </xf>
    <xf numFmtId="164" fontId="7" fillId="0" borderId="9" xfId="0" applyNumberFormat="1" applyFont="1" applyBorder="1" applyAlignment="1">
      <alignment horizontal="center" vertical="top" wrapText="1"/>
    </xf>
    <xf numFmtId="164" fontId="9" fillId="20" borderId="9" xfId="0" applyNumberFormat="1" applyFont="1" applyFill="1" applyBorder="1" applyAlignment="1">
      <alignment horizontal="center"/>
    </xf>
    <xf numFmtId="164" fontId="6" fillId="21" borderId="10" xfId="0" applyNumberFormat="1" applyFont="1" applyFill="1" applyBorder="1" applyProtection="1">
      <protection locked="0"/>
    </xf>
    <xf numFmtId="164" fontId="6" fillId="0" borderId="0" xfId="0" applyNumberFormat="1" applyFont="1" applyProtection="1">
      <protection hidden="1"/>
    </xf>
    <xf numFmtId="164" fontId="7" fillId="19" borderId="9" xfId="0" applyNumberFormat="1" applyFont="1" applyFill="1" applyBorder="1" applyAlignment="1">
      <alignment horizontal="center" vertical="center" wrapText="1"/>
    </xf>
    <xf numFmtId="164" fontId="3" fillId="17" borderId="9" xfId="0" applyNumberFormat="1" applyFont="1" applyFill="1" applyBorder="1" applyAlignment="1">
      <alignment horizontal="center" vertical="center" wrapText="1"/>
    </xf>
    <xf numFmtId="164" fontId="6" fillId="0" borderId="0" xfId="0" applyNumberFormat="1" applyFont="1" applyAlignment="1">
      <alignment horizontal="fill"/>
    </xf>
  </cellXfs>
  <cellStyles count="1">
    <cellStyle name="Normal" xfId="0" builtinId="0"/>
  </cellStyles>
  <dxfs count="12">
    <dxf>
      <numFmt numFmtId="164" formatCode="@"/>
      <fill>
        <patternFill>
          <bgColor rgb="FFFF484F"/>
        </patternFill>
      </fill>
      <border>
        <left style="thin">
          <color rgb="FF808080"/>
        </left>
        <right style="thin">
          <color rgb="FF808080"/>
        </right>
        <top style="thin">
          <color rgb="FF808080"/>
        </top>
        <bottom style="thin">
          <color rgb="FF808080"/>
        </bottom>
        <vertical/>
        <horizontal/>
      </border>
    </dxf>
    <dxf>
      <numFmt numFmtId="164" formatCode="@"/>
      <fill>
        <patternFill>
          <bgColor rgb="FFFFFFCC"/>
        </patternFill>
      </fill>
      <border>
        <left style="thin">
          <color rgb="FF808080"/>
        </left>
        <right style="thin">
          <color rgb="FF808080"/>
        </right>
        <top style="thin">
          <color rgb="FF808080"/>
        </top>
        <bottom style="thin">
          <color rgb="FF808080"/>
        </bottom>
        <vertical/>
        <horizontal/>
      </border>
    </dxf>
    <dxf>
      <numFmt numFmtId="164" formatCode="@"/>
      <fill>
        <patternFill>
          <bgColor rgb="FFFFABA7"/>
        </patternFill>
      </fill>
      <border>
        <left style="thin">
          <color rgb="FF808080"/>
        </left>
        <right style="thin">
          <color rgb="FF808080"/>
        </right>
        <top style="thin">
          <color rgb="FF808080"/>
        </top>
        <bottom style="thin">
          <color rgb="FF808080"/>
        </bottom>
        <vertical/>
        <horizontal/>
      </border>
    </dxf>
    <dxf>
      <numFmt numFmtId="164" formatCode="@"/>
      <fill>
        <patternFill>
          <bgColor rgb="FFFF484F"/>
        </patternFill>
      </fill>
    </dxf>
    <dxf>
      <numFmt numFmtId="164" formatCode="@"/>
      <fill>
        <patternFill>
          <bgColor rgb="FFFFABA7"/>
        </patternFill>
      </fill>
    </dxf>
    <dxf>
      <numFmt numFmtId="164" formatCode="@"/>
      <fill>
        <patternFill>
          <bgColor rgb="FFFFFFCC"/>
        </patternFill>
      </fill>
    </dxf>
    <dxf>
      <numFmt numFmtId="164" formatCode="@"/>
      <fill>
        <patternFill>
          <bgColor rgb="FFD9D9D9"/>
        </patternFill>
      </fill>
    </dxf>
    <dxf>
      <font>
        <color rgb="FF000000"/>
      </font>
      <numFmt numFmtId="164" formatCode="@"/>
      <fill>
        <patternFill>
          <bgColor rgb="FFB7E2CD"/>
        </patternFill>
      </fill>
    </dxf>
    <dxf>
      <font>
        <u/>
        <color rgb="FF0000FF"/>
      </font>
      <numFmt numFmtId="164" formatCode="@"/>
      <fill>
        <patternFill>
          <bgColor rgb="FFF4C7C3"/>
        </patternFill>
      </fill>
    </dxf>
    <dxf>
      <font>
        <u/>
        <color rgb="FF0000FF"/>
      </font>
      <numFmt numFmtId="164" formatCode="@"/>
      <fill>
        <patternFill>
          <bgColor rgb="FFFFFFCC"/>
        </patternFill>
      </fill>
    </dxf>
    <dxf>
      <numFmt numFmtId="164" formatCode="@"/>
      <fill>
        <patternFill>
          <bgColor rgb="FFD8D8D8"/>
        </patternFill>
      </fill>
      <border>
        <left style="thin">
          <color rgb="FF000000"/>
        </left>
        <right style="thin">
          <color rgb="FF000000"/>
        </right>
        <top style="thin">
          <color rgb="FF000000"/>
        </top>
        <bottom style="thin">
          <color rgb="FF000000"/>
        </bottom>
        <vertical/>
        <horizontal/>
      </border>
    </dxf>
    <dxf>
      <numFmt numFmtId="164" formatCode="@"/>
      <fill>
        <patternFill>
          <bgColor rgb="FFEEECE1"/>
        </patternFill>
      </fill>
      <border>
        <left style="thin">
          <color rgb="FF000000"/>
        </left>
        <right style="thin">
          <color rgb="FF000000"/>
        </right>
        <top style="thin">
          <color rgb="FF000000"/>
        </top>
        <bottom style="thin">
          <color rgb="FF000000"/>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sheetPr>
    <outlinePr summaryRight="0"/>
  </sheetPr>
  <dimension ref="A1:D66"/>
  <sheetViews>
    <sheetView showGridLines="0" tabSelected="1" workbookViewId="0"/>
  </sheetViews>
  <sheetFormatPr defaultRowHeight="15"/>
  <cols>
    <col min="1" max="1" width="154.28515625" bestFit="1" customWidth="1"/>
    <col min="2" max="2" width="9.140625"/>
    <col min="3" max="3" width="15.5703125" bestFit="1" customWidth="1"/>
    <col min="4" max="4" width="105" bestFit="1" customWidth="1"/>
    <col min="5" max="6" width="9.140625"/>
  </cols>
  <sheetData>
    <row r="1" spans="1:4">
      <c r="A1" s="1" t="s">
        <v>0</v>
      </c>
      <c r="D1" s="2" t="s">
        <v>91</v>
      </c>
    </row>
    <row r="2" spans="1:4">
      <c r="A2" s="3" t="s">
        <v>1</v>
      </c>
    </row>
    <row r="3" spans="1:4">
      <c r="A3" s="4" t="s">
        <v>2</v>
      </c>
      <c r="C3" s="5" t="s">
        <v>53</v>
      </c>
      <c r="D3" s="5"/>
    </row>
    <row r="4" spans="1:4">
      <c r="A4" s="4" t="s">
        <v>3</v>
      </c>
      <c r="C4" s="6" t="s">
        <v>54</v>
      </c>
      <c r="D4" s="7"/>
    </row>
    <row r="5" spans="1:4">
      <c r="A5" s="4" t="s">
        <v>4</v>
      </c>
      <c r="C5" s="8" t="s">
        <v>55</v>
      </c>
      <c r="D5" s="9" t="s">
        <v>73</v>
      </c>
    </row>
    <row r="6" spans="1:4">
      <c r="A6" s="4" t="s">
        <v>5</v>
      </c>
      <c r="C6" s="10" t="s">
        <v>56</v>
      </c>
      <c r="D6" s="9" t="s">
        <v>74</v>
      </c>
    </row>
    <row r="7" spans="1:4">
      <c r="C7" s="11" t="s">
        <v>57</v>
      </c>
      <c r="D7" s="9" t="s">
        <v>75</v>
      </c>
    </row>
    <row r="8" spans="1:4">
      <c r="A8" s="5" t="s">
        <v>6</v>
      </c>
      <c r="C8" s="12" t="s">
        <v>58</v>
      </c>
      <c r="D8" s="9" t="s">
        <v>76</v>
      </c>
    </row>
    <row r="9" spans="1:4">
      <c r="A9" s="4" t="s">
        <v>7</v>
      </c>
      <c r="C9" s="13" t="s">
        <v>59</v>
      </c>
      <c r="D9" s="9" t="s">
        <v>77</v>
      </c>
    </row>
    <row r="10" spans="1:4">
      <c r="A10" s="4" t="s">
        <v>8</v>
      </c>
      <c r="C10" s="14" t="s">
        <v>60</v>
      </c>
      <c r="D10" s="15" t="s">
        <v>78</v>
      </c>
    </row>
    <row r="11" spans="1:4">
      <c r="D11" s="4" t="s">
        <v>79</v>
      </c>
    </row>
    <row r="12" spans="1:4">
      <c r="A12" s="3" t="s">
        <v>9</v>
      </c>
    </row>
    <row r="13" spans="1:4">
      <c r="A13" s="4" t="s">
        <v>10</v>
      </c>
      <c r="C13" s="6" t="s">
        <v>61</v>
      </c>
      <c r="D13" s="7"/>
    </row>
    <row r="14" spans="1:4">
      <c r="A14" s="4" t="s">
        <v>11</v>
      </c>
      <c r="C14" s="16" t="s">
        <v>62</v>
      </c>
      <c r="D14" s="9" t="s">
        <v>80</v>
      </c>
    </row>
    <row r="15" spans="1:4">
      <c r="C15" s="16" t="s">
        <v>63</v>
      </c>
      <c r="D15" s="9" t="s">
        <v>81</v>
      </c>
    </row>
    <row r="16" spans="1:4">
      <c r="A16" s="3" t="s">
        <v>12</v>
      </c>
      <c r="C16" s="16" t="s">
        <v>64</v>
      </c>
      <c r="D16" s="9" t="s">
        <v>82</v>
      </c>
    </row>
    <row r="17" spans="1:4">
      <c r="A17" s="4" t="s">
        <v>13</v>
      </c>
      <c r="C17" s="14" t="s">
        <v>65</v>
      </c>
      <c r="D17" s="15" t="s">
        <v>83</v>
      </c>
    </row>
    <row r="18" spans="1:4">
      <c r="A18" s="4" t="s">
        <v>14</v>
      </c>
    </row>
    <row r="19" spans="1:4">
      <c r="A19" s="4" t="s">
        <v>15</v>
      </c>
      <c r="C19" s="6" t="s">
        <v>66</v>
      </c>
      <c r="D19" s="7"/>
    </row>
    <row r="20" spans="1:4">
      <c r="C20" s="16" t="s">
        <v>67</v>
      </c>
      <c r="D20" s="9" t="s">
        <v>84</v>
      </c>
    </row>
    <row r="21" spans="1:4">
      <c r="A21" s="17" t="s">
        <v>16</v>
      </c>
      <c r="C21" s="16" t="s">
        <v>68</v>
      </c>
      <c r="D21" s="9" t="s">
        <v>85</v>
      </c>
    </row>
    <row r="22" spans="1:4">
      <c r="A22" s="4" t="s">
        <v>17</v>
      </c>
      <c r="C22" s="16" t="s">
        <v>69</v>
      </c>
      <c r="D22" s="9" t="s">
        <v>86</v>
      </c>
    </row>
    <row r="23" spans="1:4">
      <c r="A23" s="4" t="s">
        <v>18</v>
      </c>
      <c r="C23" s="16" t="s">
        <v>70</v>
      </c>
      <c r="D23" s="9" t="s">
        <v>87</v>
      </c>
    </row>
    <row r="24" spans="1:4">
      <c r="A24" s="4" t="s">
        <v>19</v>
      </c>
      <c r="C24" s="16" t="s">
        <v>71</v>
      </c>
      <c r="D24" s="9" t="s">
        <v>88</v>
      </c>
    </row>
    <row r="25" spans="1:4">
      <c r="A25" s="4" t="s">
        <v>20</v>
      </c>
      <c r="C25" s="14" t="s">
        <v>72</v>
      </c>
      <c r="D25" s="15" t="s">
        <v>89</v>
      </c>
    </row>
    <row r="26" spans="1:4">
      <c r="A26" s="4" t="s">
        <v>21</v>
      </c>
      <c r="D26" s="4" t="s">
        <v>90</v>
      </c>
    </row>
    <row r="27" spans="1:4">
      <c r="A27" s="4" t="s">
        <v>22</v>
      </c>
    </row>
    <row r="28" spans="1:4">
      <c r="A28" s="4" t="s">
        <v>23</v>
      </c>
    </row>
    <row r="29" spans="1:4">
      <c r="A29" s="4" t="s">
        <v>24</v>
      </c>
    </row>
    <row r="30" spans="1:4">
      <c r="A30" s="4" t="s">
        <v>25</v>
      </c>
    </row>
    <row r="31" spans="1:4">
      <c r="A31" s="4" t="s">
        <v>26</v>
      </c>
    </row>
    <row r="32" spans="1:4">
      <c r="A32" s="4" t="s">
        <v>27</v>
      </c>
    </row>
    <row r="33" spans="1:1">
      <c r="A33" s="4" t="s">
        <v>28</v>
      </c>
    </row>
    <row r="34" spans="1:1">
      <c r="A34" s="4" t="s">
        <v>29</v>
      </c>
    </row>
    <row r="36" spans="1:1">
      <c r="A36" s="5" t="s">
        <v>30</v>
      </c>
    </row>
    <row r="37" spans="1:1">
      <c r="A37" s="4" t="s">
        <v>31</v>
      </c>
    </row>
    <row r="38" spans="1:1">
      <c r="A38" s="4" t="s">
        <v>32</v>
      </c>
    </row>
    <row r="39" spans="1:1">
      <c r="A39" s="4" t="s">
        <v>33</v>
      </c>
    </row>
    <row r="41" spans="1:1">
      <c r="A41" s="3" t="s">
        <v>1</v>
      </c>
    </row>
    <row r="42" spans="1:1">
      <c r="A42" s="4" t="s">
        <v>34</v>
      </c>
    </row>
    <row r="44" spans="1:1">
      <c r="A44" s="3" t="s">
        <v>35</v>
      </c>
    </row>
    <row r="45" spans="1:1">
      <c r="A45" s="4" t="s">
        <v>36</v>
      </c>
    </row>
    <row r="46" spans="1:1">
      <c r="A46" s="4" t="s">
        <v>37</v>
      </c>
    </row>
    <row r="48" spans="1:1">
      <c r="A48" s="3" t="s">
        <v>38</v>
      </c>
    </row>
    <row r="49" spans="1:1">
      <c r="A49" s="4" t="s">
        <v>39</v>
      </c>
    </row>
    <row r="51" spans="1:1">
      <c r="A51" s="3" t="s">
        <v>40</v>
      </c>
    </row>
    <row r="52" spans="1:1">
      <c r="A52" s="4" t="s">
        <v>41</v>
      </c>
    </row>
    <row r="53" spans="1:1">
      <c r="A53" s="4" t="s">
        <v>42</v>
      </c>
    </row>
    <row r="55" spans="1:1">
      <c r="A55" s="3" t="s">
        <v>43</v>
      </c>
    </row>
    <row r="56" spans="1:1">
      <c r="A56" s="4" t="s">
        <v>44</v>
      </c>
    </row>
    <row r="57" spans="1:1">
      <c r="A57" s="4" t="s">
        <v>45</v>
      </c>
    </row>
    <row r="58" spans="1:1">
      <c r="A58" s="4" t="s">
        <v>46</v>
      </c>
    </row>
    <row r="60" spans="1:1">
      <c r="A60" s="5" t="s">
        <v>47</v>
      </c>
    </row>
    <row r="61" spans="1:1">
      <c r="A61" s="3" t="s">
        <v>48</v>
      </c>
    </row>
    <row r="62" spans="1:1">
      <c r="A62" s="4" t="s">
        <v>49</v>
      </c>
    </row>
    <row r="63" spans="1:1">
      <c r="A63" s="4" t="s">
        <v>50</v>
      </c>
    </row>
    <row r="65" spans="1:1">
      <c r="A65" s="3" t="s">
        <v>51</v>
      </c>
    </row>
    <row r="66" spans="1:1">
      <c r="A66" s="4" t="s">
        <v>52</v>
      </c>
    </row>
  </sheetData>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Right="0"/>
  </sheetPr>
  <dimension ref="A1:H6002"/>
  <sheetViews>
    <sheetView workbookViewId="0"/>
  </sheetViews>
  <sheetFormatPr defaultRowHeight="15"/>
  <cols>
    <col min="1" max="2" width="9.140625"/>
    <col min="3" max="3" width="20.7109375" customWidth="1"/>
    <col min="4" max="5" width="30.7109375" customWidth="1"/>
    <col min="6" max="7" width="50.7109375" customWidth="1"/>
    <col min="8" max="8" width="0" hidden="1" customWidth="1"/>
  </cols>
  <sheetData>
    <row r="1" spans="1:8" ht="50" customHeight="1">
      <c r="A1" s="18" t="s">
        <v>92</v>
      </c>
    </row>
    <row r="2" spans="1:8" ht="50" customHeight="1">
      <c r="A2" s="19" t="s">
        <v>93</v>
      </c>
      <c r="B2" s="19" t="s">
        <v>94</v>
      </c>
      <c r="C2" s="19" t="s">
        <v>95</v>
      </c>
      <c r="D2" s="19" t="s">
        <v>96</v>
      </c>
      <c r="E2" s="19" t="s">
        <v>97</v>
      </c>
      <c r="F2" s="19" t="s">
        <v>98</v>
      </c>
      <c r="G2" s="19" t="s">
        <v>99</v>
      </c>
    </row>
    <row r="3" spans="1:8">
      <c r="A3" s="20" cm="1">
        <f t="array" ref="A3">_xlfn.LET(_xlpm.cf3757_STANDARDData, GetSheetStatusData(ClassFeed3757_STANDARDTracker, ClassFeed3757_STANDARDErrors), _xlpm.cf6161_STANDARDData, GetSheetStatusData(ClassFeed6161_STANDARDTracker, ClassFeed6161_STANDARDErrors), _xlpm.stackedData, _xlfn.VSTACK(_xlpm.cf3757_STANDARDData, _xlpm.cf6161_STANDARDData), _xlfn._xlws.FILTER(_xlpm.stackedData, _xlpm.stackedData&lt;&gt;"", ""))</f>
        <v>0</v>
      </c>
      <c r="B3" s="21">
        <f>IF(AND(C3&lt;&gt;"", H3&lt;&gt;""), HYPERLINK("#'" &amp; C3 &amp; "'!" &amp; H3, H3), "")</f>
        <v>0</v>
      </c>
      <c r="C3" s="20" cm="1">
        <f t="array" ref="C3">_xlfn.LET(_xlpm.cf3757_STANDARDData, GetSheetNameData(ClassFeed3757_STANDARDTracker, ClassFeed3757_STANDARDErrors, "3757 - Wall Stickers (S)"), _xlpm.cf6161_STANDARDData, GetSheetNameData(ClassFeed6161_STANDARDTracker, ClassFeed6161_STANDARDErrors, "6161 - Wallpaper (S)"), _xlpm.stackedData, _xlfn.VSTACK(_xlpm.cf3757_STANDARDData, _xlpm.cf6161_STANDARDData), _xlfn._xlws.FILTER(_xlpm.stackedData, _xlpm.stackedData&lt;&gt;"", ""))</f>
        <v>0</v>
      </c>
      <c r="D3" s="20" cm="1">
        <f t="array" ref="D3">_xlfn.LET(_xlpm.cf3757_STANDARDPartNumbers, GetSheetSupplierPartNumbers(ClassFeed3757_STANDARDTracker, ClassFeed3757_STANDARDErrors, '3757 - Wall Stickers (S)'!$B:$B), _xlpm.cf6161_STANDARDPartNumbers, GetSheetSupplierPartNumbers(ClassFeed6161_STANDARDTracker, ClassFeed6161_STANDARDErrors, '6161 - Wallpaper (S)'!$B:$B), _xlpm.stackedPartNumbers, _xlfn.VSTACK(_xlpm.cf3757_STANDARDPartNumbers, _xlpm.cf6161_STANDARDPartNumbers), _xlfn._xlws.FILTER(_xlpm.stackedPartNumbers, _xlpm.stackedPartNumbers&lt;&gt;"", ""))</f>
        <v>0</v>
      </c>
      <c r="E3" s="20" cm="1">
        <f t="array" ref="E3">_xlfn.LET(_xlpm.cf3757_STANDARDQuestionDisplayNames, GetErrorQuestionDisplayNames(ClassFeed3757_STANDARDHeaders, ClassFeed3757_STANDARDTracker, ClassFeed3757_STANDARDErrors), _xlpm.cf6161_STANDARDQuestionDisplayNames, GetErrorQuestionDisplayNames(ClassFeed6161_STANDARDHeaders, ClassFeed6161_STANDARDTracker, ClassFeed6161_STANDARDErrors), _xlpm.stackedQuestionDisplayNames, _xlfn.VSTACK(_xlpm.cf3757_STANDARDQuestionDisplayNames, _xlpm.cf6161_STANDARDQuestionDisplayNames), _xlfn._xlws.FILTER(_xlpm.stackedQuestionDisplayNames, _xlpm.stackedQuestionDisplayNames&lt;&gt;"", ""))</f>
        <v>0</v>
      </c>
      <c r="F3" s="20" cm="1">
        <f t="array" ref="F3">_xlfn.LET(_xlpm.cf3757_STANDARDProvidedAnswers, GetFilteredProvidedAnswers(ClassFeed3757_STANDARDAnswers, ClassFeed3757_STANDARDErrors, ClassFeed3757_STANDARDTracker), _xlpm.cf6161_STANDARDProvidedAnswers, GetFilteredProvidedAnswers(ClassFeed6161_STANDARDAnswers, ClassFeed6161_STANDARDErrors, ClassFeed6161_STANDARDTracker), _xlpm.stackedProvidedAnswers, _xlfn.VSTACK(_xlpm.cf3757_STANDARDProvidedAnswers, _xlpm.cf6161_STANDARDProvidedAnswers), _xlfn._xlws.FILTER(_xlpm.stackedProvidedAnswers, _xlpm.stackedProvidedAnswers&lt;&gt;"EMPTY_ERROR", ""))</f>
        <v>0</v>
      </c>
      <c r="G3" s="20" cm="1">
        <f t="array" ref="G3">_xlfn.LET(_xlpm.cf3757_STANDARDErrorMessages, _xlfn.FILTER(_xlfn.TOCOL(ClassFeed3757_STANDARDErrors), _xlfn.TOCOL((ClassFeed3757_STANDARDErrors &lt;&gt; "") * (ClassFeed3757_STANDARDTracker &lt;&gt; "Valid") * (ClassFeed3757_STANDARDTracker &lt;&gt; "Disabled")), ""), _xlpm.cf6161_STANDARDErrorMessages, _xlfn.FILTER(_xlfn.TOCOL(ClassFeed6161_STANDARDErrors), _xlfn.TOCOL((ClassFeed6161_STANDARDErrors &lt;&gt; "") * (ClassFeed6161_STANDARDTracker &lt;&gt; "Valid") * (ClassFeed6161_STANDARDTracker &lt;&gt; "Disabled")), ""), _xlpm.stackedErrorMessages, _xlfn.VSTACK(_xlpm.cf3757_STANDARDErrorMessages, _xlpm.cf6161_STANDARDErrorMessages), _xlpm.filteredMessages, _xlfn._xlws.FILTER(_xlpm.stackedErrorMessages, _xlpm.stackedErrorMessages&lt;&gt;"", ""), IFERROR(_xlfn.TEXTAFTER(_xlpm.filteredMessages, ":"), _xlpm.filteredMessages))</f>
        <v>0</v>
      </c>
      <c r="H3" s="20" cm="1">
        <f t="array" ref="H3">_xlfn.LET(_xlpm.cf3757_STANDARDAddresses, GetSheetLocationAddresses(ClassFeed3757_STANDARDTracker, ClassFeed3757_STANDARDErrors), _xlpm.cf6161_STANDARDAddresses, GetSheetLocationAddresses(ClassFeed6161_STANDARDTracker, ClassFeed6161_STANDARDErrors), _xlpm.stackedAddresses, _xlfn.VSTACK(_xlpm.cf3757_STANDARDAddresses, _xlpm.cf6161_STANDARDAddresses), _xlfn._xlws.FILTER(_xlpm.stackedAddresses, _xlpm.stackedAddresses&lt;&gt;"", ""))</f>
        <v>0</v>
      </c>
    </row>
    <row r="4" spans="1:8">
      <c r="B4" s="21">
        <f>IF(AND(C4&lt;&gt;"", H4&lt;&gt;""), HYPERLINK("#'" &amp; C4 &amp; "'!" &amp; H4, H4), "")</f>
        <v>0</v>
      </c>
    </row>
    <row r="5" spans="1:8">
      <c r="B5" s="21">
        <f>IF(AND(C5&lt;&gt;"", H5&lt;&gt;""), HYPERLINK("#'" &amp; C5 &amp; "'!" &amp; H5, H5), "")</f>
        <v>0</v>
      </c>
    </row>
    <row r="6" spans="1:8">
      <c r="B6" s="21">
        <f>IF(AND(C6&lt;&gt;"", H6&lt;&gt;""), HYPERLINK("#'" &amp; C6 &amp; "'!" &amp; H6, H6), "")</f>
        <v>0</v>
      </c>
    </row>
    <row r="7" spans="1:8">
      <c r="B7" s="21">
        <f>IF(AND(C7&lt;&gt;"", H7&lt;&gt;""), HYPERLINK("#'" &amp; C7 &amp; "'!" &amp; H7, H7), "")</f>
        <v>0</v>
      </c>
    </row>
    <row r="8" spans="1:8">
      <c r="B8" s="21">
        <f>IF(AND(C8&lt;&gt;"", H8&lt;&gt;""), HYPERLINK("#'" &amp; C8 &amp; "'!" &amp; H8, H8), "")</f>
        <v>0</v>
      </c>
    </row>
    <row r="9" spans="1:8">
      <c r="B9" s="21">
        <f>IF(AND(C9&lt;&gt;"", H9&lt;&gt;""), HYPERLINK("#'" &amp; C9 &amp; "'!" &amp; H9, H9), "")</f>
        <v>0</v>
      </c>
    </row>
    <row r="10" spans="1:8">
      <c r="B10" s="21">
        <f>IF(AND(C10&lt;&gt;"", H10&lt;&gt;""), HYPERLINK("#'" &amp; C10 &amp; "'!" &amp; H10, H10), "")</f>
        <v>0</v>
      </c>
    </row>
    <row r="11" spans="1:8">
      <c r="B11" s="21">
        <f>IF(AND(C11&lt;&gt;"", H11&lt;&gt;""), HYPERLINK("#'" &amp; C11 &amp; "'!" &amp; H11, H11), "")</f>
        <v>0</v>
      </c>
    </row>
    <row r="12" spans="1:8">
      <c r="B12" s="21">
        <f>IF(AND(C12&lt;&gt;"", H12&lt;&gt;""), HYPERLINK("#'" &amp; C12 &amp; "'!" &amp; H12, H12), "")</f>
        <v>0</v>
      </c>
    </row>
    <row r="13" spans="1:8">
      <c r="B13" s="21">
        <f>IF(AND(C13&lt;&gt;"", H13&lt;&gt;""), HYPERLINK("#'" &amp; C13 &amp; "'!" &amp; H13, H13), "")</f>
        <v>0</v>
      </c>
    </row>
    <row r="14" spans="1:8">
      <c r="B14" s="21">
        <f>IF(AND(C14&lt;&gt;"", H14&lt;&gt;""), HYPERLINK("#'" &amp; C14 &amp; "'!" &amp; H14, H14), "")</f>
        <v>0</v>
      </c>
    </row>
    <row r="15" spans="1:8">
      <c r="B15" s="21">
        <f>IF(AND(C15&lt;&gt;"", H15&lt;&gt;""), HYPERLINK("#'" &amp; C15 &amp; "'!" &amp; H15, H15), "")</f>
        <v>0</v>
      </c>
    </row>
    <row r="16" spans="1:8">
      <c r="B16" s="21">
        <f>IF(AND(C16&lt;&gt;"", H16&lt;&gt;""), HYPERLINK("#'" &amp; C16 &amp; "'!" &amp; H16, H16), "")</f>
        <v>0</v>
      </c>
    </row>
    <row r="17" spans="2:2">
      <c r="B17" s="21">
        <f>IF(AND(C17&lt;&gt;"", H17&lt;&gt;""), HYPERLINK("#'" &amp; C17 &amp; "'!" &amp; H17, H17), "")</f>
        <v>0</v>
      </c>
    </row>
    <row r="18" spans="2:2">
      <c r="B18" s="21">
        <f>IF(AND(C18&lt;&gt;"", H18&lt;&gt;""), HYPERLINK("#'" &amp; C18 &amp; "'!" &amp; H18, H18), "")</f>
        <v>0</v>
      </c>
    </row>
    <row r="19" spans="2:2">
      <c r="B19" s="21">
        <f>IF(AND(C19&lt;&gt;"", H19&lt;&gt;""), HYPERLINK("#'" &amp; C19 &amp; "'!" &amp; H19, H19), "")</f>
        <v>0</v>
      </c>
    </row>
    <row r="20" spans="2:2">
      <c r="B20" s="21">
        <f>IF(AND(C20&lt;&gt;"", H20&lt;&gt;""), HYPERLINK("#'" &amp; C20 &amp; "'!" &amp; H20, H20), "")</f>
        <v>0</v>
      </c>
    </row>
    <row r="21" spans="2:2">
      <c r="B21" s="21">
        <f>IF(AND(C21&lt;&gt;"", H21&lt;&gt;""), HYPERLINK("#'" &amp; C21 &amp; "'!" &amp; H21, H21), "")</f>
        <v>0</v>
      </c>
    </row>
    <row r="22" spans="2:2">
      <c r="B22" s="21">
        <f>IF(AND(C22&lt;&gt;"", H22&lt;&gt;""), HYPERLINK("#'" &amp; C22 &amp; "'!" &amp; H22, H22), "")</f>
        <v>0</v>
      </c>
    </row>
    <row r="23" spans="2:2">
      <c r="B23" s="21">
        <f>IF(AND(C23&lt;&gt;"", H23&lt;&gt;""), HYPERLINK("#'" &amp; C23 &amp; "'!" &amp; H23, H23), "")</f>
        <v>0</v>
      </c>
    </row>
    <row r="24" spans="2:2">
      <c r="B24" s="21">
        <f>IF(AND(C24&lt;&gt;"", H24&lt;&gt;""), HYPERLINK("#'" &amp; C24 &amp; "'!" &amp; H24, H24), "")</f>
        <v>0</v>
      </c>
    </row>
    <row r="25" spans="2:2">
      <c r="B25" s="21">
        <f>IF(AND(C25&lt;&gt;"", H25&lt;&gt;""), HYPERLINK("#'" &amp; C25 &amp; "'!" &amp; H25, H25), "")</f>
        <v>0</v>
      </c>
    </row>
    <row r="26" spans="2:2">
      <c r="B26" s="21">
        <f>IF(AND(C26&lt;&gt;"", H26&lt;&gt;""), HYPERLINK("#'" &amp; C26 &amp; "'!" &amp; H26, H26), "")</f>
        <v>0</v>
      </c>
    </row>
    <row r="27" spans="2:2">
      <c r="B27" s="21">
        <f>IF(AND(C27&lt;&gt;"", H27&lt;&gt;""), HYPERLINK("#'" &amp; C27 &amp; "'!" &amp; H27, H27), "")</f>
        <v>0</v>
      </c>
    </row>
    <row r="28" spans="2:2">
      <c r="B28" s="21">
        <f>IF(AND(C28&lt;&gt;"", H28&lt;&gt;""), HYPERLINK("#'" &amp; C28 &amp; "'!" &amp; H28, H28), "")</f>
        <v>0</v>
      </c>
    </row>
    <row r="29" spans="2:2">
      <c r="B29" s="21">
        <f>IF(AND(C29&lt;&gt;"", H29&lt;&gt;""), HYPERLINK("#'" &amp; C29 &amp; "'!" &amp; H29, H29), "")</f>
        <v>0</v>
      </c>
    </row>
    <row r="30" spans="2:2">
      <c r="B30" s="21">
        <f>IF(AND(C30&lt;&gt;"", H30&lt;&gt;""), HYPERLINK("#'" &amp; C30 &amp; "'!" &amp; H30, H30), "")</f>
        <v>0</v>
      </c>
    </row>
    <row r="31" spans="2:2">
      <c r="B31" s="21">
        <f>IF(AND(C31&lt;&gt;"", H31&lt;&gt;""), HYPERLINK("#'" &amp; C31 &amp; "'!" &amp; H31, H31), "")</f>
        <v>0</v>
      </c>
    </row>
    <row r="32" spans="2:2">
      <c r="B32" s="21">
        <f>IF(AND(C32&lt;&gt;"", H32&lt;&gt;""), HYPERLINK("#'" &amp; C32 &amp; "'!" &amp; H32, H32), "")</f>
        <v>0</v>
      </c>
    </row>
    <row r="33" spans="2:2">
      <c r="B33" s="21">
        <f>IF(AND(C33&lt;&gt;"", H33&lt;&gt;""), HYPERLINK("#'" &amp; C33 &amp; "'!" &amp; H33, H33), "")</f>
        <v>0</v>
      </c>
    </row>
    <row r="34" spans="2:2">
      <c r="B34" s="21">
        <f>IF(AND(C34&lt;&gt;"", H34&lt;&gt;""), HYPERLINK("#'" &amp; C34 &amp; "'!" &amp; H34, H34), "")</f>
        <v>0</v>
      </c>
    </row>
    <row r="35" spans="2:2">
      <c r="B35" s="21">
        <f>IF(AND(C35&lt;&gt;"", H35&lt;&gt;""), HYPERLINK("#'" &amp; C35 &amp; "'!" &amp; H35, H35), "")</f>
        <v>0</v>
      </c>
    </row>
    <row r="36" spans="2:2">
      <c r="B36" s="21">
        <f>IF(AND(C36&lt;&gt;"", H36&lt;&gt;""), HYPERLINK("#'" &amp; C36 &amp; "'!" &amp; H36, H36), "")</f>
        <v>0</v>
      </c>
    </row>
    <row r="37" spans="2:2">
      <c r="B37" s="21">
        <f>IF(AND(C37&lt;&gt;"", H37&lt;&gt;""), HYPERLINK("#'" &amp; C37 &amp; "'!" &amp; H37, H37), "")</f>
        <v>0</v>
      </c>
    </row>
    <row r="38" spans="2:2">
      <c r="B38" s="21">
        <f>IF(AND(C38&lt;&gt;"", H38&lt;&gt;""), HYPERLINK("#'" &amp; C38 &amp; "'!" &amp; H38, H38), "")</f>
        <v>0</v>
      </c>
    </row>
    <row r="39" spans="2:2">
      <c r="B39" s="21">
        <f>IF(AND(C39&lt;&gt;"", H39&lt;&gt;""), HYPERLINK("#'" &amp; C39 &amp; "'!" &amp; H39, H39), "")</f>
        <v>0</v>
      </c>
    </row>
    <row r="40" spans="2:2">
      <c r="B40" s="21">
        <f>IF(AND(C40&lt;&gt;"", H40&lt;&gt;""), HYPERLINK("#'" &amp; C40 &amp; "'!" &amp; H40, H40), "")</f>
        <v>0</v>
      </c>
    </row>
    <row r="41" spans="2:2">
      <c r="B41" s="21">
        <f>IF(AND(C41&lt;&gt;"", H41&lt;&gt;""), HYPERLINK("#'" &amp; C41 &amp; "'!" &amp; H41, H41), "")</f>
        <v>0</v>
      </c>
    </row>
    <row r="42" spans="2:2">
      <c r="B42" s="21">
        <f>IF(AND(C42&lt;&gt;"", H42&lt;&gt;""), HYPERLINK("#'" &amp; C42 &amp; "'!" &amp; H42, H42), "")</f>
        <v>0</v>
      </c>
    </row>
    <row r="43" spans="2:2">
      <c r="B43" s="21">
        <f>IF(AND(C43&lt;&gt;"", H43&lt;&gt;""), HYPERLINK("#'" &amp; C43 &amp; "'!" &amp; H43, H43), "")</f>
        <v>0</v>
      </c>
    </row>
    <row r="44" spans="2:2">
      <c r="B44" s="21">
        <f>IF(AND(C44&lt;&gt;"", H44&lt;&gt;""), HYPERLINK("#'" &amp; C44 &amp; "'!" &amp; H44, H44), "")</f>
        <v>0</v>
      </c>
    </row>
    <row r="45" spans="2:2">
      <c r="B45" s="21">
        <f>IF(AND(C45&lt;&gt;"", H45&lt;&gt;""), HYPERLINK("#'" &amp; C45 &amp; "'!" &amp; H45, H45), "")</f>
        <v>0</v>
      </c>
    </row>
    <row r="46" spans="2:2">
      <c r="B46" s="21">
        <f>IF(AND(C46&lt;&gt;"", H46&lt;&gt;""), HYPERLINK("#'" &amp; C46 &amp; "'!" &amp; H46, H46), "")</f>
        <v>0</v>
      </c>
    </row>
    <row r="47" spans="2:2">
      <c r="B47" s="21">
        <f>IF(AND(C47&lt;&gt;"", H47&lt;&gt;""), HYPERLINK("#'" &amp; C47 &amp; "'!" &amp; H47, H47), "")</f>
        <v>0</v>
      </c>
    </row>
    <row r="48" spans="2:2">
      <c r="B48" s="21">
        <f>IF(AND(C48&lt;&gt;"", H48&lt;&gt;""), HYPERLINK("#'" &amp; C48 &amp; "'!" &amp; H48, H48), "")</f>
        <v>0</v>
      </c>
    </row>
    <row r="49" spans="2:2">
      <c r="B49" s="21">
        <f>IF(AND(C49&lt;&gt;"", H49&lt;&gt;""), HYPERLINK("#'" &amp; C49 &amp; "'!" &amp; H49, H49), "")</f>
        <v>0</v>
      </c>
    </row>
    <row r="50" spans="2:2">
      <c r="B50" s="21">
        <f>IF(AND(C50&lt;&gt;"", H50&lt;&gt;""), HYPERLINK("#'" &amp; C50 &amp; "'!" &amp; H50, H50), "")</f>
        <v>0</v>
      </c>
    </row>
    <row r="51" spans="2:2">
      <c r="B51" s="21">
        <f>IF(AND(C51&lt;&gt;"", H51&lt;&gt;""), HYPERLINK("#'" &amp; C51 &amp; "'!" &amp; H51, H51), "")</f>
        <v>0</v>
      </c>
    </row>
    <row r="52" spans="2:2">
      <c r="B52" s="21">
        <f>IF(AND(C52&lt;&gt;"", H52&lt;&gt;""), HYPERLINK("#'" &amp; C52 &amp; "'!" &amp; H52, H52), "")</f>
        <v>0</v>
      </c>
    </row>
    <row r="53" spans="2:2">
      <c r="B53" s="21">
        <f>IF(AND(C53&lt;&gt;"", H53&lt;&gt;""), HYPERLINK("#'" &amp; C53 &amp; "'!" &amp; H53, H53), "")</f>
        <v>0</v>
      </c>
    </row>
    <row r="54" spans="2:2">
      <c r="B54" s="21">
        <f>IF(AND(C54&lt;&gt;"", H54&lt;&gt;""), HYPERLINK("#'" &amp; C54 &amp; "'!" &amp; H54, H54), "")</f>
        <v>0</v>
      </c>
    </row>
    <row r="55" spans="2:2">
      <c r="B55" s="21">
        <f>IF(AND(C55&lt;&gt;"", H55&lt;&gt;""), HYPERLINK("#'" &amp; C55 &amp; "'!" &amp; H55, H55), "")</f>
        <v>0</v>
      </c>
    </row>
    <row r="56" spans="2:2">
      <c r="B56" s="21">
        <f>IF(AND(C56&lt;&gt;"", H56&lt;&gt;""), HYPERLINK("#'" &amp; C56 &amp; "'!" &amp; H56, H56), "")</f>
        <v>0</v>
      </c>
    </row>
    <row r="57" spans="2:2">
      <c r="B57" s="21">
        <f>IF(AND(C57&lt;&gt;"", H57&lt;&gt;""), HYPERLINK("#'" &amp; C57 &amp; "'!" &amp; H57, H57), "")</f>
        <v>0</v>
      </c>
    </row>
    <row r="58" spans="2:2">
      <c r="B58" s="21">
        <f>IF(AND(C58&lt;&gt;"", H58&lt;&gt;""), HYPERLINK("#'" &amp; C58 &amp; "'!" &amp; H58, H58), "")</f>
        <v>0</v>
      </c>
    </row>
    <row r="59" spans="2:2">
      <c r="B59" s="21">
        <f>IF(AND(C59&lt;&gt;"", H59&lt;&gt;""), HYPERLINK("#'" &amp; C59 &amp; "'!" &amp; H59, H59), "")</f>
        <v>0</v>
      </c>
    </row>
    <row r="60" spans="2:2">
      <c r="B60" s="21">
        <f>IF(AND(C60&lt;&gt;"", H60&lt;&gt;""), HYPERLINK("#'" &amp; C60 &amp; "'!" &amp; H60, H60), "")</f>
        <v>0</v>
      </c>
    </row>
    <row r="61" spans="2:2">
      <c r="B61" s="21">
        <f>IF(AND(C61&lt;&gt;"", H61&lt;&gt;""), HYPERLINK("#'" &amp; C61 &amp; "'!" &amp; H61, H61), "")</f>
        <v>0</v>
      </c>
    </row>
    <row r="62" spans="2:2">
      <c r="B62" s="21">
        <f>IF(AND(C62&lt;&gt;"", H62&lt;&gt;""), HYPERLINK("#'" &amp; C62 &amp; "'!" &amp; H62, H62), "")</f>
        <v>0</v>
      </c>
    </row>
    <row r="63" spans="2:2">
      <c r="B63" s="21">
        <f>IF(AND(C63&lt;&gt;"", H63&lt;&gt;""), HYPERLINK("#'" &amp; C63 &amp; "'!" &amp; H63, H63), "")</f>
        <v>0</v>
      </c>
    </row>
    <row r="64" spans="2:2">
      <c r="B64" s="21">
        <f>IF(AND(C64&lt;&gt;"", H64&lt;&gt;""), HYPERLINK("#'" &amp; C64 &amp; "'!" &amp; H64, H64), "")</f>
        <v>0</v>
      </c>
    </row>
    <row r="65" spans="2:2">
      <c r="B65" s="21">
        <f>IF(AND(C65&lt;&gt;"", H65&lt;&gt;""), HYPERLINK("#'" &amp; C65 &amp; "'!" &amp; H65, H65), "")</f>
        <v>0</v>
      </c>
    </row>
    <row r="66" spans="2:2">
      <c r="B66" s="21">
        <f>IF(AND(C66&lt;&gt;"", H66&lt;&gt;""), HYPERLINK("#'" &amp; C66 &amp; "'!" &amp; H66, H66), "")</f>
        <v>0</v>
      </c>
    </row>
    <row r="67" spans="2:2">
      <c r="B67" s="21">
        <f>IF(AND(C67&lt;&gt;"", H67&lt;&gt;""), HYPERLINK("#'" &amp; C67 &amp; "'!" &amp; H67, H67), "")</f>
        <v>0</v>
      </c>
    </row>
    <row r="68" spans="2:2">
      <c r="B68" s="21">
        <f>IF(AND(C68&lt;&gt;"", H68&lt;&gt;""), HYPERLINK("#'" &amp; C68 &amp; "'!" &amp; H68, H68), "")</f>
        <v>0</v>
      </c>
    </row>
    <row r="69" spans="2:2">
      <c r="B69" s="21">
        <f>IF(AND(C69&lt;&gt;"", H69&lt;&gt;""), HYPERLINK("#'" &amp; C69 &amp; "'!" &amp; H69, H69), "")</f>
        <v>0</v>
      </c>
    </row>
    <row r="70" spans="2:2">
      <c r="B70" s="21">
        <f>IF(AND(C70&lt;&gt;"", H70&lt;&gt;""), HYPERLINK("#'" &amp; C70 &amp; "'!" &amp; H70, H70), "")</f>
        <v>0</v>
      </c>
    </row>
    <row r="71" spans="2:2">
      <c r="B71" s="21">
        <f>IF(AND(C71&lt;&gt;"", H71&lt;&gt;""), HYPERLINK("#'" &amp; C71 &amp; "'!" &amp; H71, H71), "")</f>
        <v>0</v>
      </c>
    </row>
    <row r="72" spans="2:2">
      <c r="B72" s="21">
        <f>IF(AND(C72&lt;&gt;"", H72&lt;&gt;""), HYPERLINK("#'" &amp; C72 &amp; "'!" &amp; H72, H72), "")</f>
        <v>0</v>
      </c>
    </row>
    <row r="73" spans="2:2">
      <c r="B73" s="21">
        <f>IF(AND(C73&lt;&gt;"", H73&lt;&gt;""), HYPERLINK("#'" &amp; C73 &amp; "'!" &amp; H73, H73), "")</f>
        <v>0</v>
      </c>
    </row>
    <row r="74" spans="2:2">
      <c r="B74" s="21">
        <f>IF(AND(C74&lt;&gt;"", H74&lt;&gt;""), HYPERLINK("#'" &amp; C74 &amp; "'!" &amp; H74, H74), "")</f>
        <v>0</v>
      </c>
    </row>
    <row r="75" spans="2:2">
      <c r="B75" s="21">
        <f>IF(AND(C75&lt;&gt;"", H75&lt;&gt;""), HYPERLINK("#'" &amp; C75 &amp; "'!" &amp; H75, H75), "")</f>
        <v>0</v>
      </c>
    </row>
    <row r="76" spans="2:2">
      <c r="B76" s="21">
        <f>IF(AND(C76&lt;&gt;"", H76&lt;&gt;""), HYPERLINK("#'" &amp; C76 &amp; "'!" &amp; H76, H76), "")</f>
        <v>0</v>
      </c>
    </row>
    <row r="77" spans="2:2">
      <c r="B77" s="21">
        <f>IF(AND(C77&lt;&gt;"", H77&lt;&gt;""), HYPERLINK("#'" &amp; C77 &amp; "'!" &amp; H77, H77), "")</f>
        <v>0</v>
      </c>
    </row>
    <row r="78" spans="2:2">
      <c r="B78" s="21">
        <f>IF(AND(C78&lt;&gt;"", H78&lt;&gt;""), HYPERLINK("#'" &amp; C78 &amp; "'!" &amp; H78, H78), "")</f>
        <v>0</v>
      </c>
    </row>
    <row r="79" spans="2:2">
      <c r="B79" s="21">
        <f>IF(AND(C79&lt;&gt;"", H79&lt;&gt;""), HYPERLINK("#'" &amp; C79 &amp; "'!" &amp; H79, H79), "")</f>
        <v>0</v>
      </c>
    </row>
    <row r="80" spans="2:2">
      <c r="B80" s="21">
        <f>IF(AND(C80&lt;&gt;"", H80&lt;&gt;""), HYPERLINK("#'" &amp; C80 &amp; "'!" &amp; H80, H80), "")</f>
        <v>0</v>
      </c>
    </row>
    <row r="81" spans="2:2">
      <c r="B81" s="21">
        <f>IF(AND(C81&lt;&gt;"", H81&lt;&gt;""), HYPERLINK("#'" &amp; C81 &amp; "'!" &amp; H81, H81), "")</f>
        <v>0</v>
      </c>
    </row>
    <row r="82" spans="2:2">
      <c r="B82" s="21">
        <f>IF(AND(C82&lt;&gt;"", H82&lt;&gt;""), HYPERLINK("#'" &amp; C82 &amp; "'!" &amp; H82, H82), "")</f>
        <v>0</v>
      </c>
    </row>
    <row r="83" spans="2:2">
      <c r="B83" s="21">
        <f>IF(AND(C83&lt;&gt;"", H83&lt;&gt;""), HYPERLINK("#'" &amp; C83 &amp; "'!" &amp; H83, H83), "")</f>
        <v>0</v>
      </c>
    </row>
    <row r="84" spans="2:2">
      <c r="B84" s="21">
        <f>IF(AND(C84&lt;&gt;"", H84&lt;&gt;""), HYPERLINK("#'" &amp; C84 &amp; "'!" &amp; H84, H84), "")</f>
        <v>0</v>
      </c>
    </row>
    <row r="85" spans="2:2">
      <c r="B85" s="21">
        <f>IF(AND(C85&lt;&gt;"", H85&lt;&gt;""), HYPERLINK("#'" &amp; C85 &amp; "'!" &amp; H85, H85), "")</f>
        <v>0</v>
      </c>
    </row>
    <row r="86" spans="2:2">
      <c r="B86" s="21">
        <f>IF(AND(C86&lt;&gt;"", H86&lt;&gt;""), HYPERLINK("#'" &amp; C86 &amp; "'!" &amp; H86, H86), "")</f>
        <v>0</v>
      </c>
    </row>
    <row r="87" spans="2:2">
      <c r="B87" s="21">
        <f>IF(AND(C87&lt;&gt;"", H87&lt;&gt;""), HYPERLINK("#'" &amp; C87 &amp; "'!" &amp; H87, H87), "")</f>
        <v>0</v>
      </c>
    </row>
    <row r="88" spans="2:2">
      <c r="B88" s="21">
        <f>IF(AND(C88&lt;&gt;"", H88&lt;&gt;""), HYPERLINK("#'" &amp; C88 &amp; "'!" &amp; H88, H88), "")</f>
        <v>0</v>
      </c>
    </row>
    <row r="89" spans="2:2">
      <c r="B89" s="21">
        <f>IF(AND(C89&lt;&gt;"", H89&lt;&gt;""), HYPERLINK("#'" &amp; C89 &amp; "'!" &amp; H89, H89), "")</f>
        <v>0</v>
      </c>
    </row>
    <row r="90" spans="2:2">
      <c r="B90" s="21">
        <f>IF(AND(C90&lt;&gt;"", H90&lt;&gt;""), HYPERLINK("#'" &amp; C90 &amp; "'!" &amp; H90, H90), "")</f>
        <v>0</v>
      </c>
    </row>
    <row r="91" spans="2:2">
      <c r="B91" s="21">
        <f>IF(AND(C91&lt;&gt;"", H91&lt;&gt;""), HYPERLINK("#'" &amp; C91 &amp; "'!" &amp; H91, H91), "")</f>
        <v>0</v>
      </c>
    </row>
    <row r="92" spans="2:2">
      <c r="B92" s="21">
        <f>IF(AND(C92&lt;&gt;"", H92&lt;&gt;""), HYPERLINK("#'" &amp; C92 &amp; "'!" &amp; H92, H92), "")</f>
        <v>0</v>
      </c>
    </row>
    <row r="93" spans="2:2">
      <c r="B93" s="21">
        <f>IF(AND(C93&lt;&gt;"", H93&lt;&gt;""), HYPERLINK("#'" &amp; C93 &amp; "'!" &amp; H93, H93), "")</f>
        <v>0</v>
      </c>
    </row>
    <row r="94" spans="2:2">
      <c r="B94" s="21">
        <f>IF(AND(C94&lt;&gt;"", H94&lt;&gt;""), HYPERLINK("#'" &amp; C94 &amp; "'!" &amp; H94, H94), "")</f>
        <v>0</v>
      </c>
    </row>
    <row r="95" spans="2:2">
      <c r="B95" s="21">
        <f>IF(AND(C95&lt;&gt;"", H95&lt;&gt;""), HYPERLINK("#'" &amp; C95 &amp; "'!" &amp; H95, H95), "")</f>
        <v>0</v>
      </c>
    </row>
    <row r="96" spans="2:2">
      <c r="B96" s="21">
        <f>IF(AND(C96&lt;&gt;"", H96&lt;&gt;""), HYPERLINK("#'" &amp; C96 &amp; "'!" &amp; H96, H96), "")</f>
        <v>0</v>
      </c>
    </row>
    <row r="97" spans="2:2">
      <c r="B97" s="21">
        <f>IF(AND(C97&lt;&gt;"", H97&lt;&gt;""), HYPERLINK("#'" &amp; C97 &amp; "'!" &amp; H97, H97), "")</f>
        <v>0</v>
      </c>
    </row>
    <row r="98" spans="2:2">
      <c r="B98" s="21">
        <f>IF(AND(C98&lt;&gt;"", H98&lt;&gt;""), HYPERLINK("#'" &amp; C98 &amp; "'!" &amp; H98, H98), "")</f>
        <v>0</v>
      </c>
    </row>
    <row r="99" spans="2:2">
      <c r="B99" s="21">
        <f>IF(AND(C99&lt;&gt;"", H99&lt;&gt;""), HYPERLINK("#'" &amp; C99 &amp; "'!" &amp; H99, H99), "")</f>
        <v>0</v>
      </c>
    </row>
    <row r="100" spans="2:2">
      <c r="B100" s="21">
        <f>IF(AND(C100&lt;&gt;"", H100&lt;&gt;""), HYPERLINK("#'" &amp; C100 &amp; "'!" &amp; H100, H100), "")</f>
        <v>0</v>
      </c>
    </row>
    <row r="101" spans="2:2">
      <c r="B101" s="21">
        <f>IF(AND(C101&lt;&gt;"", H101&lt;&gt;""), HYPERLINK("#'" &amp; C101 &amp; "'!" &amp; H101, H101), "")</f>
        <v>0</v>
      </c>
    </row>
    <row r="102" spans="2:2">
      <c r="B102" s="21">
        <f>IF(AND(C102&lt;&gt;"", H102&lt;&gt;""), HYPERLINK("#'" &amp; C102 &amp; "'!" &amp; H102, H102), "")</f>
        <v>0</v>
      </c>
    </row>
    <row r="103" spans="2:2">
      <c r="B103" s="21">
        <f>IF(AND(C103&lt;&gt;"", H103&lt;&gt;""), HYPERLINK("#'" &amp; C103 &amp; "'!" &amp; H103, H103), "")</f>
        <v>0</v>
      </c>
    </row>
    <row r="104" spans="2:2">
      <c r="B104" s="21">
        <f>IF(AND(C104&lt;&gt;"", H104&lt;&gt;""), HYPERLINK("#'" &amp; C104 &amp; "'!" &amp; H104, H104), "")</f>
        <v>0</v>
      </c>
    </row>
    <row r="105" spans="2:2">
      <c r="B105" s="21">
        <f>IF(AND(C105&lt;&gt;"", H105&lt;&gt;""), HYPERLINK("#'" &amp; C105 &amp; "'!" &amp; H105, H105), "")</f>
        <v>0</v>
      </c>
    </row>
    <row r="106" spans="2:2">
      <c r="B106" s="21">
        <f>IF(AND(C106&lt;&gt;"", H106&lt;&gt;""), HYPERLINK("#'" &amp; C106 &amp; "'!" &amp; H106, H106), "")</f>
        <v>0</v>
      </c>
    </row>
    <row r="107" spans="2:2">
      <c r="B107" s="21">
        <f>IF(AND(C107&lt;&gt;"", H107&lt;&gt;""), HYPERLINK("#'" &amp; C107 &amp; "'!" &amp; H107, H107), "")</f>
        <v>0</v>
      </c>
    </row>
    <row r="108" spans="2:2">
      <c r="B108" s="21">
        <f>IF(AND(C108&lt;&gt;"", H108&lt;&gt;""), HYPERLINK("#'" &amp; C108 &amp; "'!" &amp; H108, H108), "")</f>
        <v>0</v>
      </c>
    </row>
    <row r="109" spans="2:2">
      <c r="B109" s="21">
        <f>IF(AND(C109&lt;&gt;"", H109&lt;&gt;""), HYPERLINK("#'" &amp; C109 &amp; "'!" &amp; H109, H109), "")</f>
        <v>0</v>
      </c>
    </row>
    <row r="110" spans="2:2">
      <c r="B110" s="21">
        <f>IF(AND(C110&lt;&gt;"", H110&lt;&gt;""), HYPERLINK("#'" &amp; C110 &amp; "'!" &amp; H110, H110), "")</f>
        <v>0</v>
      </c>
    </row>
    <row r="111" spans="2:2">
      <c r="B111" s="21">
        <f>IF(AND(C111&lt;&gt;"", H111&lt;&gt;""), HYPERLINK("#'" &amp; C111 &amp; "'!" &amp; H111, H111), "")</f>
        <v>0</v>
      </c>
    </row>
    <row r="112" spans="2:2">
      <c r="B112" s="21">
        <f>IF(AND(C112&lt;&gt;"", H112&lt;&gt;""), HYPERLINK("#'" &amp; C112 &amp; "'!" &amp; H112, H112), "")</f>
        <v>0</v>
      </c>
    </row>
    <row r="113" spans="2:2">
      <c r="B113" s="21">
        <f>IF(AND(C113&lt;&gt;"", H113&lt;&gt;""), HYPERLINK("#'" &amp; C113 &amp; "'!" &amp; H113, H113), "")</f>
        <v>0</v>
      </c>
    </row>
    <row r="114" spans="2:2">
      <c r="B114" s="21">
        <f>IF(AND(C114&lt;&gt;"", H114&lt;&gt;""), HYPERLINK("#'" &amp; C114 &amp; "'!" &amp; H114, H114), "")</f>
        <v>0</v>
      </c>
    </row>
    <row r="115" spans="2:2">
      <c r="B115" s="21">
        <f>IF(AND(C115&lt;&gt;"", H115&lt;&gt;""), HYPERLINK("#'" &amp; C115 &amp; "'!" &amp; H115, H115), "")</f>
        <v>0</v>
      </c>
    </row>
    <row r="116" spans="2:2">
      <c r="B116" s="21">
        <f>IF(AND(C116&lt;&gt;"", H116&lt;&gt;""), HYPERLINK("#'" &amp; C116 &amp; "'!" &amp; H116, H116), "")</f>
        <v>0</v>
      </c>
    </row>
    <row r="117" spans="2:2">
      <c r="B117" s="21">
        <f>IF(AND(C117&lt;&gt;"", H117&lt;&gt;""), HYPERLINK("#'" &amp; C117 &amp; "'!" &amp; H117, H117), "")</f>
        <v>0</v>
      </c>
    </row>
    <row r="118" spans="2:2">
      <c r="B118" s="21">
        <f>IF(AND(C118&lt;&gt;"", H118&lt;&gt;""), HYPERLINK("#'" &amp; C118 &amp; "'!" &amp; H118, H118), "")</f>
        <v>0</v>
      </c>
    </row>
    <row r="119" spans="2:2">
      <c r="B119" s="21">
        <f>IF(AND(C119&lt;&gt;"", H119&lt;&gt;""), HYPERLINK("#'" &amp; C119 &amp; "'!" &amp; H119, H119), "")</f>
        <v>0</v>
      </c>
    </row>
    <row r="120" spans="2:2">
      <c r="B120" s="21">
        <f>IF(AND(C120&lt;&gt;"", H120&lt;&gt;""), HYPERLINK("#'" &amp; C120 &amp; "'!" &amp; H120, H120), "")</f>
        <v>0</v>
      </c>
    </row>
    <row r="121" spans="2:2">
      <c r="B121" s="21">
        <f>IF(AND(C121&lt;&gt;"", H121&lt;&gt;""), HYPERLINK("#'" &amp; C121 &amp; "'!" &amp; H121, H121), "")</f>
        <v>0</v>
      </c>
    </row>
    <row r="122" spans="2:2">
      <c r="B122" s="21">
        <f>IF(AND(C122&lt;&gt;"", H122&lt;&gt;""), HYPERLINK("#'" &amp; C122 &amp; "'!" &amp; H122, H122), "")</f>
        <v>0</v>
      </c>
    </row>
    <row r="123" spans="2:2">
      <c r="B123" s="21">
        <f>IF(AND(C123&lt;&gt;"", H123&lt;&gt;""), HYPERLINK("#'" &amp; C123 &amp; "'!" &amp; H123, H123), "")</f>
        <v>0</v>
      </c>
    </row>
    <row r="124" spans="2:2">
      <c r="B124" s="21">
        <f>IF(AND(C124&lt;&gt;"", H124&lt;&gt;""), HYPERLINK("#'" &amp; C124 &amp; "'!" &amp; H124, H124), "")</f>
        <v>0</v>
      </c>
    </row>
    <row r="125" spans="2:2">
      <c r="B125" s="21">
        <f>IF(AND(C125&lt;&gt;"", H125&lt;&gt;""), HYPERLINK("#'" &amp; C125 &amp; "'!" &amp; H125, H125), "")</f>
        <v>0</v>
      </c>
    </row>
    <row r="126" spans="2:2">
      <c r="B126" s="21">
        <f>IF(AND(C126&lt;&gt;"", H126&lt;&gt;""), HYPERLINK("#'" &amp; C126 &amp; "'!" &amp; H126, H126), "")</f>
        <v>0</v>
      </c>
    </row>
    <row r="127" spans="2:2">
      <c r="B127" s="21">
        <f>IF(AND(C127&lt;&gt;"", H127&lt;&gt;""), HYPERLINK("#'" &amp; C127 &amp; "'!" &amp; H127, H127), "")</f>
        <v>0</v>
      </c>
    </row>
    <row r="128" spans="2:2">
      <c r="B128" s="21">
        <f>IF(AND(C128&lt;&gt;"", H128&lt;&gt;""), HYPERLINK("#'" &amp; C128 &amp; "'!" &amp; H128, H128), "")</f>
        <v>0</v>
      </c>
    </row>
    <row r="129" spans="2:2">
      <c r="B129" s="21">
        <f>IF(AND(C129&lt;&gt;"", H129&lt;&gt;""), HYPERLINK("#'" &amp; C129 &amp; "'!" &amp; H129, H129), "")</f>
        <v>0</v>
      </c>
    </row>
    <row r="130" spans="2:2">
      <c r="B130" s="21">
        <f>IF(AND(C130&lt;&gt;"", H130&lt;&gt;""), HYPERLINK("#'" &amp; C130 &amp; "'!" &amp; H130, H130), "")</f>
        <v>0</v>
      </c>
    </row>
    <row r="131" spans="2:2">
      <c r="B131" s="21">
        <f>IF(AND(C131&lt;&gt;"", H131&lt;&gt;""), HYPERLINK("#'" &amp; C131 &amp; "'!" &amp; H131, H131), "")</f>
        <v>0</v>
      </c>
    </row>
    <row r="132" spans="2:2">
      <c r="B132" s="21">
        <f>IF(AND(C132&lt;&gt;"", H132&lt;&gt;""), HYPERLINK("#'" &amp; C132 &amp; "'!" &amp; H132, H132), "")</f>
        <v>0</v>
      </c>
    </row>
    <row r="133" spans="2:2">
      <c r="B133" s="21">
        <f>IF(AND(C133&lt;&gt;"", H133&lt;&gt;""), HYPERLINK("#'" &amp; C133 &amp; "'!" &amp; H133, H133), "")</f>
        <v>0</v>
      </c>
    </row>
    <row r="134" spans="2:2">
      <c r="B134" s="21">
        <f>IF(AND(C134&lt;&gt;"", H134&lt;&gt;""), HYPERLINK("#'" &amp; C134 &amp; "'!" &amp; H134, H134), "")</f>
        <v>0</v>
      </c>
    </row>
    <row r="135" spans="2:2">
      <c r="B135" s="21">
        <f>IF(AND(C135&lt;&gt;"", H135&lt;&gt;""), HYPERLINK("#'" &amp; C135 &amp; "'!" &amp; H135, H135), "")</f>
        <v>0</v>
      </c>
    </row>
    <row r="136" spans="2:2">
      <c r="B136" s="21">
        <f>IF(AND(C136&lt;&gt;"", H136&lt;&gt;""), HYPERLINK("#'" &amp; C136 &amp; "'!" &amp; H136, H136), "")</f>
        <v>0</v>
      </c>
    </row>
    <row r="137" spans="2:2">
      <c r="B137" s="21">
        <f>IF(AND(C137&lt;&gt;"", H137&lt;&gt;""), HYPERLINK("#'" &amp; C137 &amp; "'!" &amp; H137, H137), "")</f>
        <v>0</v>
      </c>
    </row>
    <row r="138" spans="2:2">
      <c r="B138" s="21">
        <f>IF(AND(C138&lt;&gt;"", H138&lt;&gt;""), HYPERLINK("#'" &amp; C138 &amp; "'!" &amp; H138, H138), "")</f>
        <v>0</v>
      </c>
    </row>
    <row r="139" spans="2:2">
      <c r="B139" s="21">
        <f>IF(AND(C139&lt;&gt;"", H139&lt;&gt;""), HYPERLINK("#'" &amp; C139 &amp; "'!" &amp; H139, H139), "")</f>
        <v>0</v>
      </c>
    </row>
    <row r="140" spans="2:2">
      <c r="B140" s="21">
        <f>IF(AND(C140&lt;&gt;"", H140&lt;&gt;""), HYPERLINK("#'" &amp; C140 &amp; "'!" &amp; H140, H140), "")</f>
        <v>0</v>
      </c>
    </row>
    <row r="141" spans="2:2">
      <c r="B141" s="21">
        <f>IF(AND(C141&lt;&gt;"", H141&lt;&gt;""), HYPERLINK("#'" &amp; C141 &amp; "'!" &amp; H141, H141), "")</f>
        <v>0</v>
      </c>
    </row>
    <row r="142" spans="2:2">
      <c r="B142" s="21">
        <f>IF(AND(C142&lt;&gt;"", H142&lt;&gt;""), HYPERLINK("#'" &amp; C142 &amp; "'!" &amp; H142, H142), "")</f>
        <v>0</v>
      </c>
    </row>
    <row r="143" spans="2:2">
      <c r="B143" s="21">
        <f>IF(AND(C143&lt;&gt;"", H143&lt;&gt;""), HYPERLINK("#'" &amp; C143 &amp; "'!" &amp; H143, H143), "")</f>
        <v>0</v>
      </c>
    </row>
    <row r="144" spans="2:2">
      <c r="B144" s="21">
        <f>IF(AND(C144&lt;&gt;"", H144&lt;&gt;""), HYPERLINK("#'" &amp; C144 &amp; "'!" &amp; H144, H144), "")</f>
        <v>0</v>
      </c>
    </row>
    <row r="145" spans="2:2">
      <c r="B145" s="21">
        <f>IF(AND(C145&lt;&gt;"", H145&lt;&gt;""), HYPERLINK("#'" &amp; C145 &amp; "'!" &amp; H145, H145), "")</f>
        <v>0</v>
      </c>
    </row>
    <row r="146" spans="2:2">
      <c r="B146" s="21">
        <f>IF(AND(C146&lt;&gt;"", H146&lt;&gt;""), HYPERLINK("#'" &amp; C146 &amp; "'!" &amp; H146, H146), "")</f>
        <v>0</v>
      </c>
    </row>
    <row r="147" spans="2:2">
      <c r="B147" s="21">
        <f>IF(AND(C147&lt;&gt;"", H147&lt;&gt;""), HYPERLINK("#'" &amp; C147 &amp; "'!" &amp; H147, H147), "")</f>
        <v>0</v>
      </c>
    </row>
    <row r="148" spans="2:2">
      <c r="B148" s="21">
        <f>IF(AND(C148&lt;&gt;"", H148&lt;&gt;""), HYPERLINK("#'" &amp; C148 &amp; "'!" &amp; H148, H148), "")</f>
        <v>0</v>
      </c>
    </row>
    <row r="149" spans="2:2">
      <c r="B149" s="21">
        <f>IF(AND(C149&lt;&gt;"", H149&lt;&gt;""), HYPERLINK("#'" &amp; C149 &amp; "'!" &amp; H149, H149), "")</f>
        <v>0</v>
      </c>
    </row>
    <row r="150" spans="2:2">
      <c r="B150" s="21">
        <f>IF(AND(C150&lt;&gt;"", H150&lt;&gt;""), HYPERLINK("#'" &amp; C150 &amp; "'!" &amp; H150, H150), "")</f>
        <v>0</v>
      </c>
    </row>
    <row r="151" spans="2:2">
      <c r="B151" s="21">
        <f>IF(AND(C151&lt;&gt;"", H151&lt;&gt;""), HYPERLINK("#'" &amp; C151 &amp; "'!" &amp; H151, H151), "")</f>
        <v>0</v>
      </c>
    </row>
    <row r="152" spans="2:2">
      <c r="B152" s="21">
        <f>IF(AND(C152&lt;&gt;"", H152&lt;&gt;""), HYPERLINK("#'" &amp; C152 &amp; "'!" &amp; H152, H152), "")</f>
        <v>0</v>
      </c>
    </row>
    <row r="153" spans="2:2">
      <c r="B153" s="21">
        <f>IF(AND(C153&lt;&gt;"", H153&lt;&gt;""), HYPERLINK("#'" &amp; C153 &amp; "'!" &amp; H153, H153), "")</f>
        <v>0</v>
      </c>
    </row>
    <row r="154" spans="2:2">
      <c r="B154" s="21">
        <f>IF(AND(C154&lt;&gt;"", H154&lt;&gt;""), HYPERLINK("#'" &amp; C154 &amp; "'!" &amp; H154, H154), "")</f>
        <v>0</v>
      </c>
    </row>
    <row r="155" spans="2:2">
      <c r="B155" s="21">
        <f>IF(AND(C155&lt;&gt;"", H155&lt;&gt;""), HYPERLINK("#'" &amp; C155 &amp; "'!" &amp; H155, H155), "")</f>
        <v>0</v>
      </c>
    </row>
    <row r="156" spans="2:2">
      <c r="B156" s="21">
        <f>IF(AND(C156&lt;&gt;"", H156&lt;&gt;""), HYPERLINK("#'" &amp; C156 &amp; "'!" &amp; H156, H156), "")</f>
        <v>0</v>
      </c>
    </row>
    <row r="157" spans="2:2">
      <c r="B157" s="21">
        <f>IF(AND(C157&lt;&gt;"", H157&lt;&gt;""), HYPERLINK("#'" &amp; C157 &amp; "'!" &amp; H157, H157), "")</f>
        <v>0</v>
      </c>
    </row>
    <row r="158" spans="2:2">
      <c r="B158" s="21">
        <f>IF(AND(C158&lt;&gt;"", H158&lt;&gt;""), HYPERLINK("#'" &amp; C158 &amp; "'!" &amp; H158, H158), "")</f>
        <v>0</v>
      </c>
    </row>
    <row r="159" spans="2:2">
      <c r="B159" s="21">
        <f>IF(AND(C159&lt;&gt;"", H159&lt;&gt;""), HYPERLINK("#'" &amp; C159 &amp; "'!" &amp; H159, H159), "")</f>
        <v>0</v>
      </c>
    </row>
    <row r="160" spans="2:2">
      <c r="B160" s="21">
        <f>IF(AND(C160&lt;&gt;"", H160&lt;&gt;""), HYPERLINK("#'" &amp; C160 &amp; "'!" &amp; H160, H160), "")</f>
        <v>0</v>
      </c>
    </row>
    <row r="161" spans="2:2">
      <c r="B161" s="21">
        <f>IF(AND(C161&lt;&gt;"", H161&lt;&gt;""), HYPERLINK("#'" &amp; C161 &amp; "'!" &amp; H161, H161), "")</f>
        <v>0</v>
      </c>
    </row>
    <row r="162" spans="2:2">
      <c r="B162" s="21">
        <f>IF(AND(C162&lt;&gt;"", H162&lt;&gt;""), HYPERLINK("#'" &amp; C162 &amp; "'!" &amp; H162, H162), "")</f>
        <v>0</v>
      </c>
    </row>
    <row r="163" spans="2:2">
      <c r="B163" s="21">
        <f>IF(AND(C163&lt;&gt;"", H163&lt;&gt;""), HYPERLINK("#'" &amp; C163 &amp; "'!" &amp; H163, H163), "")</f>
        <v>0</v>
      </c>
    </row>
    <row r="164" spans="2:2">
      <c r="B164" s="21">
        <f>IF(AND(C164&lt;&gt;"", H164&lt;&gt;""), HYPERLINK("#'" &amp; C164 &amp; "'!" &amp; H164, H164), "")</f>
        <v>0</v>
      </c>
    </row>
    <row r="165" spans="2:2">
      <c r="B165" s="21">
        <f>IF(AND(C165&lt;&gt;"", H165&lt;&gt;""), HYPERLINK("#'" &amp; C165 &amp; "'!" &amp; H165, H165), "")</f>
        <v>0</v>
      </c>
    </row>
    <row r="166" spans="2:2">
      <c r="B166" s="21">
        <f>IF(AND(C166&lt;&gt;"", H166&lt;&gt;""), HYPERLINK("#'" &amp; C166 &amp; "'!" &amp; H166, H166), "")</f>
        <v>0</v>
      </c>
    </row>
    <row r="167" spans="2:2">
      <c r="B167" s="21">
        <f>IF(AND(C167&lt;&gt;"", H167&lt;&gt;""), HYPERLINK("#'" &amp; C167 &amp; "'!" &amp; H167, H167), "")</f>
        <v>0</v>
      </c>
    </row>
    <row r="168" spans="2:2">
      <c r="B168" s="21">
        <f>IF(AND(C168&lt;&gt;"", H168&lt;&gt;""), HYPERLINK("#'" &amp; C168 &amp; "'!" &amp; H168, H168), "")</f>
        <v>0</v>
      </c>
    </row>
    <row r="169" spans="2:2">
      <c r="B169" s="21">
        <f>IF(AND(C169&lt;&gt;"", H169&lt;&gt;""), HYPERLINK("#'" &amp; C169 &amp; "'!" &amp; H169, H169), "")</f>
        <v>0</v>
      </c>
    </row>
    <row r="170" spans="2:2">
      <c r="B170" s="21">
        <f>IF(AND(C170&lt;&gt;"", H170&lt;&gt;""), HYPERLINK("#'" &amp; C170 &amp; "'!" &amp; H170, H170), "")</f>
        <v>0</v>
      </c>
    </row>
    <row r="171" spans="2:2">
      <c r="B171" s="21">
        <f>IF(AND(C171&lt;&gt;"", H171&lt;&gt;""), HYPERLINK("#'" &amp; C171 &amp; "'!" &amp; H171, H171), "")</f>
        <v>0</v>
      </c>
    </row>
    <row r="172" spans="2:2">
      <c r="B172" s="21">
        <f>IF(AND(C172&lt;&gt;"", H172&lt;&gt;""), HYPERLINK("#'" &amp; C172 &amp; "'!" &amp; H172, H172), "")</f>
        <v>0</v>
      </c>
    </row>
    <row r="173" spans="2:2">
      <c r="B173" s="21">
        <f>IF(AND(C173&lt;&gt;"", H173&lt;&gt;""), HYPERLINK("#'" &amp; C173 &amp; "'!" &amp; H173, H173), "")</f>
        <v>0</v>
      </c>
    </row>
    <row r="174" spans="2:2">
      <c r="B174" s="21">
        <f>IF(AND(C174&lt;&gt;"", H174&lt;&gt;""), HYPERLINK("#'" &amp; C174 &amp; "'!" &amp; H174, H174), "")</f>
        <v>0</v>
      </c>
    </row>
    <row r="175" spans="2:2">
      <c r="B175" s="21">
        <f>IF(AND(C175&lt;&gt;"", H175&lt;&gt;""), HYPERLINK("#'" &amp; C175 &amp; "'!" &amp; H175, H175), "")</f>
        <v>0</v>
      </c>
    </row>
    <row r="176" spans="2:2">
      <c r="B176" s="21">
        <f>IF(AND(C176&lt;&gt;"", H176&lt;&gt;""), HYPERLINK("#'" &amp; C176 &amp; "'!" &amp; H176, H176), "")</f>
        <v>0</v>
      </c>
    </row>
    <row r="177" spans="2:2">
      <c r="B177" s="21">
        <f>IF(AND(C177&lt;&gt;"", H177&lt;&gt;""), HYPERLINK("#'" &amp; C177 &amp; "'!" &amp; H177, H177), "")</f>
        <v>0</v>
      </c>
    </row>
    <row r="178" spans="2:2">
      <c r="B178" s="21">
        <f>IF(AND(C178&lt;&gt;"", H178&lt;&gt;""), HYPERLINK("#'" &amp; C178 &amp; "'!" &amp; H178, H178), "")</f>
        <v>0</v>
      </c>
    </row>
    <row r="179" spans="2:2">
      <c r="B179" s="21">
        <f>IF(AND(C179&lt;&gt;"", H179&lt;&gt;""), HYPERLINK("#'" &amp; C179 &amp; "'!" &amp; H179, H179), "")</f>
        <v>0</v>
      </c>
    </row>
    <row r="180" spans="2:2">
      <c r="B180" s="21">
        <f>IF(AND(C180&lt;&gt;"", H180&lt;&gt;""), HYPERLINK("#'" &amp; C180 &amp; "'!" &amp; H180, H180), "")</f>
        <v>0</v>
      </c>
    </row>
    <row r="181" spans="2:2">
      <c r="B181" s="21">
        <f>IF(AND(C181&lt;&gt;"", H181&lt;&gt;""), HYPERLINK("#'" &amp; C181 &amp; "'!" &amp; H181, H181), "")</f>
        <v>0</v>
      </c>
    </row>
    <row r="182" spans="2:2">
      <c r="B182" s="21">
        <f>IF(AND(C182&lt;&gt;"", H182&lt;&gt;""), HYPERLINK("#'" &amp; C182 &amp; "'!" &amp; H182, H182), "")</f>
        <v>0</v>
      </c>
    </row>
    <row r="183" spans="2:2">
      <c r="B183" s="21">
        <f>IF(AND(C183&lt;&gt;"", H183&lt;&gt;""), HYPERLINK("#'" &amp; C183 &amp; "'!" &amp; H183, H183), "")</f>
        <v>0</v>
      </c>
    </row>
    <row r="184" spans="2:2">
      <c r="B184" s="21">
        <f>IF(AND(C184&lt;&gt;"", H184&lt;&gt;""), HYPERLINK("#'" &amp; C184 &amp; "'!" &amp; H184, H184), "")</f>
        <v>0</v>
      </c>
    </row>
    <row r="185" spans="2:2">
      <c r="B185" s="21">
        <f>IF(AND(C185&lt;&gt;"", H185&lt;&gt;""), HYPERLINK("#'" &amp; C185 &amp; "'!" &amp; H185, H185), "")</f>
        <v>0</v>
      </c>
    </row>
    <row r="186" spans="2:2">
      <c r="B186" s="21">
        <f>IF(AND(C186&lt;&gt;"", H186&lt;&gt;""), HYPERLINK("#'" &amp; C186 &amp; "'!" &amp; H186, H186), "")</f>
        <v>0</v>
      </c>
    </row>
    <row r="187" spans="2:2">
      <c r="B187" s="21">
        <f>IF(AND(C187&lt;&gt;"", H187&lt;&gt;""), HYPERLINK("#'" &amp; C187 &amp; "'!" &amp; H187, H187), "")</f>
        <v>0</v>
      </c>
    </row>
    <row r="188" spans="2:2">
      <c r="B188" s="21">
        <f>IF(AND(C188&lt;&gt;"", H188&lt;&gt;""), HYPERLINK("#'" &amp; C188 &amp; "'!" &amp; H188, H188), "")</f>
        <v>0</v>
      </c>
    </row>
    <row r="189" spans="2:2">
      <c r="B189" s="21">
        <f>IF(AND(C189&lt;&gt;"", H189&lt;&gt;""), HYPERLINK("#'" &amp; C189 &amp; "'!" &amp; H189, H189), "")</f>
        <v>0</v>
      </c>
    </row>
    <row r="190" spans="2:2">
      <c r="B190" s="21">
        <f>IF(AND(C190&lt;&gt;"", H190&lt;&gt;""), HYPERLINK("#'" &amp; C190 &amp; "'!" &amp; H190, H190), "")</f>
        <v>0</v>
      </c>
    </row>
    <row r="191" spans="2:2">
      <c r="B191" s="21">
        <f>IF(AND(C191&lt;&gt;"", H191&lt;&gt;""), HYPERLINK("#'" &amp; C191 &amp; "'!" &amp; H191, H191), "")</f>
        <v>0</v>
      </c>
    </row>
    <row r="192" spans="2:2">
      <c r="B192" s="21">
        <f>IF(AND(C192&lt;&gt;"", H192&lt;&gt;""), HYPERLINK("#'" &amp; C192 &amp; "'!" &amp; H192, H192), "")</f>
        <v>0</v>
      </c>
    </row>
    <row r="193" spans="2:2">
      <c r="B193" s="21">
        <f>IF(AND(C193&lt;&gt;"", H193&lt;&gt;""), HYPERLINK("#'" &amp; C193 &amp; "'!" &amp; H193, H193), "")</f>
        <v>0</v>
      </c>
    </row>
    <row r="194" spans="2:2">
      <c r="B194" s="21">
        <f>IF(AND(C194&lt;&gt;"", H194&lt;&gt;""), HYPERLINK("#'" &amp; C194 &amp; "'!" &amp; H194, H194), "")</f>
        <v>0</v>
      </c>
    </row>
    <row r="195" spans="2:2">
      <c r="B195" s="21">
        <f>IF(AND(C195&lt;&gt;"", H195&lt;&gt;""), HYPERLINK("#'" &amp; C195 &amp; "'!" &amp; H195, H195), "")</f>
        <v>0</v>
      </c>
    </row>
    <row r="196" spans="2:2">
      <c r="B196" s="21">
        <f>IF(AND(C196&lt;&gt;"", H196&lt;&gt;""), HYPERLINK("#'" &amp; C196 &amp; "'!" &amp; H196, H196), "")</f>
        <v>0</v>
      </c>
    </row>
    <row r="197" spans="2:2">
      <c r="B197" s="21">
        <f>IF(AND(C197&lt;&gt;"", H197&lt;&gt;""), HYPERLINK("#'" &amp; C197 &amp; "'!" &amp; H197, H197), "")</f>
        <v>0</v>
      </c>
    </row>
    <row r="198" spans="2:2">
      <c r="B198" s="21">
        <f>IF(AND(C198&lt;&gt;"", H198&lt;&gt;""), HYPERLINK("#'" &amp; C198 &amp; "'!" &amp; H198, H198), "")</f>
        <v>0</v>
      </c>
    </row>
    <row r="199" spans="2:2">
      <c r="B199" s="21">
        <f>IF(AND(C199&lt;&gt;"", H199&lt;&gt;""), HYPERLINK("#'" &amp; C199 &amp; "'!" &amp; H199, H199), "")</f>
        <v>0</v>
      </c>
    </row>
    <row r="200" spans="2:2">
      <c r="B200" s="21">
        <f>IF(AND(C200&lt;&gt;"", H200&lt;&gt;""), HYPERLINK("#'" &amp; C200 &amp; "'!" &amp; H200, H200), "")</f>
        <v>0</v>
      </c>
    </row>
    <row r="201" spans="2:2">
      <c r="B201" s="21">
        <f>IF(AND(C201&lt;&gt;"", H201&lt;&gt;""), HYPERLINK("#'" &amp; C201 &amp; "'!" &amp; H201, H201), "")</f>
        <v>0</v>
      </c>
    </row>
    <row r="202" spans="2:2">
      <c r="B202" s="21">
        <f>IF(AND(C202&lt;&gt;"", H202&lt;&gt;""), HYPERLINK("#'" &amp; C202 &amp; "'!" &amp; H202, H202), "")</f>
        <v>0</v>
      </c>
    </row>
    <row r="203" spans="2:2">
      <c r="B203" s="21">
        <f>IF(AND(C203&lt;&gt;"", H203&lt;&gt;""), HYPERLINK("#'" &amp; C203 &amp; "'!" &amp; H203, H203), "")</f>
        <v>0</v>
      </c>
    </row>
    <row r="204" spans="2:2">
      <c r="B204" s="21">
        <f>IF(AND(C204&lt;&gt;"", H204&lt;&gt;""), HYPERLINK("#'" &amp; C204 &amp; "'!" &amp; H204, H204), "")</f>
        <v>0</v>
      </c>
    </row>
    <row r="205" spans="2:2">
      <c r="B205" s="21">
        <f>IF(AND(C205&lt;&gt;"", H205&lt;&gt;""), HYPERLINK("#'" &amp; C205 &amp; "'!" &amp; H205, H205), "")</f>
        <v>0</v>
      </c>
    </row>
    <row r="206" spans="2:2">
      <c r="B206" s="21">
        <f>IF(AND(C206&lt;&gt;"", H206&lt;&gt;""), HYPERLINK("#'" &amp; C206 &amp; "'!" &amp; H206, H206), "")</f>
        <v>0</v>
      </c>
    </row>
    <row r="207" spans="2:2">
      <c r="B207" s="21">
        <f>IF(AND(C207&lt;&gt;"", H207&lt;&gt;""), HYPERLINK("#'" &amp; C207 &amp; "'!" &amp; H207, H207), "")</f>
        <v>0</v>
      </c>
    </row>
    <row r="208" spans="2:2">
      <c r="B208" s="21">
        <f>IF(AND(C208&lt;&gt;"", H208&lt;&gt;""), HYPERLINK("#'" &amp; C208 &amp; "'!" &amp; H208, H208), "")</f>
        <v>0</v>
      </c>
    </row>
    <row r="209" spans="2:2">
      <c r="B209" s="21">
        <f>IF(AND(C209&lt;&gt;"", H209&lt;&gt;""), HYPERLINK("#'" &amp; C209 &amp; "'!" &amp; H209, H209), "")</f>
        <v>0</v>
      </c>
    </row>
    <row r="210" spans="2:2">
      <c r="B210" s="21">
        <f>IF(AND(C210&lt;&gt;"", H210&lt;&gt;""), HYPERLINK("#'" &amp; C210 &amp; "'!" &amp; H210, H210), "")</f>
        <v>0</v>
      </c>
    </row>
    <row r="211" spans="2:2">
      <c r="B211" s="21">
        <f>IF(AND(C211&lt;&gt;"", H211&lt;&gt;""), HYPERLINK("#'" &amp; C211 &amp; "'!" &amp; H211, H211), "")</f>
        <v>0</v>
      </c>
    </row>
    <row r="212" spans="2:2">
      <c r="B212" s="21">
        <f>IF(AND(C212&lt;&gt;"", H212&lt;&gt;""), HYPERLINK("#'" &amp; C212 &amp; "'!" &amp; H212, H212), "")</f>
        <v>0</v>
      </c>
    </row>
    <row r="213" spans="2:2">
      <c r="B213" s="21">
        <f>IF(AND(C213&lt;&gt;"", H213&lt;&gt;""), HYPERLINK("#'" &amp; C213 &amp; "'!" &amp; H213, H213), "")</f>
        <v>0</v>
      </c>
    </row>
    <row r="214" spans="2:2">
      <c r="B214" s="21">
        <f>IF(AND(C214&lt;&gt;"", H214&lt;&gt;""), HYPERLINK("#'" &amp; C214 &amp; "'!" &amp; H214, H214), "")</f>
        <v>0</v>
      </c>
    </row>
    <row r="215" spans="2:2">
      <c r="B215" s="21">
        <f>IF(AND(C215&lt;&gt;"", H215&lt;&gt;""), HYPERLINK("#'" &amp; C215 &amp; "'!" &amp; H215, H215), "")</f>
        <v>0</v>
      </c>
    </row>
    <row r="216" spans="2:2">
      <c r="B216" s="21">
        <f>IF(AND(C216&lt;&gt;"", H216&lt;&gt;""), HYPERLINK("#'" &amp; C216 &amp; "'!" &amp; H216, H216), "")</f>
        <v>0</v>
      </c>
    </row>
    <row r="217" spans="2:2">
      <c r="B217" s="21">
        <f>IF(AND(C217&lt;&gt;"", H217&lt;&gt;""), HYPERLINK("#'" &amp; C217 &amp; "'!" &amp; H217, H217), "")</f>
        <v>0</v>
      </c>
    </row>
    <row r="218" spans="2:2">
      <c r="B218" s="21">
        <f>IF(AND(C218&lt;&gt;"", H218&lt;&gt;""), HYPERLINK("#'" &amp; C218 &amp; "'!" &amp; H218, H218), "")</f>
        <v>0</v>
      </c>
    </row>
    <row r="219" spans="2:2">
      <c r="B219" s="21">
        <f>IF(AND(C219&lt;&gt;"", H219&lt;&gt;""), HYPERLINK("#'" &amp; C219 &amp; "'!" &amp; H219, H219), "")</f>
        <v>0</v>
      </c>
    </row>
    <row r="220" spans="2:2">
      <c r="B220" s="21">
        <f>IF(AND(C220&lt;&gt;"", H220&lt;&gt;""), HYPERLINK("#'" &amp; C220 &amp; "'!" &amp; H220, H220), "")</f>
        <v>0</v>
      </c>
    </row>
    <row r="221" spans="2:2">
      <c r="B221" s="21">
        <f>IF(AND(C221&lt;&gt;"", H221&lt;&gt;""), HYPERLINK("#'" &amp; C221 &amp; "'!" &amp; H221, H221), "")</f>
        <v>0</v>
      </c>
    </row>
    <row r="222" spans="2:2">
      <c r="B222" s="21">
        <f>IF(AND(C222&lt;&gt;"", H222&lt;&gt;""), HYPERLINK("#'" &amp; C222 &amp; "'!" &amp; H222, H222), "")</f>
        <v>0</v>
      </c>
    </row>
    <row r="223" spans="2:2">
      <c r="B223" s="21">
        <f>IF(AND(C223&lt;&gt;"", H223&lt;&gt;""), HYPERLINK("#'" &amp; C223 &amp; "'!" &amp; H223, H223), "")</f>
        <v>0</v>
      </c>
    </row>
    <row r="224" spans="2:2">
      <c r="B224" s="21">
        <f>IF(AND(C224&lt;&gt;"", H224&lt;&gt;""), HYPERLINK("#'" &amp; C224 &amp; "'!" &amp; H224, H224), "")</f>
        <v>0</v>
      </c>
    </row>
    <row r="225" spans="2:2">
      <c r="B225" s="21">
        <f>IF(AND(C225&lt;&gt;"", H225&lt;&gt;""), HYPERLINK("#'" &amp; C225 &amp; "'!" &amp; H225, H225), "")</f>
        <v>0</v>
      </c>
    </row>
    <row r="226" spans="2:2">
      <c r="B226" s="21">
        <f>IF(AND(C226&lt;&gt;"", H226&lt;&gt;""), HYPERLINK("#'" &amp; C226 &amp; "'!" &amp; H226, H226), "")</f>
        <v>0</v>
      </c>
    </row>
    <row r="227" spans="2:2">
      <c r="B227" s="21">
        <f>IF(AND(C227&lt;&gt;"", H227&lt;&gt;""), HYPERLINK("#'" &amp; C227 &amp; "'!" &amp; H227, H227), "")</f>
        <v>0</v>
      </c>
    </row>
    <row r="228" spans="2:2">
      <c r="B228" s="21">
        <f>IF(AND(C228&lt;&gt;"", H228&lt;&gt;""), HYPERLINK("#'" &amp; C228 &amp; "'!" &amp; H228, H228), "")</f>
        <v>0</v>
      </c>
    </row>
    <row r="229" spans="2:2">
      <c r="B229" s="21">
        <f>IF(AND(C229&lt;&gt;"", H229&lt;&gt;""), HYPERLINK("#'" &amp; C229 &amp; "'!" &amp; H229, H229), "")</f>
        <v>0</v>
      </c>
    </row>
    <row r="230" spans="2:2">
      <c r="B230" s="21">
        <f>IF(AND(C230&lt;&gt;"", H230&lt;&gt;""), HYPERLINK("#'" &amp; C230 &amp; "'!" &amp; H230, H230), "")</f>
        <v>0</v>
      </c>
    </row>
    <row r="231" spans="2:2">
      <c r="B231" s="21">
        <f>IF(AND(C231&lt;&gt;"", H231&lt;&gt;""), HYPERLINK("#'" &amp; C231 &amp; "'!" &amp; H231, H231), "")</f>
        <v>0</v>
      </c>
    </row>
    <row r="232" spans="2:2">
      <c r="B232" s="21">
        <f>IF(AND(C232&lt;&gt;"", H232&lt;&gt;""), HYPERLINK("#'" &amp; C232 &amp; "'!" &amp; H232, H232), "")</f>
        <v>0</v>
      </c>
    </row>
    <row r="233" spans="2:2">
      <c r="B233" s="21">
        <f>IF(AND(C233&lt;&gt;"", H233&lt;&gt;""), HYPERLINK("#'" &amp; C233 &amp; "'!" &amp; H233, H233), "")</f>
        <v>0</v>
      </c>
    </row>
    <row r="234" spans="2:2">
      <c r="B234" s="21">
        <f>IF(AND(C234&lt;&gt;"", H234&lt;&gt;""), HYPERLINK("#'" &amp; C234 &amp; "'!" &amp; H234, H234), "")</f>
        <v>0</v>
      </c>
    </row>
    <row r="235" spans="2:2">
      <c r="B235" s="21">
        <f>IF(AND(C235&lt;&gt;"", H235&lt;&gt;""), HYPERLINK("#'" &amp; C235 &amp; "'!" &amp; H235, H235), "")</f>
        <v>0</v>
      </c>
    </row>
    <row r="236" spans="2:2">
      <c r="B236" s="21">
        <f>IF(AND(C236&lt;&gt;"", H236&lt;&gt;""), HYPERLINK("#'" &amp; C236 &amp; "'!" &amp; H236, H236), "")</f>
        <v>0</v>
      </c>
    </row>
    <row r="237" spans="2:2">
      <c r="B237" s="21">
        <f>IF(AND(C237&lt;&gt;"", H237&lt;&gt;""), HYPERLINK("#'" &amp; C237 &amp; "'!" &amp; H237, H237), "")</f>
        <v>0</v>
      </c>
    </row>
    <row r="238" spans="2:2">
      <c r="B238" s="21">
        <f>IF(AND(C238&lt;&gt;"", H238&lt;&gt;""), HYPERLINK("#'" &amp; C238 &amp; "'!" &amp; H238, H238), "")</f>
        <v>0</v>
      </c>
    </row>
    <row r="239" spans="2:2">
      <c r="B239" s="21">
        <f>IF(AND(C239&lt;&gt;"", H239&lt;&gt;""), HYPERLINK("#'" &amp; C239 &amp; "'!" &amp; H239, H239), "")</f>
        <v>0</v>
      </c>
    </row>
    <row r="240" spans="2:2">
      <c r="B240" s="21">
        <f>IF(AND(C240&lt;&gt;"", H240&lt;&gt;""), HYPERLINK("#'" &amp; C240 &amp; "'!" &amp; H240, H240), "")</f>
        <v>0</v>
      </c>
    </row>
    <row r="241" spans="2:2">
      <c r="B241" s="21">
        <f>IF(AND(C241&lt;&gt;"", H241&lt;&gt;""), HYPERLINK("#'" &amp; C241 &amp; "'!" &amp; H241, H241), "")</f>
        <v>0</v>
      </c>
    </row>
    <row r="242" spans="2:2">
      <c r="B242" s="21">
        <f>IF(AND(C242&lt;&gt;"", H242&lt;&gt;""), HYPERLINK("#'" &amp; C242 &amp; "'!" &amp; H242, H242), "")</f>
        <v>0</v>
      </c>
    </row>
    <row r="243" spans="2:2">
      <c r="B243" s="21">
        <f>IF(AND(C243&lt;&gt;"", H243&lt;&gt;""), HYPERLINK("#'" &amp; C243 &amp; "'!" &amp; H243, H243), "")</f>
        <v>0</v>
      </c>
    </row>
    <row r="244" spans="2:2">
      <c r="B244" s="21">
        <f>IF(AND(C244&lt;&gt;"", H244&lt;&gt;""), HYPERLINK("#'" &amp; C244 &amp; "'!" &amp; H244, H244), "")</f>
        <v>0</v>
      </c>
    </row>
    <row r="245" spans="2:2">
      <c r="B245" s="21">
        <f>IF(AND(C245&lt;&gt;"", H245&lt;&gt;""), HYPERLINK("#'" &amp; C245 &amp; "'!" &amp; H245, H245), "")</f>
        <v>0</v>
      </c>
    </row>
    <row r="246" spans="2:2">
      <c r="B246" s="21">
        <f>IF(AND(C246&lt;&gt;"", H246&lt;&gt;""), HYPERLINK("#'" &amp; C246 &amp; "'!" &amp; H246, H246), "")</f>
        <v>0</v>
      </c>
    </row>
    <row r="247" spans="2:2">
      <c r="B247" s="21">
        <f>IF(AND(C247&lt;&gt;"", H247&lt;&gt;""), HYPERLINK("#'" &amp; C247 &amp; "'!" &amp; H247, H247), "")</f>
        <v>0</v>
      </c>
    </row>
    <row r="248" spans="2:2">
      <c r="B248" s="21">
        <f>IF(AND(C248&lt;&gt;"", H248&lt;&gt;""), HYPERLINK("#'" &amp; C248 &amp; "'!" &amp; H248, H248), "")</f>
        <v>0</v>
      </c>
    </row>
    <row r="249" spans="2:2">
      <c r="B249" s="21">
        <f>IF(AND(C249&lt;&gt;"", H249&lt;&gt;""), HYPERLINK("#'" &amp; C249 &amp; "'!" &amp; H249, H249), "")</f>
        <v>0</v>
      </c>
    </row>
    <row r="250" spans="2:2">
      <c r="B250" s="21">
        <f>IF(AND(C250&lt;&gt;"", H250&lt;&gt;""), HYPERLINK("#'" &amp; C250 &amp; "'!" &amp; H250, H250), "")</f>
        <v>0</v>
      </c>
    </row>
    <row r="251" spans="2:2">
      <c r="B251" s="21">
        <f>IF(AND(C251&lt;&gt;"", H251&lt;&gt;""), HYPERLINK("#'" &amp; C251 &amp; "'!" &amp; H251, H251), "")</f>
        <v>0</v>
      </c>
    </row>
    <row r="252" spans="2:2">
      <c r="B252" s="21">
        <f>IF(AND(C252&lt;&gt;"", H252&lt;&gt;""), HYPERLINK("#'" &amp; C252 &amp; "'!" &amp; H252, H252), "")</f>
        <v>0</v>
      </c>
    </row>
    <row r="253" spans="2:2">
      <c r="B253" s="21">
        <f>IF(AND(C253&lt;&gt;"", H253&lt;&gt;""), HYPERLINK("#'" &amp; C253 &amp; "'!" &amp; H253, H253), "")</f>
        <v>0</v>
      </c>
    </row>
    <row r="254" spans="2:2">
      <c r="B254" s="21">
        <f>IF(AND(C254&lt;&gt;"", H254&lt;&gt;""), HYPERLINK("#'" &amp; C254 &amp; "'!" &amp; H254, H254), "")</f>
        <v>0</v>
      </c>
    </row>
    <row r="255" spans="2:2">
      <c r="B255" s="21">
        <f>IF(AND(C255&lt;&gt;"", H255&lt;&gt;""), HYPERLINK("#'" &amp; C255 &amp; "'!" &amp; H255, H255), "")</f>
        <v>0</v>
      </c>
    </row>
    <row r="256" spans="2:2">
      <c r="B256" s="21">
        <f>IF(AND(C256&lt;&gt;"", H256&lt;&gt;""), HYPERLINK("#'" &amp; C256 &amp; "'!" &amp; H256, H256), "")</f>
        <v>0</v>
      </c>
    </row>
    <row r="257" spans="2:2">
      <c r="B257" s="21">
        <f>IF(AND(C257&lt;&gt;"", H257&lt;&gt;""), HYPERLINK("#'" &amp; C257 &amp; "'!" &amp; H257, H257), "")</f>
        <v>0</v>
      </c>
    </row>
    <row r="258" spans="2:2">
      <c r="B258" s="21">
        <f>IF(AND(C258&lt;&gt;"", H258&lt;&gt;""), HYPERLINK("#'" &amp; C258 &amp; "'!" &amp; H258, H258), "")</f>
        <v>0</v>
      </c>
    </row>
    <row r="259" spans="2:2">
      <c r="B259" s="21">
        <f>IF(AND(C259&lt;&gt;"", H259&lt;&gt;""), HYPERLINK("#'" &amp; C259 &amp; "'!" &amp; H259, H259), "")</f>
        <v>0</v>
      </c>
    </row>
    <row r="260" spans="2:2">
      <c r="B260" s="21">
        <f>IF(AND(C260&lt;&gt;"", H260&lt;&gt;""), HYPERLINK("#'" &amp; C260 &amp; "'!" &amp; H260, H260), "")</f>
        <v>0</v>
      </c>
    </row>
    <row r="261" spans="2:2">
      <c r="B261" s="21">
        <f>IF(AND(C261&lt;&gt;"", H261&lt;&gt;""), HYPERLINK("#'" &amp; C261 &amp; "'!" &amp; H261, H261), "")</f>
        <v>0</v>
      </c>
    </row>
    <row r="262" spans="2:2">
      <c r="B262" s="21">
        <f>IF(AND(C262&lt;&gt;"", H262&lt;&gt;""), HYPERLINK("#'" &amp; C262 &amp; "'!" &amp; H262, H262), "")</f>
        <v>0</v>
      </c>
    </row>
    <row r="263" spans="2:2">
      <c r="B263" s="21">
        <f>IF(AND(C263&lt;&gt;"", H263&lt;&gt;""), HYPERLINK("#'" &amp; C263 &amp; "'!" &amp; H263, H263), "")</f>
        <v>0</v>
      </c>
    </row>
    <row r="264" spans="2:2">
      <c r="B264" s="21">
        <f>IF(AND(C264&lt;&gt;"", H264&lt;&gt;""), HYPERLINK("#'" &amp; C264 &amp; "'!" &amp; H264, H264), "")</f>
        <v>0</v>
      </c>
    </row>
    <row r="265" spans="2:2">
      <c r="B265" s="21">
        <f>IF(AND(C265&lt;&gt;"", H265&lt;&gt;""), HYPERLINK("#'" &amp; C265 &amp; "'!" &amp; H265, H265), "")</f>
        <v>0</v>
      </c>
    </row>
    <row r="266" spans="2:2">
      <c r="B266" s="21">
        <f>IF(AND(C266&lt;&gt;"", H266&lt;&gt;""), HYPERLINK("#'" &amp; C266 &amp; "'!" &amp; H266, H266), "")</f>
        <v>0</v>
      </c>
    </row>
    <row r="267" spans="2:2">
      <c r="B267" s="21">
        <f>IF(AND(C267&lt;&gt;"", H267&lt;&gt;""), HYPERLINK("#'" &amp; C267 &amp; "'!" &amp; H267, H267), "")</f>
        <v>0</v>
      </c>
    </row>
    <row r="268" spans="2:2">
      <c r="B268" s="21">
        <f>IF(AND(C268&lt;&gt;"", H268&lt;&gt;""), HYPERLINK("#'" &amp; C268 &amp; "'!" &amp; H268, H268), "")</f>
        <v>0</v>
      </c>
    </row>
    <row r="269" spans="2:2">
      <c r="B269" s="21">
        <f>IF(AND(C269&lt;&gt;"", H269&lt;&gt;""), HYPERLINK("#'" &amp; C269 &amp; "'!" &amp; H269, H269), "")</f>
        <v>0</v>
      </c>
    </row>
    <row r="270" spans="2:2">
      <c r="B270" s="21">
        <f>IF(AND(C270&lt;&gt;"", H270&lt;&gt;""), HYPERLINK("#'" &amp; C270 &amp; "'!" &amp; H270, H270), "")</f>
        <v>0</v>
      </c>
    </row>
    <row r="271" spans="2:2">
      <c r="B271" s="21">
        <f>IF(AND(C271&lt;&gt;"", H271&lt;&gt;""), HYPERLINK("#'" &amp; C271 &amp; "'!" &amp; H271, H271), "")</f>
        <v>0</v>
      </c>
    </row>
    <row r="272" spans="2:2">
      <c r="B272" s="21">
        <f>IF(AND(C272&lt;&gt;"", H272&lt;&gt;""), HYPERLINK("#'" &amp; C272 &amp; "'!" &amp; H272, H272), "")</f>
        <v>0</v>
      </c>
    </row>
    <row r="273" spans="2:2">
      <c r="B273" s="21">
        <f>IF(AND(C273&lt;&gt;"", H273&lt;&gt;""), HYPERLINK("#'" &amp; C273 &amp; "'!" &amp; H273, H273), "")</f>
        <v>0</v>
      </c>
    </row>
    <row r="274" spans="2:2">
      <c r="B274" s="21">
        <f>IF(AND(C274&lt;&gt;"", H274&lt;&gt;""), HYPERLINK("#'" &amp; C274 &amp; "'!" &amp; H274, H274), "")</f>
        <v>0</v>
      </c>
    </row>
    <row r="275" spans="2:2">
      <c r="B275" s="21">
        <f>IF(AND(C275&lt;&gt;"", H275&lt;&gt;""), HYPERLINK("#'" &amp; C275 &amp; "'!" &amp; H275, H275), "")</f>
        <v>0</v>
      </c>
    </row>
    <row r="276" spans="2:2">
      <c r="B276" s="21">
        <f>IF(AND(C276&lt;&gt;"", H276&lt;&gt;""), HYPERLINK("#'" &amp; C276 &amp; "'!" &amp; H276, H276), "")</f>
        <v>0</v>
      </c>
    </row>
    <row r="277" spans="2:2">
      <c r="B277" s="21">
        <f>IF(AND(C277&lt;&gt;"", H277&lt;&gt;""), HYPERLINK("#'" &amp; C277 &amp; "'!" &amp; H277, H277), "")</f>
        <v>0</v>
      </c>
    </row>
    <row r="278" spans="2:2">
      <c r="B278" s="21">
        <f>IF(AND(C278&lt;&gt;"", H278&lt;&gt;""), HYPERLINK("#'" &amp; C278 &amp; "'!" &amp; H278, H278), "")</f>
        <v>0</v>
      </c>
    </row>
    <row r="279" spans="2:2">
      <c r="B279" s="21">
        <f>IF(AND(C279&lt;&gt;"", H279&lt;&gt;""), HYPERLINK("#'" &amp; C279 &amp; "'!" &amp; H279, H279), "")</f>
        <v>0</v>
      </c>
    </row>
    <row r="280" spans="2:2">
      <c r="B280" s="21">
        <f>IF(AND(C280&lt;&gt;"", H280&lt;&gt;""), HYPERLINK("#'" &amp; C280 &amp; "'!" &amp; H280, H280), "")</f>
        <v>0</v>
      </c>
    </row>
    <row r="281" spans="2:2">
      <c r="B281" s="21">
        <f>IF(AND(C281&lt;&gt;"", H281&lt;&gt;""), HYPERLINK("#'" &amp; C281 &amp; "'!" &amp; H281, H281), "")</f>
        <v>0</v>
      </c>
    </row>
    <row r="282" spans="2:2">
      <c r="B282" s="21">
        <f>IF(AND(C282&lt;&gt;"", H282&lt;&gt;""), HYPERLINK("#'" &amp; C282 &amp; "'!" &amp; H282, H282), "")</f>
        <v>0</v>
      </c>
    </row>
    <row r="283" spans="2:2">
      <c r="B283" s="21">
        <f>IF(AND(C283&lt;&gt;"", H283&lt;&gt;""), HYPERLINK("#'" &amp; C283 &amp; "'!" &amp; H283, H283), "")</f>
        <v>0</v>
      </c>
    </row>
    <row r="284" spans="2:2">
      <c r="B284" s="21">
        <f>IF(AND(C284&lt;&gt;"", H284&lt;&gt;""), HYPERLINK("#'" &amp; C284 &amp; "'!" &amp; H284, H284), "")</f>
        <v>0</v>
      </c>
    </row>
    <row r="285" spans="2:2">
      <c r="B285" s="21">
        <f>IF(AND(C285&lt;&gt;"", H285&lt;&gt;""), HYPERLINK("#'" &amp; C285 &amp; "'!" &amp; H285, H285), "")</f>
        <v>0</v>
      </c>
    </row>
    <row r="286" spans="2:2">
      <c r="B286" s="21">
        <f>IF(AND(C286&lt;&gt;"", H286&lt;&gt;""), HYPERLINK("#'" &amp; C286 &amp; "'!" &amp; H286, H286), "")</f>
        <v>0</v>
      </c>
    </row>
    <row r="287" spans="2:2">
      <c r="B287" s="21">
        <f>IF(AND(C287&lt;&gt;"", H287&lt;&gt;""), HYPERLINK("#'" &amp; C287 &amp; "'!" &amp; H287, H287), "")</f>
        <v>0</v>
      </c>
    </row>
    <row r="288" spans="2:2">
      <c r="B288" s="21">
        <f>IF(AND(C288&lt;&gt;"", H288&lt;&gt;""), HYPERLINK("#'" &amp; C288 &amp; "'!" &amp; H288, H288), "")</f>
        <v>0</v>
      </c>
    </row>
    <row r="289" spans="2:2">
      <c r="B289" s="21">
        <f>IF(AND(C289&lt;&gt;"", H289&lt;&gt;""), HYPERLINK("#'" &amp; C289 &amp; "'!" &amp; H289, H289), "")</f>
        <v>0</v>
      </c>
    </row>
    <row r="290" spans="2:2">
      <c r="B290" s="21">
        <f>IF(AND(C290&lt;&gt;"", H290&lt;&gt;""), HYPERLINK("#'" &amp; C290 &amp; "'!" &amp; H290, H290), "")</f>
        <v>0</v>
      </c>
    </row>
    <row r="291" spans="2:2">
      <c r="B291" s="21">
        <f>IF(AND(C291&lt;&gt;"", H291&lt;&gt;""), HYPERLINK("#'" &amp; C291 &amp; "'!" &amp; H291, H291), "")</f>
        <v>0</v>
      </c>
    </row>
    <row r="292" spans="2:2">
      <c r="B292" s="21">
        <f>IF(AND(C292&lt;&gt;"", H292&lt;&gt;""), HYPERLINK("#'" &amp; C292 &amp; "'!" &amp; H292, H292), "")</f>
        <v>0</v>
      </c>
    </row>
    <row r="293" spans="2:2">
      <c r="B293" s="21">
        <f>IF(AND(C293&lt;&gt;"", H293&lt;&gt;""), HYPERLINK("#'" &amp; C293 &amp; "'!" &amp; H293, H293), "")</f>
        <v>0</v>
      </c>
    </row>
    <row r="294" spans="2:2">
      <c r="B294" s="21">
        <f>IF(AND(C294&lt;&gt;"", H294&lt;&gt;""), HYPERLINK("#'" &amp; C294 &amp; "'!" &amp; H294, H294), "")</f>
        <v>0</v>
      </c>
    </row>
    <row r="295" spans="2:2">
      <c r="B295" s="21">
        <f>IF(AND(C295&lt;&gt;"", H295&lt;&gt;""), HYPERLINK("#'" &amp; C295 &amp; "'!" &amp; H295, H295), "")</f>
        <v>0</v>
      </c>
    </row>
    <row r="296" spans="2:2">
      <c r="B296" s="21">
        <f>IF(AND(C296&lt;&gt;"", H296&lt;&gt;""), HYPERLINK("#'" &amp; C296 &amp; "'!" &amp; H296, H296), "")</f>
        <v>0</v>
      </c>
    </row>
    <row r="297" spans="2:2">
      <c r="B297" s="21">
        <f>IF(AND(C297&lt;&gt;"", H297&lt;&gt;""), HYPERLINK("#'" &amp; C297 &amp; "'!" &amp; H297, H297), "")</f>
        <v>0</v>
      </c>
    </row>
    <row r="298" spans="2:2">
      <c r="B298" s="21">
        <f>IF(AND(C298&lt;&gt;"", H298&lt;&gt;""), HYPERLINK("#'" &amp; C298 &amp; "'!" &amp; H298, H298), "")</f>
        <v>0</v>
      </c>
    </row>
    <row r="299" spans="2:2">
      <c r="B299" s="21">
        <f>IF(AND(C299&lt;&gt;"", H299&lt;&gt;""), HYPERLINK("#'" &amp; C299 &amp; "'!" &amp; H299, H299), "")</f>
        <v>0</v>
      </c>
    </row>
    <row r="300" spans="2:2">
      <c r="B300" s="21">
        <f>IF(AND(C300&lt;&gt;"", H300&lt;&gt;""), HYPERLINK("#'" &amp; C300 &amp; "'!" &amp; H300, H300), "")</f>
        <v>0</v>
      </c>
    </row>
    <row r="301" spans="2:2">
      <c r="B301" s="21">
        <f>IF(AND(C301&lt;&gt;"", H301&lt;&gt;""), HYPERLINK("#'" &amp; C301 &amp; "'!" &amp; H301, H301), "")</f>
        <v>0</v>
      </c>
    </row>
    <row r="302" spans="2:2">
      <c r="B302" s="21">
        <f>IF(AND(C302&lt;&gt;"", H302&lt;&gt;""), HYPERLINK("#'" &amp; C302 &amp; "'!" &amp; H302, H302), "")</f>
        <v>0</v>
      </c>
    </row>
    <row r="303" spans="2:2">
      <c r="B303" s="21">
        <f>IF(AND(C303&lt;&gt;"", H303&lt;&gt;""), HYPERLINK("#'" &amp; C303 &amp; "'!" &amp; H303, H303), "")</f>
        <v>0</v>
      </c>
    </row>
    <row r="304" spans="2:2">
      <c r="B304" s="21">
        <f>IF(AND(C304&lt;&gt;"", H304&lt;&gt;""), HYPERLINK("#'" &amp; C304 &amp; "'!" &amp; H304, H304), "")</f>
        <v>0</v>
      </c>
    </row>
    <row r="305" spans="2:2">
      <c r="B305" s="21">
        <f>IF(AND(C305&lt;&gt;"", H305&lt;&gt;""), HYPERLINK("#'" &amp; C305 &amp; "'!" &amp; H305, H305), "")</f>
        <v>0</v>
      </c>
    </row>
    <row r="306" spans="2:2">
      <c r="B306" s="21">
        <f>IF(AND(C306&lt;&gt;"", H306&lt;&gt;""), HYPERLINK("#'" &amp; C306 &amp; "'!" &amp; H306, H306), "")</f>
        <v>0</v>
      </c>
    </row>
    <row r="307" spans="2:2">
      <c r="B307" s="21">
        <f>IF(AND(C307&lt;&gt;"", H307&lt;&gt;""), HYPERLINK("#'" &amp; C307 &amp; "'!" &amp; H307, H307), "")</f>
        <v>0</v>
      </c>
    </row>
    <row r="308" spans="2:2">
      <c r="B308" s="21">
        <f>IF(AND(C308&lt;&gt;"", H308&lt;&gt;""), HYPERLINK("#'" &amp; C308 &amp; "'!" &amp; H308, H308), "")</f>
        <v>0</v>
      </c>
    </row>
    <row r="309" spans="2:2">
      <c r="B309" s="21">
        <f>IF(AND(C309&lt;&gt;"", H309&lt;&gt;""), HYPERLINK("#'" &amp; C309 &amp; "'!" &amp; H309, H309), "")</f>
        <v>0</v>
      </c>
    </row>
    <row r="310" spans="2:2">
      <c r="B310" s="21">
        <f>IF(AND(C310&lt;&gt;"", H310&lt;&gt;""), HYPERLINK("#'" &amp; C310 &amp; "'!" &amp; H310, H310), "")</f>
        <v>0</v>
      </c>
    </row>
    <row r="311" spans="2:2">
      <c r="B311" s="21">
        <f>IF(AND(C311&lt;&gt;"", H311&lt;&gt;""), HYPERLINK("#'" &amp; C311 &amp; "'!" &amp; H311, H311), "")</f>
        <v>0</v>
      </c>
    </row>
    <row r="312" spans="2:2">
      <c r="B312" s="21">
        <f>IF(AND(C312&lt;&gt;"", H312&lt;&gt;""), HYPERLINK("#'" &amp; C312 &amp; "'!" &amp; H312, H312), "")</f>
        <v>0</v>
      </c>
    </row>
    <row r="313" spans="2:2">
      <c r="B313" s="21">
        <f>IF(AND(C313&lt;&gt;"", H313&lt;&gt;""), HYPERLINK("#'" &amp; C313 &amp; "'!" &amp; H313, H313), "")</f>
        <v>0</v>
      </c>
    </row>
    <row r="314" spans="2:2">
      <c r="B314" s="21">
        <f>IF(AND(C314&lt;&gt;"", H314&lt;&gt;""), HYPERLINK("#'" &amp; C314 &amp; "'!" &amp; H314, H314), "")</f>
        <v>0</v>
      </c>
    </row>
    <row r="315" spans="2:2">
      <c r="B315" s="21">
        <f>IF(AND(C315&lt;&gt;"", H315&lt;&gt;""), HYPERLINK("#'" &amp; C315 &amp; "'!" &amp; H315, H315), "")</f>
        <v>0</v>
      </c>
    </row>
    <row r="316" spans="2:2">
      <c r="B316" s="21">
        <f>IF(AND(C316&lt;&gt;"", H316&lt;&gt;""), HYPERLINK("#'" &amp; C316 &amp; "'!" &amp; H316, H316), "")</f>
        <v>0</v>
      </c>
    </row>
    <row r="317" spans="2:2">
      <c r="B317" s="21">
        <f>IF(AND(C317&lt;&gt;"", H317&lt;&gt;""), HYPERLINK("#'" &amp; C317 &amp; "'!" &amp; H317, H317), "")</f>
        <v>0</v>
      </c>
    </row>
    <row r="318" spans="2:2">
      <c r="B318" s="21">
        <f>IF(AND(C318&lt;&gt;"", H318&lt;&gt;""), HYPERLINK("#'" &amp; C318 &amp; "'!" &amp; H318, H318), "")</f>
        <v>0</v>
      </c>
    </row>
    <row r="319" spans="2:2">
      <c r="B319" s="21">
        <f>IF(AND(C319&lt;&gt;"", H319&lt;&gt;""), HYPERLINK("#'" &amp; C319 &amp; "'!" &amp; H319, H319), "")</f>
        <v>0</v>
      </c>
    </row>
    <row r="320" spans="2:2">
      <c r="B320" s="21">
        <f>IF(AND(C320&lt;&gt;"", H320&lt;&gt;""), HYPERLINK("#'" &amp; C320 &amp; "'!" &amp; H320, H320), "")</f>
        <v>0</v>
      </c>
    </row>
    <row r="321" spans="2:2">
      <c r="B321" s="21">
        <f>IF(AND(C321&lt;&gt;"", H321&lt;&gt;""), HYPERLINK("#'" &amp; C321 &amp; "'!" &amp; H321, H321), "")</f>
        <v>0</v>
      </c>
    </row>
    <row r="322" spans="2:2">
      <c r="B322" s="21">
        <f>IF(AND(C322&lt;&gt;"", H322&lt;&gt;""), HYPERLINK("#'" &amp; C322 &amp; "'!" &amp; H322, H322), "")</f>
        <v>0</v>
      </c>
    </row>
    <row r="323" spans="2:2">
      <c r="B323" s="21">
        <f>IF(AND(C323&lt;&gt;"", H323&lt;&gt;""), HYPERLINK("#'" &amp; C323 &amp; "'!" &amp; H323, H323), "")</f>
        <v>0</v>
      </c>
    </row>
    <row r="324" spans="2:2">
      <c r="B324" s="21">
        <f>IF(AND(C324&lt;&gt;"", H324&lt;&gt;""), HYPERLINK("#'" &amp; C324 &amp; "'!" &amp; H324, H324), "")</f>
        <v>0</v>
      </c>
    </row>
    <row r="325" spans="2:2">
      <c r="B325" s="21">
        <f>IF(AND(C325&lt;&gt;"", H325&lt;&gt;""), HYPERLINK("#'" &amp; C325 &amp; "'!" &amp; H325, H325), "")</f>
        <v>0</v>
      </c>
    </row>
    <row r="326" spans="2:2">
      <c r="B326" s="21">
        <f>IF(AND(C326&lt;&gt;"", H326&lt;&gt;""), HYPERLINK("#'" &amp; C326 &amp; "'!" &amp; H326, H326), "")</f>
        <v>0</v>
      </c>
    </row>
    <row r="327" spans="2:2">
      <c r="B327" s="21">
        <f>IF(AND(C327&lt;&gt;"", H327&lt;&gt;""), HYPERLINK("#'" &amp; C327 &amp; "'!" &amp; H327, H327), "")</f>
        <v>0</v>
      </c>
    </row>
    <row r="328" spans="2:2">
      <c r="B328" s="21">
        <f>IF(AND(C328&lt;&gt;"", H328&lt;&gt;""), HYPERLINK("#'" &amp; C328 &amp; "'!" &amp; H328, H328), "")</f>
        <v>0</v>
      </c>
    </row>
    <row r="329" spans="2:2">
      <c r="B329" s="21">
        <f>IF(AND(C329&lt;&gt;"", H329&lt;&gt;""), HYPERLINK("#'" &amp; C329 &amp; "'!" &amp; H329, H329), "")</f>
        <v>0</v>
      </c>
    </row>
    <row r="330" spans="2:2">
      <c r="B330" s="21">
        <f>IF(AND(C330&lt;&gt;"", H330&lt;&gt;""), HYPERLINK("#'" &amp; C330 &amp; "'!" &amp; H330, H330), "")</f>
        <v>0</v>
      </c>
    </row>
    <row r="331" spans="2:2">
      <c r="B331" s="21">
        <f>IF(AND(C331&lt;&gt;"", H331&lt;&gt;""), HYPERLINK("#'" &amp; C331 &amp; "'!" &amp; H331, H331), "")</f>
        <v>0</v>
      </c>
    </row>
    <row r="332" spans="2:2">
      <c r="B332" s="21">
        <f>IF(AND(C332&lt;&gt;"", H332&lt;&gt;""), HYPERLINK("#'" &amp; C332 &amp; "'!" &amp; H332, H332), "")</f>
        <v>0</v>
      </c>
    </row>
    <row r="333" spans="2:2">
      <c r="B333" s="21">
        <f>IF(AND(C333&lt;&gt;"", H333&lt;&gt;""), HYPERLINK("#'" &amp; C333 &amp; "'!" &amp; H333, H333), "")</f>
        <v>0</v>
      </c>
    </row>
    <row r="334" spans="2:2">
      <c r="B334" s="21">
        <f>IF(AND(C334&lt;&gt;"", H334&lt;&gt;""), HYPERLINK("#'" &amp; C334 &amp; "'!" &amp; H334, H334), "")</f>
        <v>0</v>
      </c>
    </row>
    <row r="335" spans="2:2">
      <c r="B335" s="21">
        <f>IF(AND(C335&lt;&gt;"", H335&lt;&gt;""), HYPERLINK("#'" &amp; C335 &amp; "'!" &amp; H335, H335), "")</f>
        <v>0</v>
      </c>
    </row>
    <row r="336" spans="2:2">
      <c r="B336" s="21">
        <f>IF(AND(C336&lt;&gt;"", H336&lt;&gt;""), HYPERLINK("#'" &amp; C336 &amp; "'!" &amp; H336, H336), "")</f>
        <v>0</v>
      </c>
    </row>
    <row r="337" spans="2:2">
      <c r="B337" s="21">
        <f>IF(AND(C337&lt;&gt;"", H337&lt;&gt;""), HYPERLINK("#'" &amp; C337 &amp; "'!" &amp; H337, H337), "")</f>
        <v>0</v>
      </c>
    </row>
    <row r="338" spans="2:2">
      <c r="B338" s="21">
        <f>IF(AND(C338&lt;&gt;"", H338&lt;&gt;""), HYPERLINK("#'" &amp; C338 &amp; "'!" &amp; H338, H338), "")</f>
        <v>0</v>
      </c>
    </row>
    <row r="339" spans="2:2">
      <c r="B339" s="21">
        <f>IF(AND(C339&lt;&gt;"", H339&lt;&gt;""), HYPERLINK("#'" &amp; C339 &amp; "'!" &amp; H339, H339), "")</f>
        <v>0</v>
      </c>
    </row>
    <row r="340" spans="2:2">
      <c r="B340" s="21">
        <f>IF(AND(C340&lt;&gt;"", H340&lt;&gt;""), HYPERLINK("#'" &amp; C340 &amp; "'!" &amp; H340, H340), "")</f>
        <v>0</v>
      </c>
    </row>
    <row r="341" spans="2:2">
      <c r="B341" s="21">
        <f>IF(AND(C341&lt;&gt;"", H341&lt;&gt;""), HYPERLINK("#'" &amp; C341 &amp; "'!" &amp; H341, H341), "")</f>
        <v>0</v>
      </c>
    </row>
    <row r="342" spans="2:2">
      <c r="B342" s="21">
        <f>IF(AND(C342&lt;&gt;"", H342&lt;&gt;""), HYPERLINK("#'" &amp; C342 &amp; "'!" &amp; H342, H342), "")</f>
        <v>0</v>
      </c>
    </row>
    <row r="343" spans="2:2">
      <c r="B343" s="21">
        <f>IF(AND(C343&lt;&gt;"", H343&lt;&gt;""), HYPERLINK("#'" &amp; C343 &amp; "'!" &amp; H343, H343), "")</f>
        <v>0</v>
      </c>
    </row>
    <row r="344" spans="2:2">
      <c r="B344" s="21">
        <f>IF(AND(C344&lt;&gt;"", H344&lt;&gt;""), HYPERLINK("#'" &amp; C344 &amp; "'!" &amp; H344, H344), "")</f>
        <v>0</v>
      </c>
    </row>
    <row r="345" spans="2:2">
      <c r="B345" s="21">
        <f>IF(AND(C345&lt;&gt;"", H345&lt;&gt;""), HYPERLINK("#'" &amp; C345 &amp; "'!" &amp; H345, H345), "")</f>
        <v>0</v>
      </c>
    </row>
    <row r="346" spans="2:2">
      <c r="B346" s="21">
        <f>IF(AND(C346&lt;&gt;"", H346&lt;&gt;""), HYPERLINK("#'" &amp; C346 &amp; "'!" &amp; H346, H346), "")</f>
        <v>0</v>
      </c>
    </row>
    <row r="347" spans="2:2">
      <c r="B347" s="21">
        <f>IF(AND(C347&lt;&gt;"", H347&lt;&gt;""), HYPERLINK("#'" &amp; C347 &amp; "'!" &amp; H347, H347), "")</f>
        <v>0</v>
      </c>
    </row>
    <row r="348" spans="2:2">
      <c r="B348" s="21">
        <f>IF(AND(C348&lt;&gt;"", H348&lt;&gt;""), HYPERLINK("#'" &amp; C348 &amp; "'!" &amp; H348, H348), "")</f>
        <v>0</v>
      </c>
    </row>
    <row r="349" spans="2:2">
      <c r="B349" s="21">
        <f>IF(AND(C349&lt;&gt;"", H349&lt;&gt;""), HYPERLINK("#'" &amp; C349 &amp; "'!" &amp; H349, H349), "")</f>
        <v>0</v>
      </c>
    </row>
    <row r="350" spans="2:2">
      <c r="B350" s="21">
        <f>IF(AND(C350&lt;&gt;"", H350&lt;&gt;""), HYPERLINK("#'" &amp; C350 &amp; "'!" &amp; H350, H350), "")</f>
        <v>0</v>
      </c>
    </row>
    <row r="351" spans="2:2">
      <c r="B351" s="21">
        <f>IF(AND(C351&lt;&gt;"", H351&lt;&gt;""), HYPERLINK("#'" &amp; C351 &amp; "'!" &amp; H351, H351), "")</f>
        <v>0</v>
      </c>
    </row>
    <row r="352" spans="2:2">
      <c r="B352" s="21">
        <f>IF(AND(C352&lt;&gt;"", H352&lt;&gt;""), HYPERLINK("#'" &amp; C352 &amp; "'!" &amp; H352, H352), "")</f>
        <v>0</v>
      </c>
    </row>
    <row r="353" spans="2:2">
      <c r="B353" s="21">
        <f>IF(AND(C353&lt;&gt;"", H353&lt;&gt;""), HYPERLINK("#'" &amp; C353 &amp; "'!" &amp; H353, H353), "")</f>
        <v>0</v>
      </c>
    </row>
    <row r="354" spans="2:2">
      <c r="B354" s="21">
        <f>IF(AND(C354&lt;&gt;"", H354&lt;&gt;""), HYPERLINK("#'" &amp; C354 &amp; "'!" &amp; H354, H354), "")</f>
        <v>0</v>
      </c>
    </row>
    <row r="355" spans="2:2">
      <c r="B355" s="21">
        <f>IF(AND(C355&lt;&gt;"", H355&lt;&gt;""), HYPERLINK("#'" &amp; C355 &amp; "'!" &amp; H355, H355), "")</f>
        <v>0</v>
      </c>
    </row>
    <row r="356" spans="2:2">
      <c r="B356" s="21">
        <f>IF(AND(C356&lt;&gt;"", H356&lt;&gt;""), HYPERLINK("#'" &amp; C356 &amp; "'!" &amp; H356, H356), "")</f>
        <v>0</v>
      </c>
    </row>
    <row r="357" spans="2:2">
      <c r="B357" s="21">
        <f>IF(AND(C357&lt;&gt;"", H357&lt;&gt;""), HYPERLINK("#'" &amp; C357 &amp; "'!" &amp; H357, H357), "")</f>
        <v>0</v>
      </c>
    </row>
    <row r="358" spans="2:2">
      <c r="B358" s="21">
        <f>IF(AND(C358&lt;&gt;"", H358&lt;&gt;""), HYPERLINK("#'" &amp; C358 &amp; "'!" &amp; H358, H358), "")</f>
        <v>0</v>
      </c>
    </row>
    <row r="359" spans="2:2">
      <c r="B359" s="21">
        <f>IF(AND(C359&lt;&gt;"", H359&lt;&gt;""), HYPERLINK("#'" &amp; C359 &amp; "'!" &amp; H359, H359), "")</f>
        <v>0</v>
      </c>
    </row>
    <row r="360" spans="2:2">
      <c r="B360" s="21">
        <f>IF(AND(C360&lt;&gt;"", H360&lt;&gt;""), HYPERLINK("#'" &amp; C360 &amp; "'!" &amp; H360, H360), "")</f>
        <v>0</v>
      </c>
    </row>
    <row r="361" spans="2:2">
      <c r="B361" s="21">
        <f>IF(AND(C361&lt;&gt;"", H361&lt;&gt;""), HYPERLINK("#'" &amp; C361 &amp; "'!" &amp; H361, H361), "")</f>
        <v>0</v>
      </c>
    </row>
    <row r="362" spans="2:2">
      <c r="B362" s="21">
        <f>IF(AND(C362&lt;&gt;"", H362&lt;&gt;""), HYPERLINK("#'" &amp; C362 &amp; "'!" &amp; H362, H362), "")</f>
        <v>0</v>
      </c>
    </row>
    <row r="363" spans="2:2">
      <c r="B363" s="21">
        <f>IF(AND(C363&lt;&gt;"", H363&lt;&gt;""), HYPERLINK("#'" &amp; C363 &amp; "'!" &amp; H363, H363), "")</f>
        <v>0</v>
      </c>
    </row>
    <row r="364" spans="2:2">
      <c r="B364" s="21">
        <f>IF(AND(C364&lt;&gt;"", H364&lt;&gt;""), HYPERLINK("#'" &amp; C364 &amp; "'!" &amp; H364, H364), "")</f>
        <v>0</v>
      </c>
    </row>
    <row r="365" spans="2:2">
      <c r="B365" s="21">
        <f>IF(AND(C365&lt;&gt;"", H365&lt;&gt;""), HYPERLINK("#'" &amp; C365 &amp; "'!" &amp; H365, H365), "")</f>
        <v>0</v>
      </c>
    </row>
    <row r="366" spans="2:2">
      <c r="B366" s="21">
        <f>IF(AND(C366&lt;&gt;"", H366&lt;&gt;""), HYPERLINK("#'" &amp; C366 &amp; "'!" &amp; H366, H366), "")</f>
        <v>0</v>
      </c>
    </row>
    <row r="367" spans="2:2">
      <c r="B367" s="21">
        <f>IF(AND(C367&lt;&gt;"", H367&lt;&gt;""), HYPERLINK("#'" &amp; C367 &amp; "'!" &amp; H367, H367), "")</f>
        <v>0</v>
      </c>
    </row>
    <row r="368" spans="2:2">
      <c r="B368" s="21">
        <f>IF(AND(C368&lt;&gt;"", H368&lt;&gt;""), HYPERLINK("#'" &amp; C368 &amp; "'!" &amp; H368, H368), "")</f>
        <v>0</v>
      </c>
    </row>
    <row r="369" spans="2:2">
      <c r="B369" s="21">
        <f>IF(AND(C369&lt;&gt;"", H369&lt;&gt;""), HYPERLINK("#'" &amp; C369 &amp; "'!" &amp; H369, H369), "")</f>
        <v>0</v>
      </c>
    </row>
    <row r="370" spans="2:2">
      <c r="B370" s="21">
        <f>IF(AND(C370&lt;&gt;"", H370&lt;&gt;""), HYPERLINK("#'" &amp; C370 &amp; "'!" &amp; H370, H370), "")</f>
        <v>0</v>
      </c>
    </row>
    <row r="371" spans="2:2">
      <c r="B371" s="21">
        <f>IF(AND(C371&lt;&gt;"", H371&lt;&gt;""), HYPERLINK("#'" &amp; C371 &amp; "'!" &amp; H371, H371), "")</f>
        <v>0</v>
      </c>
    </row>
    <row r="372" spans="2:2">
      <c r="B372" s="21">
        <f>IF(AND(C372&lt;&gt;"", H372&lt;&gt;""), HYPERLINK("#'" &amp; C372 &amp; "'!" &amp; H372, H372), "")</f>
        <v>0</v>
      </c>
    </row>
    <row r="373" spans="2:2">
      <c r="B373" s="21">
        <f>IF(AND(C373&lt;&gt;"", H373&lt;&gt;""), HYPERLINK("#'" &amp; C373 &amp; "'!" &amp; H373, H373), "")</f>
        <v>0</v>
      </c>
    </row>
    <row r="374" spans="2:2">
      <c r="B374" s="21">
        <f>IF(AND(C374&lt;&gt;"", H374&lt;&gt;""), HYPERLINK("#'" &amp; C374 &amp; "'!" &amp; H374, H374), "")</f>
        <v>0</v>
      </c>
    </row>
    <row r="375" spans="2:2">
      <c r="B375" s="21">
        <f>IF(AND(C375&lt;&gt;"", H375&lt;&gt;""), HYPERLINK("#'" &amp; C375 &amp; "'!" &amp; H375, H375), "")</f>
        <v>0</v>
      </c>
    </row>
    <row r="376" spans="2:2">
      <c r="B376" s="21">
        <f>IF(AND(C376&lt;&gt;"", H376&lt;&gt;""), HYPERLINK("#'" &amp; C376 &amp; "'!" &amp; H376, H376), "")</f>
        <v>0</v>
      </c>
    </row>
    <row r="377" spans="2:2">
      <c r="B377" s="21">
        <f>IF(AND(C377&lt;&gt;"", H377&lt;&gt;""), HYPERLINK("#'" &amp; C377 &amp; "'!" &amp; H377, H377), "")</f>
        <v>0</v>
      </c>
    </row>
    <row r="378" spans="2:2">
      <c r="B378" s="21">
        <f>IF(AND(C378&lt;&gt;"", H378&lt;&gt;""), HYPERLINK("#'" &amp; C378 &amp; "'!" &amp; H378, H378), "")</f>
        <v>0</v>
      </c>
    </row>
    <row r="379" spans="2:2">
      <c r="B379" s="21">
        <f>IF(AND(C379&lt;&gt;"", H379&lt;&gt;""), HYPERLINK("#'" &amp; C379 &amp; "'!" &amp; H379, H379), "")</f>
        <v>0</v>
      </c>
    </row>
    <row r="380" spans="2:2">
      <c r="B380" s="21">
        <f>IF(AND(C380&lt;&gt;"", H380&lt;&gt;""), HYPERLINK("#'" &amp; C380 &amp; "'!" &amp; H380, H380), "")</f>
        <v>0</v>
      </c>
    </row>
    <row r="381" spans="2:2">
      <c r="B381" s="21">
        <f>IF(AND(C381&lt;&gt;"", H381&lt;&gt;""), HYPERLINK("#'" &amp; C381 &amp; "'!" &amp; H381, H381), "")</f>
        <v>0</v>
      </c>
    </row>
    <row r="382" spans="2:2">
      <c r="B382" s="21">
        <f>IF(AND(C382&lt;&gt;"", H382&lt;&gt;""), HYPERLINK("#'" &amp; C382 &amp; "'!" &amp; H382, H382), "")</f>
        <v>0</v>
      </c>
    </row>
    <row r="383" spans="2:2">
      <c r="B383" s="21">
        <f>IF(AND(C383&lt;&gt;"", H383&lt;&gt;""), HYPERLINK("#'" &amp; C383 &amp; "'!" &amp; H383, H383), "")</f>
        <v>0</v>
      </c>
    </row>
    <row r="384" spans="2:2">
      <c r="B384" s="21">
        <f>IF(AND(C384&lt;&gt;"", H384&lt;&gt;""), HYPERLINK("#'" &amp; C384 &amp; "'!" &amp; H384, H384), "")</f>
        <v>0</v>
      </c>
    </row>
    <row r="385" spans="2:2">
      <c r="B385" s="21">
        <f>IF(AND(C385&lt;&gt;"", H385&lt;&gt;""), HYPERLINK("#'" &amp; C385 &amp; "'!" &amp; H385, H385), "")</f>
        <v>0</v>
      </c>
    </row>
    <row r="386" spans="2:2">
      <c r="B386" s="21">
        <f>IF(AND(C386&lt;&gt;"", H386&lt;&gt;""), HYPERLINK("#'" &amp; C386 &amp; "'!" &amp; H386, H386), "")</f>
        <v>0</v>
      </c>
    </row>
    <row r="387" spans="2:2">
      <c r="B387" s="21">
        <f>IF(AND(C387&lt;&gt;"", H387&lt;&gt;""), HYPERLINK("#'" &amp; C387 &amp; "'!" &amp; H387, H387), "")</f>
        <v>0</v>
      </c>
    </row>
    <row r="388" spans="2:2">
      <c r="B388" s="21">
        <f>IF(AND(C388&lt;&gt;"", H388&lt;&gt;""), HYPERLINK("#'" &amp; C388 &amp; "'!" &amp; H388, H388), "")</f>
        <v>0</v>
      </c>
    </row>
    <row r="389" spans="2:2">
      <c r="B389" s="21">
        <f>IF(AND(C389&lt;&gt;"", H389&lt;&gt;""), HYPERLINK("#'" &amp; C389 &amp; "'!" &amp; H389, H389), "")</f>
        <v>0</v>
      </c>
    </row>
    <row r="390" spans="2:2">
      <c r="B390" s="21">
        <f>IF(AND(C390&lt;&gt;"", H390&lt;&gt;""), HYPERLINK("#'" &amp; C390 &amp; "'!" &amp; H390, H390), "")</f>
        <v>0</v>
      </c>
    </row>
    <row r="391" spans="2:2">
      <c r="B391" s="21">
        <f>IF(AND(C391&lt;&gt;"", H391&lt;&gt;""), HYPERLINK("#'" &amp; C391 &amp; "'!" &amp; H391, H391), "")</f>
        <v>0</v>
      </c>
    </row>
    <row r="392" spans="2:2">
      <c r="B392" s="21">
        <f>IF(AND(C392&lt;&gt;"", H392&lt;&gt;""), HYPERLINK("#'" &amp; C392 &amp; "'!" &amp; H392, H392), "")</f>
        <v>0</v>
      </c>
    </row>
    <row r="393" spans="2:2">
      <c r="B393" s="21">
        <f>IF(AND(C393&lt;&gt;"", H393&lt;&gt;""), HYPERLINK("#'" &amp; C393 &amp; "'!" &amp; H393, H393), "")</f>
        <v>0</v>
      </c>
    </row>
    <row r="394" spans="2:2">
      <c r="B394" s="21">
        <f>IF(AND(C394&lt;&gt;"", H394&lt;&gt;""), HYPERLINK("#'" &amp; C394 &amp; "'!" &amp; H394, H394), "")</f>
        <v>0</v>
      </c>
    </row>
    <row r="395" spans="2:2">
      <c r="B395" s="21">
        <f>IF(AND(C395&lt;&gt;"", H395&lt;&gt;""), HYPERLINK("#'" &amp; C395 &amp; "'!" &amp; H395, H395), "")</f>
        <v>0</v>
      </c>
    </row>
    <row r="396" spans="2:2">
      <c r="B396" s="21">
        <f>IF(AND(C396&lt;&gt;"", H396&lt;&gt;""), HYPERLINK("#'" &amp; C396 &amp; "'!" &amp; H396, H396), "")</f>
        <v>0</v>
      </c>
    </row>
    <row r="397" spans="2:2">
      <c r="B397" s="21">
        <f>IF(AND(C397&lt;&gt;"", H397&lt;&gt;""), HYPERLINK("#'" &amp; C397 &amp; "'!" &amp; H397, H397), "")</f>
        <v>0</v>
      </c>
    </row>
    <row r="398" spans="2:2">
      <c r="B398" s="21">
        <f>IF(AND(C398&lt;&gt;"", H398&lt;&gt;""), HYPERLINK("#'" &amp; C398 &amp; "'!" &amp; H398, H398), "")</f>
        <v>0</v>
      </c>
    </row>
    <row r="399" spans="2:2">
      <c r="B399" s="21">
        <f>IF(AND(C399&lt;&gt;"", H399&lt;&gt;""), HYPERLINK("#'" &amp; C399 &amp; "'!" &amp; H399, H399), "")</f>
        <v>0</v>
      </c>
    </row>
    <row r="400" spans="2:2">
      <c r="B400" s="21">
        <f>IF(AND(C400&lt;&gt;"", H400&lt;&gt;""), HYPERLINK("#'" &amp; C400 &amp; "'!" &amp; H400, H400), "")</f>
        <v>0</v>
      </c>
    </row>
    <row r="401" spans="2:2">
      <c r="B401" s="21">
        <f>IF(AND(C401&lt;&gt;"", H401&lt;&gt;""), HYPERLINK("#'" &amp; C401 &amp; "'!" &amp; H401, H401), "")</f>
        <v>0</v>
      </c>
    </row>
    <row r="402" spans="2:2">
      <c r="B402" s="21">
        <f>IF(AND(C402&lt;&gt;"", H402&lt;&gt;""), HYPERLINK("#'" &amp; C402 &amp; "'!" &amp; H402, H402), "")</f>
        <v>0</v>
      </c>
    </row>
    <row r="403" spans="2:2">
      <c r="B403" s="21">
        <f>IF(AND(C403&lt;&gt;"", H403&lt;&gt;""), HYPERLINK("#'" &amp; C403 &amp; "'!" &amp; H403, H403), "")</f>
        <v>0</v>
      </c>
    </row>
    <row r="404" spans="2:2">
      <c r="B404" s="21">
        <f>IF(AND(C404&lt;&gt;"", H404&lt;&gt;""), HYPERLINK("#'" &amp; C404 &amp; "'!" &amp; H404, H404), "")</f>
        <v>0</v>
      </c>
    </row>
    <row r="405" spans="2:2">
      <c r="B405" s="21">
        <f>IF(AND(C405&lt;&gt;"", H405&lt;&gt;""), HYPERLINK("#'" &amp; C405 &amp; "'!" &amp; H405, H405), "")</f>
        <v>0</v>
      </c>
    </row>
    <row r="406" spans="2:2">
      <c r="B406" s="21">
        <f>IF(AND(C406&lt;&gt;"", H406&lt;&gt;""), HYPERLINK("#'" &amp; C406 &amp; "'!" &amp; H406, H406), "")</f>
        <v>0</v>
      </c>
    </row>
    <row r="407" spans="2:2">
      <c r="B407" s="21">
        <f>IF(AND(C407&lt;&gt;"", H407&lt;&gt;""), HYPERLINK("#'" &amp; C407 &amp; "'!" &amp; H407, H407), "")</f>
        <v>0</v>
      </c>
    </row>
    <row r="408" spans="2:2">
      <c r="B408" s="21">
        <f>IF(AND(C408&lt;&gt;"", H408&lt;&gt;""), HYPERLINK("#'" &amp; C408 &amp; "'!" &amp; H408, H408), "")</f>
        <v>0</v>
      </c>
    </row>
    <row r="409" spans="2:2">
      <c r="B409" s="21">
        <f>IF(AND(C409&lt;&gt;"", H409&lt;&gt;""), HYPERLINK("#'" &amp; C409 &amp; "'!" &amp; H409, H409), "")</f>
        <v>0</v>
      </c>
    </row>
    <row r="410" spans="2:2">
      <c r="B410" s="21">
        <f>IF(AND(C410&lt;&gt;"", H410&lt;&gt;""), HYPERLINK("#'" &amp; C410 &amp; "'!" &amp; H410, H410), "")</f>
        <v>0</v>
      </c>
    </row>
    <row r="411" spans="2:2">
      <c r="B411" s="21">
        <f>IF(AND(C411&lt;&gt;"", H411&lt;&gt;""), HYPERLINK("#'" &amp; C411 &amp; "'!" &amp; H411, H411), "")</f>
        <v>0</v>
      </c>
    </row>
    <row r="412" spans="2:2">
      <c r="B412" s="21">
        <f>IF(AND(C412&lt;&gt;"", H412&lt;&gt;""), HYPERLINK("#'" &amp; C412 &amp; "'!" &amp; H412, H412), "")</f>
        <v>0</v>
      </c>
    </row>
    <row r="413" spans="2:2">
      <c r="B413" s="21">
        <f>IF(AND(C413&lt;&gt;"", H413&lt;&gt;""), HYPERLINK("#'" &amp; C413 &amp; "'!" &amp; H413, H413), "")</f>
        <v>0</v>
      </c>
    </row>
    <row r="414" spans="2:2">
      <c r="B414" s="21">
        <f>IF(AND(C414&lt;&gt;"", H414&lt;&gt;""), HYPERLINK("#'" &amp; C414 &amp; "'!" &amp; H414, H414), "")</f>
        <v>0</v>
      </c>
    </row>
    <row r="415" spans="2:2">
      <c r="B415" s="21">
        <f>IF(AND(C415&lt;&gt;"", H415&lt;&gt;""), HYPERLINK("#'" &amp; C415 &amp; "'!" &amp; H415, H415), "")</f>
        <v>0</v>
      </c>
    </row>
    <row r="416" spans="2:2">
      <c r="B416" s="21">
        <f>IF(AND(C416&lt;&gt;"", H416&lt;&gt;""), HYPERLINK("#'" &amp; C416 &amp; "'!" &amp; H416, H416), "")</f>
        <v>0</v>
      </c>
    </row>
    <row r="417" spans="2:2">
      <c r="B417" s="21">
        <f>IF(AND(C417&lt;&gt;"", H417&lt;&gt;""), HYPERLINK("#'" &amp; C417 &amp; "'!" &amp; H417, H417), "")</f>
        <v>0</v>
      </c>
    </row>
    <row r="418" spans="2:2">
      <c r="B418" s="21">
        <f>IF(AND(C418&lt;&gt;"", H418&lt;&gt;""), HYPERLINK("#'" &amp; C418 &amp; "'!" &amp; H418, H418), "")</f>
        <v>0</v>
      </c>
    </row>
    <row r="419" spans="2:2">
      <c r="B419" s="21">
        <f>IF(AND(C419&lt;&gt;"", H419&lt;&gt;""), HYPERLINK("#'" &amp; C419 &amp; "'!" &amp; H419, H419), "")</f>
        <v>0</v>
      </c>
    </row>
    <row r="420" spans="2:2">
      <c r="B420" s="21">
        <f>IF(AND(C420&lt;&gt;"", H420&lt;&gt;""), HYPERLINK("#'" &amp; C420 &amp; "'!" &amp; H420, H420), "")</f>
        <v>0</v>
      </c>
    </row>
    <row r="421" spans="2:2">
      <c r="B421" s="21">
        <f>IF(AND(C421&lt;&gt;"", H421&lt;&gt;""), HYPERLINK("#'" &amp; C421 &amp; "'!" &amp; H421, H421), "")</f>
        <v>0</v>
      </c>
    </row>
    <row r="422" spans="2:2">
      <c r="B422" s="21">
        <f>IF(AND(C422&lt;&gt;"", H422&lt;&gt;""), HYPERLINK("#'" &amp; C422 &amp; "'!" &amp; H422, H422), "")</f>
        <v>0</v>
      </c>
    </row>
    <row r="423" spans="2:2">
      <c r="B423" s="21">
        <f>IF(AND(C423&lt;&gt;"", H423&lt;&gt;""), HYPERLINK("#'" &amp; C423 &amp; "'!" &amp; H423, H423), "")</f>
        <v>0</v>
      </c>
    </row>
    <row r="424" spans="2:2">
      <c r="B424" s="21">
        <f>IF(AND(C424&lt;&gt;"", H424&lt;&gt;""), HYPERLINK("#'" &amp; C424 &amp; "'!" &amp; H424, H424), "")</f>
        <v>0</v>
      </c>
    </row>
    <row r="425" spans="2:2">
      <c r="B425" s="21">
        <f>IF(AND(C425&lt;&gt;"", H425&lt;&gt;""), HYPERLINK("#'" &amp; C425 &amp; "'!" &amp; H425, H425), "")</f>
        <v>0</v>
      </c>
    </row>
    <row r="426" spans="2:2">
      <c r="B426" s="21">
        <f>IF(AND(C426&lt;&gt;"", H426&lt;&gt;""), HYPERLINK("#'" &amp; C426 &amp; "'!" &amp; H426, H426), "")</f>
        <v>0</v>
      </c>
    </row>
    <row r="427" spans="2:2">
      <c r="B427" s="21">
        <f>IF(AND(C427&lt;&gt;"", H427&lt;&gt;""), HYPERLINK("#'" &amp; C427 &amp; "'!" &amp; H427, H427), "")</f>
        <v>0</v>
      </c>
    </row>
    <row r="428" spans="2:2">
      <c r="B428" s="21">
        <f>IF(AND(C428&lt;&gt;"", H428&lt;&gt;""), HYPERLINK("#'" &amp; C428 &amp; "'!" &amp; H428, H428), "")</f>
        <v>0</v>
      </c>
    </row>
    <row r="429" spans="2:2">
      <c r="B429" s="21">
        <f>IF(AND(C429&lt;&gt;"", H429&lt;&gt;""), HYPERLINK("#'" &amp; C429 &amp; "'!" &amp; H429, H429), "")</f>
        <v>0</v>
      </c>
    </row>
    <row r="430" spans="2:2">
      <c r="B430" s="21">
        <f>IF(AND(C430&lt;&gt;"", H430&lt;&gt;""), HYPERLINK("#'" &amp; C430 &amp; "'!" &amp; H430, H430), "")</f>
        <v>0</v>
      </c>
    </row>
    <row r="431" spans="2:2">
      <c r="B431" s="21">
        <f>IF(AND(C431&lt;&gt;"", H431&lt;&gt;""), HYPERLINK("#'" &amp; C431 &amp; "'!" &amp; H431, H431), "")</f>
        <v>0</v>
      </c>
    </row>
    <row r="432" spans="2:2">
      <c r="B432" s="21">
        <f>IF(AND(C432&lt;&gt;"", H432&lt;&gt;""), HYPERLINK("#'" &amp; C432 &amp; "'!" &amp; H432, H432), "")</f>
        <v>0</v>
      </c>
    </row>
    <row r="433" spans="2:2">
      <c r="B433" s="21">
        <f>IF(AND(C433&lt;&gt;"", H433&lt;&gt;""), HYPERLINK("#'" &amp; C433 &amp; "'!" &amp; H433, H433), "")</f>
        <v>0</v>
      </c>
    </row>
    <row r="434" spans="2:2">
      <c r="B434" s="21">
        <f>IF(AND(C434&lt;&gt;"", H434&lt;&gt;""), HYPERLINK("#'" &amp; C434 &amp; "'!" &amp; H434, H434), "")</f>
        <v>0</v>
      </c>
    </row>
    <row r="435" spans="2:2">
      <c r="B435" s="21">
        <f>IF(AND(C435&lt;&gt;"", H435&lt;&gt;""), HYPERLINK("#'" &amp; C435 &amp; "'!" &amp; H435, H435), "")</f>
        <v>0</v>
      </c>
    </row>
    <row r="436" spans="2:2">
      <c r="B436" s="21">
        <f>IF(AND(C436&lt;&gt;"", H436&lt;&gt;""), HYPERLINK("#'" &amp; C436 &amp; "'!" &amp; H436, H436), "")</f>
        <v>0</v>
      </c>
    </row>
    <row r="437" spans="2:2">
      <c r="B437" s="21">
        <f>IF(AND(C437&lt;&gt;"", H437&lt;&gt;""), HYPERLINK("#'" &amp; C437 &amp; "'!" &amp; H437, H437), "")</f>
        <v>0</v>
      </c>
    </row>
    <row r="438" spans="2:2">
      <c r="B438" s="21">
        <f>IF(AND(C438&lt;&gt;"", H438&lt;&gt;""), HYPERLINK("#'" &amp; C438 &amp; "'!" &amp; H438, H438), "")</f>
        <v>0</v>
      </c>
    </row>
    <row r="439" spans="2:2">
      <c r="B439" s="21">
        <f>IF(AND(C439&lt;&gt;"", H439&lt;&gt;""), HYPERLINK("#'" &amp; C439 &amp; "'!" &amp; H439, H439), "")</f>
        <v>0</v>
      </c>
    </row>
    <row r="440" spans="2:2">
      <c r="B440" s="21">
        <f>IF(AND(C440&lt;&gt;"", H440&lt;&gt;""), HYPERLINK("#'" &amp; C440 &amp; "'!" &amp; H440, H440), "")</f>
        <v>0</v>
      </c>
    </row>
    <row r="441" spans="2:2">
      <c r="B441" s="21">
        <f>IF(AND(C441&lt;&gt;"", H441&lt;&gt;""), HYPERLINK("#'" &amp; C441 &amp; "'!" &amp; H441, H441), "")</f>
        <v>0</v>
      </c>
    </row>
    <row r="442" spans="2:2">
      <c r="B442" s="21">
        <f>IF(AND(C442&lt;&gt;"", H442&lt;&gt;""), HYPERLINK("#'" &amp; C442 &amp; "'!" &amp; H442, H442), "")</f>
        <v>0</v>
      </c>
    </row>
    <row r="443" spans="2:2">
      <c r="B443" s="21">
        <f>IF(AND(C443&lt;&gt;"", H443&lt;&gt;""), HYPERLINK("#'" &amp; C443 &amp; "'!" &amp; H443, H443), "")</f>
        <v>0</v>
      </c>
    </row>
    <row r="444" spans="2:2">
      <c r="B444" s="21">
        <f>IF(AND(C444&lt;&gt;"", H444&lt;&gt;""), HYPERLINK("#'" &amp; C444 &amp; "'!" &amp; H444, H444), "")</f>
        <v>0</v>
      </c>
    </row>
    <row r="445" spans="2:2">
      <c r="B445" s="21">
        <f>IF(AND(C445&lt;&gt;"", H445&lt;&gt;""), HYPERLINK("#'" &amp; C445 &amp; "'!" &amp; H445, H445), "")</f>
        <v>0</v>
      </c>
    </row>
    <row r="446" spans="2:2">
      <c r="B446" s="21">
        <f>IF(AND(C446&lt;&gt;"", H446&lt;&gt;""), HYPERLINK("#'" &amp; C446 &amp; "'!" &amp; H446, H446), "")</f>
        <v>0</v>
      </c>
    </row>
    <row r="447" spans="2:2">
      <c r="B447" s="21">
        <f>IF(AND(C447&lt;&gt;"", H447&lt;&gt;""), HYPERLINK("#'" &amp; C447 &amp; "'!" &amp; H447, H447), "")</f>
        <v>0</v>
      </c>
    </row>
    <row r="448" spans="2:2">
      <c r="B448" s="21">
        <f>IF(AND(C448&lt;&gt;"", H448&lt;&gt;""), HYPERLINK("#'" &amp; C448 &amp; "'!" &amp; H448, H448), "")</f>
        <v>0</v>
      </c>
    </row>
    <row r="449" spans="2:2">
      <c r="B449" s="21">
        <f>IF(AND(C449&lt;&gt;"", H449&lt;&gt;""), HYPERLINK("#'" &amp; C449 &amp; "'!" &amp; H449, H449), "")</f>
        <v>0</v>
      </c>
    </row>
    <row r="450" spans="2:2">
      <c r="B450" s="21">
        <f>IF(AND(C450&lt;&gt;"", H450&lt;&gt;""), HYPERLINK("#'" &amp; C450 &amp; "'!" &amp; H450, H450), "")</f>
        <v>0</v>
      </c>
    </row>
    <row r="451" spans="2:2">
      <c r="B451" s="21">
        <f>IF(AND(C451&lt;&gt;"", H451&lt;&gt;""), HYPERLINK("#'" &amp; C451 &amp; "'!" &amp; H451, H451), "")</f>
        <v>0</v>
      </c>
    </row>
    <row r="452" spans="2:2">
      <c r="B452" s="21">
        <f>IF(AND(C452&lt;&gt;"", H452&lt;&gt;""), HYPERLINK("#'" &amp; C452 &amp; "'!" &amp; H452, H452), "")</f>
        <v>0</v>
      </c>
    </row>
    <row r="453" spans="2:2">
      <c r="B453" s="21">
        <f>IF(AND(C453&lt;&gt;"", H453&lt;&gt;""), HYPERLINK("#'" &amp; C453 &amp; "'!" &amp; H453, H453), "")</f>
        <v>0</v>
      </c>
    </row>
    <row r="454" spans="2:2">
      <c r="B454" s="21">
        <f>IF(AND(C454&lt;&gt;"", H454&lt;&gt;""), HYPERLINK("#'" &amp; C454 &amp; "'!" &amp; H454, H454), "")</f>
        <v>0</v>
      </c>
    </row>
    <row r="455" spans="2:2">
      <c r="B455" s="21">
        <f>IF(AND(C455&lt;&gt;"", H455&lt;&gt;""), HYPERLINK("#'" &amp; C455 &amp; "'!" &amp; H455, H455), "")</f>
        <v>0</v>
      </c>
    </row>
    <row r="456" spans="2:2">
      <c r="B456" s="21">
        <f>IF(AND(C456&lt;&gt;"", H456&lt;&gt;""), HYPERLINK("#'" &amp; C456 &amp; "'!" &amp; H456, H456), "")</f>
        <v>0</v>
      </c>
    </row>
    <row r="457" spans="2:2">
      <c r="B457" s="21">
        <f>IF(AND(C457&lt;&gt;"", H457&lt;&gt;""), HYPERLINK("#'" &amp; C457 &amp; "'!" &amp; H457, H457), "")</f>
        <v>0</v>
      </c>
    </row>
    <row r="458" spans="2:2">
      <c r="B458" s="21">
        <f>IF(AND(C458&lt;&gt;"", H458&lt;&gt;""), HYPERLINK("#'" &amp; C458 &amp; "'!" &amp; H458, H458), "")</f>
        <v>0</v>
      </c>
    </row>
    <row r="459" spans="2:2">
      <c r="B459" s="21">
        <f>IF(AND(C459&lt;&gt;"", H459&lt;&gt;""), HYPERLINK("#'" &amp; C459 &amp; "'!" &amp; H459, H459), "")</f>
        <v>0</v>
      </c>
    </row>
    <row r="460" spans="2:2">
      <c r="B460" s="21">
        <f>IF(AND(C460&lt;&gt;"", H460&lt;&gt;""), HYPERLINK("#'" &amp; C460 &amp; "'!" &amp; H460, H460), "")</f>
        <v>0</v>
      </c>
    </row>
    <row r="461" spans="2:2">
      <c r="B461" s="21">
        <f>IF(AND(C461&lt;&gt;"", H461&lt;&gt;""), HYPERLINK("#'" &amp; C461 &amp; "'!" &amp; H461, H461), "")</f>
        <v>0</v>
      </c>
    </row>
    <row r="462" spans="2:2">
      <c r="B462" s="21">
        <f>IF(AND(C462&lt;&gt;"", H462&lt;&gt;""), HYPERLINK("#'" &amp; C462 &amp; "'!" &amp; H462, H462), "")</f>
        <v>0</v>
      </c>
    </row>
    <row r="463" spans="2:2">
      <c r="B463" s="21">
        <f>IF(AND(C463&lt;&gt;"", H463&lt;&gt;""), HYPERLINK("#'" &amp; C463 &amp; "'!" &amp; H463, H463), "")</f>
        <v>0</v>
      </c>
    </row>
    <row r="464" spans="2:2">
      <c r="B464" s="21">
        <f>IF(AND(C464&lt;&gt;"", H464&lt;&gt;""), HYPERLINK("#'" &amp; C464 &amp; "'!" &amp; H464, H464), "")</f>
        <v>0</v>
      </c>
    </row>
    <row r="465" spans="2:2">
      <c r="B465" s="21">
        <f>IF(AND(C465&lt;&gt;"", H465&lt;&gt;""), HYPERLINK("#'" &amp; C465 &amp; "'!" &amp; H465, H465), "")</f>
        <v>0</v>
      </c>
    </row>
    <row r="466" spans="2:2">
      <c r="B466" s="21">
        <f>IF(AND(C466&lt;&gt;"", H466&lt;&gt;""), HYPERLINK("#'" &amp; C466 &amp; "'!" &amp; H466, H466), "")</f>
        <v>0</v>
      </c>
    </row>
    <row r="467" spans="2:2">
      <c r="B467" s="21">
        <f>IF(AND(C467&lt;&gt;"", H467&lt;&gt;""), HYPERLINK("#'" &amp; C467 &amp; "'!" &amp; H467, H467), "")</f>
        <v>0</v>
      </c>
    </row>
    <row r="468" spans="2:2">
      <c r="B468" s="21">
        <f>IF(AND(C468&lt;&gt;"", H468&lt;&gt;""), HYPERLINK("#'" &amp; C468 &amp; "'!" &amp; H468, H468), "")</f>
        <v>0</v>
      </c>
    </row>
    <row r="469" spans="2:2">
      <c r="B469" s="21">
        <f>IF(AND(C469&lt;&gt;"", H469&lt;&gt;""), HYPERLINK("#'" &amp; C469 &amp; "'!" &amp; H469, H469), "")</f>
        <v>0</v>
      </c>
    </row>
    <row r="470" spans="2:2">
      <c r="B470" s="21">
        <f>IF(AND(C470&lt;&gt;"", H470&lt;&gt;""), HYPERLINK("#'" &amp; C470 &amp; "'!" &amp; H470, H470), "")</f>
        <v>0</v>
      </c>
    </row>
    <row r="471" spans="2:2">
      <c r="B471" s="21">
        <f>IF(AND(C471&lt;&gt;"", H471&lt;&gt;""), HYPERLINK("#'" &amp; C471 &amp; "'!" &amp; H471, H471), "")</f>
        <v>0</v>
      </c>
    </row>
    <row r="472" spans="2:2">
      <c r="B472" s="21">
        <f>IF(AND(C472&lt;&gt;"", H472&lt;&gt;""), HYPERLINK("#'" &amp; C472 &amp; "'!" &amp; H472, H472), "")</f>
        <v>0</v>
      </c>
    </row>
    <row r="473" spans="2:2">
      <c r="B473" s="21">
        <f>IF(AND(C473&lt;&gt;"", H473&lt;&gt;""), HYPERLINK("#'" &amp; C473 &amp; "'!" &amp; H473, H473), "")</f>
        <v>0</v>
      </c>
    </row>
    <row r="474" spans="2:2">
      <c r="B474" s="21">
        <f>IF(AND(C474&lt;&gt;"", H474&lt;&gt;""), HYPERLINK("#'" &amp; C474 &amp; "'!" &amp; H474, H474), "")</f>
        <v>0</v>
      </c>
    </row>
    <row r="475" spans="2:2">
      <c r="B475" s="21">
        <f>IF(AND(C475&lt;&gt;"", H475&lt;&gt;""), HYPERLINK("#'" &amp; C475 &amp; "'!" &amp; H475, H475), "")</f>
        <v>0</v>
      </c>
    </row>
    <row r="476" spans="2:2">
      <c r="B476" s="21">
        <f>IF(AND(C476&lt;&gt;"", H476&lt;&gt;""), HYPERLINK("#'" &amp; C476 &amp; "'!" &amp; H476, H476), "")</f>
        <v>0</v>
      </c>
    </row>
    <row r="477" spans="2:2">
      <c r="B477" s="21">
        <f>IF(AND(C477&lt;&gt;"", H477&lt;&gt;""), HYPERLINK("#'" &amp; C477 &amp; "'!" &amp; H477, H477), "")</f>
        <v>0</v>
      </c>
    </row>
    <row r="478" spans="2:2">
      <c r="B478" s="21">
        <f>IF(AND(C478&lt;&gt;"", H478&lt;&gt;""), HYPERLINK("#'" &amp; C478 &amp; "'!" &amp; H478, H478), "")</f>
        <v>0</v>
      </c>
    </row>
    <row r="479" spans="2:2">
      <c r="B479" s="21">
        <f>IF(AND(C479&lt;&gt;"", H479&lt;&gt;""), HYPERLINK("#'" &amp; C479 &amp; "'!" &amp; H479, H479), "")</f>
        <v>0</v>
      </c>
    </row>
    <row r="480" spans="2:2">
      <c r="B480" s="21">
        <f>IF(AND(C480&lt;&gt;"", H480&lt;&gt;""), HYPERLINK("#'" &amp; C480 &amp; "'!" &amp; H480, H480), "")</f>
        <v>0</v>
      </c>
    </row>
    <row r="481" spans="2:2">
      <c r="B481" s="21">
        <f>IF(AND(C481&lt;&gt;"", H481&lt;&gt;""), HYPERLINK("#'" &amp; C481 &amp; "'!" &amp; H481, H481), "")</f>
        <v>0</v>
      </c>
    </row>
    <row r="482" spans="2:2">
      <c r="B482" s="21">
        <f>IF(AND(C482&lt;&gt;"", H482&lt;&gt;""), HYPERLINK("#'" &amp; C482 &amp; "'!" &amp; H482, H482), "")</f>
        <v>0</v>
      </c>
    </row>
    <row r="483" spans="2:2">
      <c r="B483" s="21">
        <f>IF(AND(C483&lt;&gt;"", H483&lt;&gt;""), HYPERLINK("#'" &amp; C483 &amp; "'!" &amp; H483, H483), "")</f>
        <v>0</v>
      </c>
    </row>
    <row r="484" spans="2:2">
      <c r="B484" s="21">
        <f>IF(AND(C484&lt;&gt;"", H484&lt;&gt;""), HYPERLINK("#'" &amp; C484 &amp; "'!" &amp; H484, H484), "")</f>
        <v>0</v>
      </c>
    </row>
    <row r="485" spans="2:2">
      <c r="B485" s="21">
        <f>IF(AND(C485&lt;&gt;"", H485&lt;&gt;""), HYPERLINK("#'" &amp; C485 &amp; "'!" &amp; H485, H485), "")</f>
        <v>0</v>
      </c>
    </row>
    <row r="486" spans="2:2">
      <c r="B486" s="21">
        <f>IF(AND(C486&lt;&gt;"", H486&lt;&gt;""), HYPERLINK("#'" &amp; C486 &amp; "'!" &amp; H486, H486), "")</f>
        <v>0</v>
      </c>
    </row>
    <row r="487" spans="2:2">
      <c r="B487" s="21">
        <f>IF(AND(C487&lt;&gt;"", H487&lt;&gt;""), HYPERLINK("#'" &amp; C487 &amp; "'!" &amp; H487, H487), "")</f>
        <v>0</v>
      </c>
    </row>
    <row r="488" spans="2:2">
      <c r="B488" s="21">
        <f>IF(AND(C488&lt;&gt;"", H488&lt;&gt;""), HYPERLINK("#'" &amp; C488 &amp; "'!" &amp; H488, H488), "")</f>
        <v>0</v>
      </c>
    </row>
    <row r="489" spans="2:2">
      <c r="B489" s="21">
        <f>IF(AND(C489&lt;&gt;"", H489&lt;&gt;""), HYPERLINK("#'" &amp; C489 &amp; "'!" &amp; H489, H489), "")</f>
        <v>0</v>
      </c>
    </row>
    <row r="490" spans="2:2">
      <c r="B490" s="21">
        <f>IF(AND(C490&lt;&gt;"", H490&lt;&gt;""), HYPERLINK("#'" &amp; C490 &amp; "'!" &amp; H490, H490), "")</f>
        <v>0</v>
      </c>
    </row>
    <row r="491" spans="2:2">
      <c r="B491" s="21">
        <f>IF(AND(C491&lt;&gt;"", H491&lt;&gt;""), HYPERLINK("#'" &amp; C491 &amp; "'!" &amp; H491, H491), "")</f>
        <v>0</v>
      </c>
    </row>
    <row r="492" spans="2:2">
      <c r="B492" s="21">
        <f>IF(AND(C492&lt;&gt;"", H492&lt;&gt;""), HYPERLINK("#'" &amp; C492 &amp; "'!" &amp; H492, H492), "")</f>
        <v>0</v>
      </c>
    </row>
    <row r="493" spans="2:2">
      <c r="B493" s="21">
        <f>IF(AND(C493&lt;&gt;"", H493&lt;&gt;""), HYPERLINK("#'" &amp; C493 &amp; "'!" &amp; H493, H493), "")</f>
        <v>0</v>
      </c>
    </row>
    <row r="494" spans="2:2">
      <c r="B494" s="21">
        <f>IF(AND(C494&lt;&gt;"", H494&lt;&gt;""), HYPERLINK("#'" &amp; C494 &amp; "'!" &amp; H494, H494), "")</f>
        <v>0</v>
      </c>
    </row>
    <row r="495" spans="2:2">
      <c r="B495" s="21">
        <f>IF(AND(C495&lt;&gt;"", H495&lt;&gt;""), HYPERLINK("#'" &amp; C495 &amp; "'!" &amp; H495, H495), "")</f>
        <v>0</v>
      </c>
    </row>
    <row r="496" spans="2:2">
      <c r="B496" s="21">
        <f>IF(AND(C496&lt;&gt;"", H496&lt;&gt;""), HYPERLINK("#'" &amp; C496 &amp; "'!" &amp; H496, H496), "")</f>
        <v>0</v>
      </c>
    </row>
    <row r="497" spans="2:2">
      <c r="B497" s="21">
        <f>IF(AND(C497&lt;&gt;"", H497&lt;&gt;""), HYPERLINK("#'" &amp; C497 &amp; "'!" &amp; H497, H497), "")</f>
        <v>0</v>
      </c>
    </row>
    <row r="498" spans="2:2">
      <c r="B498" s="21">
        <f>IF(AND(C498&lt;&gt;"", H498&lt;&gt;""), HYPERLINK("#'" &amp; C498 &amp; "'!" &amp; H498, H498), "")</f>
        <v>0</v>
      </c>
    </row>
    <row r="499" spans="2:2">
      <c r="B499" s="21">
        <f>IF(AND(C499&lt;&gt;"", H499&lt;&gt;""), HYPERLINK("#'" &amp; C499 &amp; "'!" &amp; H499, H499), "")</f>
        <v>0</v>
      </c>
    </row>
    <row r="500" spans="2:2">
      <c r="B500" s="21">
        <f>IF(AND(C500&lt;&gt;"", H500&lt;&gt;""), HYPERLINK("#'" &amp; C500 &amp; "'!" &amp; H500, H500), "")</f>
        <v>0</v>
      </c>
    </row>
    <row r="501" spans="2:2">
      <c r="B501" s="21">
        <f>IF(AND(C501&lt;&gt;"", H501&lt;&gt;""), HYPERLINK("#'" &amp; C501 &amp; "'!" &amp; H501, H501), "")</f>
        <v>0</v>
      </c>
    </row>
    <row r="502" spans="2:2">
      <c r="B502" s="21">
        <f>IF(AND(C502&lt;&gt;"", H502&lt;&gt;""), HYPERLINK("#'" &amp; C502 &amp; "'!" &amp; H502, H502), "")</f>
        <v>0</v>
      </c>
    </row>
    <row r="503" spans="2:2">
      <c r="B503" s="21">
        <f>IF(AND(C503&lt;&gt;"", H503&lt;&gt;""), HYPERLINK("#'" &amp; C503 &amp; "'!" &amp; H503, H503), "")</f>
        <v>0</v>
      </c>
    </row>
    <row r="504" spans="2:2">
      <c r="B504" s="21">
        <f>IF(AND(C504&lt;&gt;"", H504&lt;&gt;""), HYPERLINK("#'" &amp; C504 &amp; "'!" &amp; H504, H504), "")</f>
        <v>0</v>
      </c>
    </row>
    <row r="505" spans="2:2">
      <c r="B505" s="21">
        <f>IF(AND(C505&lt;&gt;"", H505&lt;&gt;""), HYPERLINK("#'" &amp; C505 &amp; "'!" &amp; H505, H505), "")</f>
        <v>0</v>
      </c>
    </row>
    <row r="506" spans="2:2">
      <c r="B506" s="21">
        <f>IF(AND(C506&lt;&gt;"", H506&lt;&gt;""), HYPERLINK("#'" &amp; C506 &amp; "'!" &amp; H506, H506), "")</f>
        <v>0</v>
      </c>
    </row>
    <row r="507" spans="2:2">
      <c r="B507" s="21">
        <f>IF(AND(C507&lt;&gt;"", H507&lt;&gt;""), HYPERLINK("#'" &amp; C507 &amp; "'!" &amp; H507, H507), "")</f>
        <v>0</v>
      </c>
    </row>
    <row r="508" spans="2:2">
      <c r="B508" s="21">
        <f>IF(AND(C508&lt;&gt;"", H508&lt;&gt;""), HYPERLINK("#'" &amp; C508 &amp; "'!" &amp; H508, H508), "")</f>
        <v>0</v>
      </c>
    </row>
    <row r="509" spans="2:2">
      <c r="B509" s="21">
        <f>IF(AND(C509&lt;&gt;"", H509&lt;&gt;""), HYPERLINK("#'" &amp; C509 &amp; "'!" &amp; H509, H509), "")</f>
        <v>0</v>
      </c>
    </row>
    <row r="510" spans="2:2">
      <c r="B510" s="21">
        <f>IF(AND(C510&lt;&gt;"", H510&lt;&gt;""), HYPERLINK("#'" &amp; C510 &amp; "'!" &amp; H510, H510), "")</f>
        <v>0</v>
      </c>
    </row>
    <row r="511" spans="2:2">
      <c r="B511" s="21">
        <f>IF(AND(C511&lt;&gt;"", H511&lt;&gt;""), HYPERLINK("#'" &amp; C511 &amp; "'!" &amp; H511, H511), "")</f>
        <v>0</v>
      </c>
    </row>
    <row r="512" spans="2:2">
      <c r="B512" s="21">
        <f>IF(AND(C512&lt;&gt;"", H512&lt;&gt;""), HYPERLINK("#'" &amp; C512 &amp; "'!" &amp; H512, H512), "")</f>
        <v>0</v>
      </c>
    </row>
    <row r="513" spans="2:2">
      <c r="B513" s="21">
        <f>IF(AND(C513&lt;&gt;"", H513&lt;&gt;""), HYPERLINK("#'" &amp; C513 &amp; "'!" &amp; H513, H513), "")</f>
        <v>0</v>
      </c>
    </row>
    <row r="514" spans="2:2">
      <c r="B514" s="21">
        <f>IF(AND(C514&lt;&gt;"", H514&lt;&gt;""), HYPERLINK("#'" &amp; C514 &amp; "'!" &amp; H514, H514), "")</f>
        <v>0</v>
      </c>
    </row>
    <row r="515" spans="2:2">
      <c r="B515" s="21">
        <f>IF(AND(C515&lt;&gt;"", H515&lt;&gt;""), HYPERLINK("#'" &amp; C515 &amp; "'!" &amp; H515, H515), "")</f>
        <v>0</v>
      </c>
    </row>
    <row r="516" spans="2:2">
      <c r="B516" s="21">
        <f>IF(AND(C516&lt;&gt;"", H516&lt;&gt;""), HYPERLINK("#'" &amp; C516 &amp; "'!" &amp; H516, H516), "")</f>
        <v>0</v>
      </c>
    </row>
    <row r="517" spans="2:2">
      <c r="B517" s="21">
        <f>IF(AND(C517&lt;&gt;"", H517&lt;&gt;""), HYPERLINK("#'" &amp; C517 &amp; "'!" &amp; H517, H517), "")</f>
        <v>0</v>
      </c>
    </row>
    <row r="518" spans="2:2">
      <c r="B518" s="21">
        <f>IF(AND(C518&lt;&gt;"", H518&lt;&gt;""), HYPERLINK("#'" &amp; C518 &amp; "'!" &amp; H518, H518), "")</f>
        <v>0</v>
      </c>
    </row>
    <row r="519" spans="2:2">
      <c r="B519" s="21">
        <f>IF(AND(C519&lt;&gt;"", H519&lt;&gt;""), HYPERLINK("#'" &amp; C519 &amp; "'!" &amp; H519, H519), "")</f>
        <v>0</v>
      </c>
    </row>
    <row r="520" spans="2:2">
      <c r="B520" s="21">
        <f>IF(AND(C520&lt;&gt;"", H520&lt;&gt;""), HYPERLINK("#'" &amp; C520 &amp; "'!" &amp; H520, H520), "")</f>
        <v>0</v>
      </c>
    </row>
    <row r="521" spans="2:2">
      <c r="B521" s="21">
        <f>IF(AND(C521&lt;&gt;"", H521&lt;&gt;""), HYPERLINK("#'" &amp; C521 &amp; "'!" &amp; H521, H521), "")</f>
        <v>0</v>
      </c>
    </row>
    <row r="522" spans="2:2">
      <c r="B522" s="21">
        <f>IF(AND(C522&lt;&gt;"", H522&lt;&gt;""), HYPERLINK("#'" &amp; C522 &amp; "'!" &amp; H522, H522), "")</f>
        <v>0</v>
      </c>
    </row>
    <row r="523" spans="2:2">
      <c r="B523" s="21">
        <f>IF(AND(C523&lt;&gt;"", H523&lt;&gt;""), HYPERLINK("#'" &amp; C523 &amp; "'!" &amp; H523, H523), "")</f>
        <v>0</v>
      </c>
    </row>
    <row r="524" spans="2:2">
      <c r="B524" s="21">
        <f>IF(AND(C524&lt;&gt;"", H524&lt;&gt;""), HYPERLINK("#'" &amp; C524 &amp; "'!" &amp; H524, H524), "")</f>
        <v>0</v>
      </c>
    </row>
    <row r="525" spans="2:2">
      <c r="B525" s="21">
        <f>IF(AND(C525&lt;&gt;"", H525&lt;&gt;""), HYPERLINK("#'" &amp; C525 &amp; "'!" &amp; H525, H525), "")</f>
        <v>0</v>
      </c>
    </row>
    <row r="526" spans="2:2">
      <c r="B526" s="21">
        <f>IF(AND(C526&lt;&gt;"", H526&lt;&gt;""), HYPERLINK("#'" &amp; C526 &amp; "'!" &amp; H526, H526), "")</f>
        <v>0</v>
      </c>
    </row>
    <row r="527" spans="2:2">
      <c r="B527" s="21">
        <f>IF(AND(C527&lt;&gt;"", H527&lt;&gt;""), HYPERLINK("#'" &amp; C527 &amp; "'!" &amp; H527, H527), "")</f>
        <v>0</v>
      </c>
    </row>
    <row r="528" spans="2:2">
      <c r="B528" s="21">
        <f>IF(AND(C528&lt;&gt;"", H528&lt;&gt;""), HYPERLINK("#'" &amp; C528 &amp; "'!" &amp; H528, H528), "")</f>
        <v>0</v>
      </c>
    </row>
    <row r="529" spans="2:2">
      <c r="B529" s="21">
        <f>IF(AND(C529&lt;&gt;"", H529&lt;&gt;""), HYPERLINK("#'" &amp; C529 &amp; "'!" &amp; H529, H529), "")</f>
        <v>0</v>
      </c>
    </row>
    <row r="530" spans="2:2">
      <c r="B530" s="21">
        <f>IF(AND(C530&lt;&gt;"", H530&lt;&gt;""), HYPERLINK("#'" &amp; C530 &amp; "'!" &amp; H530, H530), "")</f>
        <v>0</v>
      </c>
    </row>
    <row r="531" spans="2:2">
      <c r="B531" s="21">
        <f>IF(AND(C531&lt;&gt;"", H531&lt;&gt;""), HYPERLINK("#'" &amp; C531 &amp; "'!" &amp; H531, H531), "")</f>
        <v>0</v>
      </c>
    </row>
    <row r="532" spans="2:2">
      <c r="B532" s="21">
        <f>IF(AND(C532&lt;&gt;"", H532&lt;&gt;""), HYPERLINK("#'" &amp; C532 &amp; "'!" &amp; H532, H532), "")</f>
        <v>0</v>
      </c>
    </row>
    <row r="533" spans="2:2">
      <c r="B533" s="21">
        <f>IF(AND(C533&lt;&gt;"", H533&lt;&gt;""), HYPERLINK("#'" &amp; C533 &amp; "'!" &amp; H533, H533), "")</f>
        <v>0</v>
      </c>
    </row>
    <row r="534" spans="2:2">
      <c r="B534" s="21">
        <f>IF(AND(C534&lt;&gt;"", H534&lt;&gt;""), HYPERLINK("#'" &amp; C534 &amp; "'!" &amp; H534, H534), "")</f>
        <v>0</v>
      </c>
    </row>
    <row r="535" spans="2:2">
      <c r="B535" s="21">
        <f>IF(AND(C535&lt;&gt;"", H535&lt;&gt;""), HYPERLINK("#'" &amp; C535 &amp; "'!" &amp; H535, H535), "")</f>
        <v>0</v>
      </c>
    </row>
    <row r="536" spans="2:2">
      <c r="B536" s="21">
        <f>IF(AND(C536&lt;&gt;"", H536&lt;&gt;""), HYPERLINK("#'" &amp; C536 &amp; "'!" &amp; H536, H536), "")</f>
        <v>0</v>
      </c>
    </row>
    <row r="537" spans="2:2">
      <c r="B537" s="21">
        <f>IF(AND(C537&lt;&gt;"", H537&lt;&gt;""), HYPERLINK("#'" &amp; C537 &amp; "'!" &amp; H537, H537), "")</f>
        <v>0</v>
      </c>
    </row>
    <row r="538" spans="2:2">
      <c r="B538" s="21">
        <f>IF(AND(C538&lt;&gt;"", H538&lt;&gt;""), HYPERLINK("#'" &amp; C538 &amp; "'!" &amp; H538, H538), "")</f>
        <v>0</v>
      </c>
    </row>
    <row r="539" spans="2:2">
      <c r="B539" s="21">
        <f>IF(AND(C539&lt;&gt;"", H539&lt;&gt;""), HYPERLINK("#'" &amp; C539 &amp; "'!" &amp; H539, H539), "")</f>
        <v>0</v>
      </c>
    </row>
    <row r="540" spans="2:2">
      <c r="B540" s="21">
        <f>IF(AND(C540&lt;&gt;"", H540&lt;&gt;""), HYPERLINK("#'" &amp; C540 &amp; "'!" &amp; H540, H540), "")</f>
        <v>0</v>
      </c>
    </row>
    <row r="541" spans="2:2">
      <c r="B541" s="21">
        <f>IF(AND(C541&lt;&gt;"", H541&lt;&gt;""), HYPERLINK("#'" &amp; C541 &amp; "'!" &amp; H541, H541), "")</f>
        <v>0</v>
      </c>
    </row>
    <row r="542" spans="2:2">
      <c r="B542" s="21">
        <f>IF(AND(C542&lt;&gt;"", H542&lt;&gt;""), HYPERLINK("#'" &amp; C542 &amp; "'!" &amp; H542, H542), "")</f>
        <v>0</v>
      </c>
    </row>
    <row r="543" spans="2:2">
      <c r="B543" s="21">
        <f>IF(AND(C543&lt;&gt;"", H543&lt;&gt;""), HYPERLINK("#'" &amp; C543 &amp; "'!" &amp; H543, H543), "")</f>
        <v>0</v>
      </c>
    </row>
    <row r="544" spans="2:2">
      <c r="B544" s="21">
        <f>IF(AND(C544&lt;&gt;"", H544&lt;&gt;""), HYPERLINK("#'" &amp; C544 &amp; "'!" &amp; H544, H544), "")</f>
        <v>0</v>
      </c>
    </row>
    <row r="545" spans="2:2">
      <c r="B545" s="21">
        <f>IF(AND(C545&lt;&gt;"", H545&lt;&gt;""), HYPERLINK("#'" &amp; C545 &amp; "'!" &amp; H545, H545), "")</f>
        <v>0</v>
      </c>
    </row>
    <row r="546" spans="2:2">
      <c r="B546" s="21">
        <f>IF(AND(C546&lt;&gt;"", H546&lt;&gt;""), HYPERLINK("#'" &amp; C546 &amp; "'!" &amp; H546, H546), "")</f>
        <v>0</v>
      </c>
    </row>
    <row r="547" spans="2:2">
      <c r="B547" s="21">
        <f>IF(AND(C547&lt;&gt;"", H547&lt;&gt;""), HYPERLINK("#'" &amp; C547 &amp; "'!" &amp; H547, H547), "")</f>
        <v>0</v>
      </c>
    </row>
    <row r="548" spans="2:2">
      <c r="B548" s="21">
        <f>IF(AND(C548&lt;&gt;"", H548&lt;&gt;""), HYPERLINK("#'" &amp; C548 &amp; "'!" &amp; H548, H548), "")</f>
        <v>0</v>
      </c>
    </row>
    <row r="549" spans="2:2">
      <c r="B549" s="21">
        <f>IF(AND(C549&lt;&gt;"", H549&lt;&gt;""), HYPERLINK("#'" &amp; C549 &amp; "'!" &amp; H549, H549), "")</f>
        <v>0</v>
      </c>
    </row>
    <row r="550" spans="2:2">
      <c r="B550" s="21">
        <f>IF(AND(C550&lt;&gt;"", H550&lt;&gt;""), HYPERLINK("#'" &amp; C550 &amp; "'!" &amp; H550, H550), "")</f>
        <v>0</v>
      </c>
    </row>
    <row r="551" spans="2:2">
      <c r="B551" s="21">
        <f>IF(AND(C551&lt;&gt;"", H551&lt;&gt;""), HYPERLINK("#'" &amp; C551 &amp; "'!" &amp; H551, H551), "")</f>
        <v>0</v>
      </c>
    </row>
    <row r="552" spans="2:2">
      <c r="B552" s="21">
        <f>IF(AND(C552&lt;&gt;"", H552&lt;&gt;""), HYPERLINK("#'" &amp; C552 &amp; "'!" &amp; H552, H552), "")</f>
        <v>0</v>
      </c>
    </row>
    <row r="553" spans="2:2">
      <c r="B553" s="21">
        <f>IF(AND(C553&lt;&gt;"", H553&lt;&gt;""), HYPERLINK("#'" &amp; C553 &amp; "'!" &amp; H553, H553), "")</f>
        <v>0</v>
      </c>
    </row>
    <row r="554" spans="2:2">
      <c r="B554" s="21">
        <f>IF(AND(C554&lt;&gt;"", H554&lt;&gt;""), HYPERLINK("#'" &amp; C554 &amp; "'!" &amp; H554, H554), "")</f>
        <v>0</v>
      </c>
    </row>
    <row r="555" spans="2:2">
      <c r="B555" s="21">
        <f>IF(AND(C555&lt;&gt;"", H555&lt;&gt;""), HYPERLINK("#'" &amp; C555 &amp; "'!" &amp; H555, H555), "")</f>
        <v>0</v>
      </c>
    </row>
    <row r="556" spans="2:2">
      <c r="B556" s="21">
        <f>IF(AND(C556&lt;&gt;"", H556&lt;&gt;""), HYPERLINK("#'" &amp; C556 &amp; "'!" &amp; H556, H556), "")</f>
        <v>0</v>
      </c>
    </row>
    <row r="557" spans="2:2">
      <c r="B557" s="21">
        <f>IF(AND(C557&lt;&gt;"", H557&lt;&gt;""), HYPERLINK("#'" &amp; C557 &amp; "'!" &amp; H557, H557), "")</f>
        <v>0</v>
      </c>
    </row>
    <row r="558" spans="2:2">
      <c r="B558" s="21">
        <f>IF(AND(C558&lt;&gt;"", H558&lt;&gt;""), HYPERLINK("#'" &amp; C558 &amp; "'!" &amp; H558, H558), "")</f>
        <v>0</v>
      </c>
    </row>
    <row r="559" spans="2:2">
      <c r="B559" s="21">
        <f>IF(AND(C559&lt;&gt;"", H559&lt;&gt;""), HYPERLINK("#'" &amp; C559 &amp; "'!" &amp; H559, H559), "")</f>
        <v>0</v>
      </c>
    </row>
    <row r="560" spans="2:2">
      <c r="B560" s="21">
        <f>IF(AND(C560&lt;&gt;"", H560&lt;&gt;""), HYPERLINK("#'" &amp; C560 &amp; "'!" &amp; H560, H560), "")</f>
        <v>0</v>
      </c>
    </row>
    <row r="561" spans="2:2">
      <c r="B561" s="21">
        <f>IF(AND(C561&lt;&gt;"", H561&lt;&gt;""), HYPERLINK("#'" &amp; C561 &amp; "'!" &amp; H561, H561), "")</f>
        <v>0</v>
      </c>
    </row>
    <row r="562" spans="2:2">
      <c r="B562" s="21">
        <f>IF(AND(C562&lt;&gt;"", H562&lt;&gt;""), HYPERLINK("#'" &amp; C562 &amp; "'!" &amp; H562, H562), "")</f>
        <v>0</v>
      </c>
    </row>
    <row r="563" spans="2:2">
      <c r="B563" s="21">
        <f>IF(AND(C563&lt;&gt;"", H563&lt;&gt;""), HYPERLINK("#'" &amp; C563 &amp; "'!" &amp; H563, H563), "")</f>
        <v>0</v>
      </c>
    </row>
    <row r="564" spans="2:2">
      <c r="B564" s="21">
        <f>IF(AND(C564&lt;&gt;"", H564&lt;&gt;""), HYPERLINK("#'" &amp; C564 &amp; "'!" &amp; H564, H564), "")</f>
        <v>0</v>
      </c>
    </row>
    <row r="565" spans="2:2">
      <c r="B565" s="21">
        <f>IF(AND(C565&lt;&gt;"", H565&lt;&gt;""), HYPERLINK("#'" &amp; C565 &amp; "'!" &amp; H565, H565), "")</f>
        <v>0</v>
      </c>
    </row>
    <row r="566" spans="2:2">
      <c r="B566" s="21">
        <f>IF(AND(C566&lt;&gt;"", H566&lt;&gt;""), HYPERLINK("#'" &amp; C566 &amp; "'!" &amp; H566, H566), "")</f>
        <v>0</v>
      </c>
    </row>
    <row r="567" spans="2:2">
      <c r="B567" s="21">
        <f>IF(AND(C567&lt;&gt;"", H567&lt;&gt;""), HYPERLINK("#'" &amp; C567 &amp; "'!" &amp; H567, H567), "")</f>
        <v>0</v>
      </c>
    </row>
    <row r="568" spans="2:2">
      <c r="B568" s="21">
        <f>IF(AND(C568&lt;&gt;"", H568&lt;&gt;""), HYPERLINK("#'" &amp; C568 &amp; "'!" &amp; H568, H568), "")</f>
        <v>0</v>
      </c>
    </row>
    <row r="569" spans="2:2">
      <c r="B569" s="21">
        <f>IF(AND(C569&lt;&gt;"", H569&lt;&gt;""), HYPERLINK("#'" &amp; C569 &amp; "'!" &amp; H569, H569), "")</f>
        <v>0</v>
      </c>
    </row>
    <row r="570" spans="2:2">
      <c r="B570" s="21">
        <f>IF(AND(C570&lt;&gt;"", H570&lt;&gt;""), HYPERLINK("#'" &amp; C570 &amp; "'!" &amp; H570, H570), "")</f>
        <v>0</v>
      </c>
    </row>
    <row r="571" spans="2:2">
      <c r="B571" s="21">
        <f>IF(AND(C571&lt;&gt;"", H571&lt;&gt;""), HYPERLINK("#'" &amp; C571 &amp; "'!" &amp; H571, H571), "")</f>
        <v>0</v>
      </c>
    </row>
    <row r="572" spans="2:2">
      <c r="B572" s="21">
        <f>IF(AND(C572&lt;&gt;"", H572&lt;&gt;""), HYPERLINK("#'" &amp; C572 &amp; "'!" &amp; H572, H572), "")</f>
        <v>0</v>
      </c>
    </row>
    <row r="573" spans="2:2">
      <c r="B573" s="21">
        <f>IF(AND(C573&lt;&gt;"", H573&lt;&gt;""), HYPERLINK("#'" &amp; C573 &amp; "'!" &amp; H573, H573), "")</f>
        <v>0</v>
      </c>
    </row>
    <row r="574" spans="2:2">
      <c r="B574" s="21">
        <f>IF(AND(C574&lt;&gt;"", H574&lt;&gt;""), HYPERLINK("#'" &amp; C574 &amp; "'!" &amp; H574, H574), "")</f>
        <v>0</v>
      </c>
    </row>
    <row r="575" spans="2:2">
      <c r="B575" s="21">
        <f>IF(AND(C575&lt;&gt;"", H575&lt;&gt;""), HYPERLINK("#'" &amp; C575 &amp; "'!" &amp; H575, H575), "")</f>
        <v>0</v>
      </c>
    </row>
    <row r="576" spans="2:2">
      <c r="B576" s="21">
        <f>IF(AND(C576&lt;&gt;"", H576&lt;&gt;""), HYPERLINK("#'" &amp; C576 &amp; "'!" &amp; H576, H576), "")</f>
        <v>0</v>
      </c>
    </row>
    <row r="577" spans="2:2">
      <c r="B577" s="21">
        <f>IF(AND(C577&lt;&gt;"", H577&lt;&gt;""), HYPERLINK("#'" &amp; C577 &amp; "'!" &amp; H577, H577), "")</f>
        <v>0</v>
      </c>
    </row>
    <row r="578" spans="2:2">
      <c r="B578" s="21">
        <f>IF(AND(C578&lt;&gt;"", H578&lt;&gt;""), HYPERLINK("#'" &amp; C578 &amp; "'!" &amp; H578, H578), "")</f>
        <v>0</v>
      </c>
    </row>
    <row r="579" spans="2:2">
      <c r="B579" s="21">
        <f>IF(AND(C579&lt;&gt;"", H579&lt;&gt;""), HYPERLINK("#'" &amp; C579 &amp; "'!" &amp; H579, H579), "")</f>
        <v>0</v>
      </c>
    </row>
    <row r="580" spans="2:2">
      <c r="B580" s="21">
        <f>IF(AND(C580&lt;&gt;"", H580&lt;&gt;""), HYPERLINK("#'" &amp; C580 &amp; "'!" &amp; H580, H580), "")</f>
        <v>0</v>
      </c>
    </row>
    <row r="581" spans="2:2">
      <c r="B581" s="21">
        <f>IF(AND(C581&lt;&gt;"", H581&lt;&gt;""), HYPERLINK("#'" &amp; C581 &amp; "'!" &amp; H581, H581), "")</f>
        <v>0</v>
      </c>
    </row>
    <row r="582" spans="2:2">
      <c r="B582" s="21">
        <f>IF(AND(C582&lt;&gt;"", H582&lt;&gt;""), HYPERLINK("#'" &amp; C582 &amp; "'!" &amp; H582, H582), "")</f>
        <v>0</v>
      </c>
    </row>
    <row r="583" spans="2:2">
      <c r="B583" s="21">
        <f>IF(AND(C583&lt;&gt;"", H583&lt;&gt;""), HYPERLINK("#'" &amp; C583 &amp; "'!" &amp; H583, H583), "")</f>
        <v>0</v>
      </c>
    </row>
    <row r="584" spans="2:2">
      <c r="B584" s="21">
        <f>IF(AND(C584&lt;&gt;"", H584&lt;&gt;""), HYPERLINK("#'" &amp; C584 &amp; "'!" &amp; H584, H584), "")</f>
        <v>0</v>
      </c>
    </row>
    <row r="585" spans="2:2">
      <c r="B585" s="21">
        <f>IF(AND(C585&lt;&gt;"", H585&lt;&gt;""), HYPERLINK("#'" &amp; C585 &amp; "'!" &amp; H585, H585), "")</f>
        <v>0</v>
      </c>
    </row>
    <row r="586" spans="2:2">
      <c r="B586" s="21">
        <f>IF(AND(C586&lt;&gt;"", H586&lt;&gt;""), HYPERLINK("#'" &amp; C586 &amp; "'!" &amp; H586, H586), "")</f>
        <v>0</v>
      </c>
    </row>
    <row r="587" spans="2:2">
      <c r="B587" s="21">
        <f>IF(AND(C587&lt;&gt;"", H587&lt;&gt;""), HYPERLINK("#'" &amp; C587 &amp; "'!" &amp; H587, H587), "")</f>
        <v>0</v>
      </c>
    </row>
    <row r="588" spans="2:2">
      <c r="B588" s="21">
        <f>IF(AND(C588&lt;&gt;"", H588&lt;&gt;""), HYPERLINK("#'" &amp; C588 &amp; "'!" &amp; H588, H588), "")</f>
        <v>0</v>
      </c>
    </row>
    <row r="589" spans="2:2">
      <c r="B589" s="21">
        <f>IF(AND(C589&lt;&gt;"", H589&lt;&gt;""), HYPERLINK("#'" &amp; C589 &amp; "'!" &amp; H589, H589), "")</f>
        <v>0</v>
      </c>
    </row>
    <row r="590" spans="2:2">
      <c r="B590" s="21">
        <f>IF(AND(C590&lt;&gt;"", H590&lt;&gt;""), HYPERLINK("#'" &amp; C590 &amp; "'!" &amp; H590, H590), "")</f>
        <v>0</v>
      </c>
    </row>
    <row r="591" spans="2:2">
      <c r="B591" s="21">
        <f>IF(AND(C591&lt;&gt;"", H591&lt;&gt;""), HYPERLINK("#'" &amp; C591 &amp; "'!" &amp; H591, H591), "")</f>
        <v>0</v>
      </c>
    </row>
    <row r="592" spans="2:2">
      <c r="B592" s="21">
        <f>IF(AND(C592&lt;&gt;"", H592&lt;&gt;""), HYPERLINK("#'" &amp; C592 &amp; "'!" &amp; H592, H592), "")</f>
        <v>0</v>
      </c>
    </row>
    <row r="593" spans="2:2">
      <c r="B593" s="21">
        <f>IF(AND(C593&lt;&gt;"", H593&lt;&gt;""), HYPERLINK("#'" &amp; C593 &amp; "'!" &amp; H593, H593), "")</f>
        <v>0</v>
      </c>
    </row>
    <row r="594" spans="2:2">
      <c r="B594" s="21">
        <f>IF(AND(C594&lt;&gt;"", H594&lt;&gt;""), HYPERLINK("#'" &amp; C594 &amp; "'!" &amp; H594, H594), "")</f>
        <v>0</v>
      </c>
    </row>
    <row r="595" spans="2:2">
      <c r="B595" s="21">
        <f>IF(AND(C595&lt;&gt;"", H595&lt;&gt;""), HYPERLINK("#'" &amp; C595 &amp; "'!" &amp; H595, H595), "")</f>
        <v>0</v>
      </c>
    </row>
    <row r="596" spans="2:2">
      <c r="B596" s="21">
        <f>IF(AND(C596&lt;&gt;"", H596&lt;&gt;""), HYPERLINK("#'" &amp; C596 &amp; "'!" &amp; H596, H596), "")</f>
        <v>0</v>
      </c>
    </row>
    <row r="597" spans="2:2">
      <c r="B597" s="21">
        <f>IF(AND(C597&lt;&gt;"", H597&lt;&gt;""), HYPERLINK("#'" &amp; C597 &amp; "'!" &amp; H597, H597), "")</f>
        <v>0</v>
      </c>
    </row>
    <row r="598" spans="2:2">
      <c r="B598" s="21">
        <f>IF(AND(C598&lt;&gt;"", H598&lt;&gt;""), HYPERLINK("#'" &amp; C598 &amp; "'!" &amp; H598, H598), "")</f>
        <v>0</v>
      </c>
    </row>
    <row r="599" spans="2:2">
      <c r="B599" s="21">
        <f>IF(AND(C599&lt;&gt;"", H599&lt;&gt;""), HYPERLINK("#'" &amp; C599 &amp; "'!" &amp; H599, H599), "")</f>
        <v>0</v>
      </c>
    </row>
    <row r="600" spans="2:2">
      <c r="B600" s="21">
        <f>IF(AND(C600&lt;&gt;"", H600&lt;&gt;""), HYPERLINK("#'" &amp; C600 &amp; "'!" &amp; H600, H600), "")</f>
        <v>0</v>
      </c>
    </row>
    <row r="601" spans="2:2">
      <c r="B601" s="21">
        <f>IF(AND(C601&lt;&gt;"", H601&lt;&gt;""), HYPERLINK("#'" &amp; C601 &amp; "'!" &amp; H601, H601), "")</f>
        <v>0</v>
      </c>
    </row>
    <row r="602" spans="2:2">
      <c r="B602" s="21">
        <f>IF(AND(C602&lt;&gt;"", H602&lt;&gt;""), HYPERLINK("#'" &amp; C602 &amp; "'!" &amp; H602, H602), "")</f>
        <v>0</v>
      </c>
    </row>
    <row r="603" spans="2:2">
      <c r="B603" s="21">
        <f>IF(AND(C603&lt;&gt;"", H603&lt;&gt;""), HYPERLINK("#'" &amp; C603 &amp; "'!" &amp; H603, H603), "")</f>
        <v>0</v>
      </c>
    </row>
    <row r="604" spans="2:2">
      <c r="B604" s="21">
        <f>IF(AND(C604&lt;&gt;"", H604&lt;&gt;""), HYPERLINK("#'" &amp; C604 &amp; "'!" &amp; H604, H604), "")</f>
        <v>0</v>
      </c>
    </row>
    <row r="605" spans="2:2">
      <c r="B605" s="21">
        <f>IF(AND(C605&lt;&gt;"", H605&lt;&gt;""), HYPERLINK("#'" &amp; C605 &amp; "'!" &amp; H605, H605), "")</f>
        <v>0</v>
      </c>
    </row>
    <row r="606" spans="2:2">
      <c r="B606" s="21">
        <f>IF(AND(C606&lt;&gt;"", H606&lt;&gt;""), HYPERLINK("#'" &amp; C606 &amp; "'!" &amp; H606, H606), "")</f>
        <v>0</v>
      </c>
    </row>
    <row r="607" spans="2:2">
      <c r="B607" s="21">
        <f>IF(AND(C607&lt;&gt;"", H607&lt;&gt;""), HYPERLINK("#'" &amp; C607 &amp; "'!" &amp; H607, H607), "")</f>
        <v>0</v>
      </c>
    </row>
    <row r="608" spans="2:2">
      <c r="B608" s="21">
        <f>IF(AND(C608&lt;&gt;"", H608&lt;&gt;""), HYPERLINK("#'" &amp; C608 &amp; "'!" &amp; H608, H608), "")</f>
        <v>0</v>
      </c>
    </row>
    <row r="609" spans="2:2">
      <c r="B609" s="21">
        <f>IF(AND(C609&lt;&gt;"", H609&lt;&gt;""), HYPERLINK("#'" &amp; C609 &amp; "'!" &amp; H609, H609), "")</f>
        <v>0</v>
      </c>
    </row>
    <row r="610" spans="2:2">
      <c r="B610" s="21">
        <f>IF(AND(C610&lt;&gt;"", H610&lt;&gt;""), HYPERLINK("#'" &amp; C610 &amp; "'!" &amp; H610, H610), "")</f>
        <v>0</v>
      </c>
    </row>
    <row r="611" spans="2:2">
      <c r="B611" s="21">
        <f>IF(AND(C611&lt;&gt;"", H611&lt;&gt;""), HYPERLINK("#'" &amp; C611 &amp; "'!" &amp; H611, H611), "")</f>
        <v>0</v>
      </c>
    </row>
    <row r="612" spans="2:2">
      <c r="B612" s="21">
        <f>IF(AND(C612&lt;&gt;"", H612&lt;&gt;""), HYPERLINK("#'" &amp; C612 &amp; "'!" &amp; H612, H612), "")</f>
        <v>0</v>
      </c>
    </row>
    <row r="613" spans="2:2">
      <c r="B613" s="21">
        <f>IF(AND(C613&lt;&gt;"", H613&lt;&gt;""), HYPERLINK("#'" &amp; C613 &amp; "'!" &amp; H613, H613), "")</f>
        <v>0</v>
      </c>
    </row>
    <row r="614" spans="2:2">
      <c r="B614" s="21">
        <f>IF(AND(C614&lt;&gt;"", H614&lt;&gt;""), HYPERLINK("#'" &amp; C614 &amp; "'!" &amp; H614, H614), "")</f>
        <v>0</v>
      </c>
    </row>
    <row r="615" spans="2:2">
      <c r="B615" s="21">
        <f>IF(AND(C615&lt;&gt;"", H615&lt;&gt;""), HYPERLINK("#'" &amp; C615 &amp; "'!" &amp; H615, H615), "")</f>
        <v>0</v>
      </c>
    </row>
    <row r="616" spans="2:2">
      <c r="B616" s="21">
        <f>IF(AND(C616&lt;&gt;"", H616&lt;&gt;""), HYPERLINK("#'" &amp; C616 &amp; "'!" &amp; H616, H616), "")</f>
        <v>0</v>
      </c>
    </row>
    <row r="617" spans="2:2">
      <c r="B617" s="21">
        <f>IF(AND(C617&lt;&gt;"", H617&lt;&gt;""), HYPERLINK("#'" &amp; C617 &amp; "'!" &amp; H617, H617), "")</f>
        <v>0</v>
      </c>
    </row>
    <row r="618" spans="2:2">
      <c r="B618" s="21">
        <f>IF(AND(C618&lt;&gt;"", H618&lt;&gt;""), HYPERLINK("#'" &amp; C618 &amp; "'!" &amp; H618, H618), "")</f>
        <v>0</v>
      </c>
    </row>
    <row r="619" spans="2:2">
      <c r="B619" s="21">
        <f>IF(AND(C619&lt;&gt;"", H619&lt;&gt;""), HYPERLINK("#'" &amp; C619 &amp; "'!" &amp; H619, H619), "")</f>
        <v>0</v>
      </c>
    </row>
    <row r="620" spans="2:2">
      <c r="B620" s="21">
        <f>IF(AND(C620&lt;&gt;"", H620&lt;&gt;""), HYPERLINK("#'" &amp; C620 &amp; "'!" &amp; H620, H620), "")</f>
        <v>0</v>
      </c>
    </row>
    <row r="621" spans="2:2">
      <c r="B621" s="21">
        <f>IF(AND(C621&lt;&gt;"", H621&lt;&gt;""), HYPERLINK("#'" &amp; C621 &amp; "'!" &amp; H621, H621), "")</f>
        <v>0</v>
      </c>
    </row>
    <row r="622" spans="2:2">
      <c r="B622" s="21">
        <f>IF(AND(C622&lt;&gt;"", H622&lt;&gt;""), HYPERLINK("#'" &amp; C622 &amp; "'!" &amp; H622, H622), "")</f>
        <v>0</v>
      </c>
    </row>
    <row r="623" spans="2:2">
      <c r="B623" s="21">
        <f>IF(AND(C623&lt;&gt;"", H623&lt;&gt;""), HYPERLINK("#'" &amp; C623 &amp; "'!" &amp; H623, H623), "")</f>
        <v>0</v>
      </c>
    </row>
    <row r="624" spans="2:2">
      <c r="B624" s="21">
        <f>IF(AND(C624&lt;&gt;"", H624&lt;&gt;""), HYPERLINK("#'" &amp; C624 &amp; "'!" &amp; H624, H624), "")</f>
        <v>0</v>
      </c>
    </row>
    <row r="625" spans="2:2">
      <c r="B625" s="21">
        <f>IF(AND(C625&lt;&gt;"", H625&lt;&gt;""), HYPERLINK("#'" &amp; C625 &amp; "'!" &amp; H625, H625), "")</f>
        <v>0</v>
      </c>
    </row>
    <row r="626" spans="2:2">
      <c r="B626" s="21">
        <f>IF(AND(C626&lt;&gt;"", H626&lt;&gt;""), HYPERLINK("#'" &amp; C626 &amp; "'!" &amp; H626, H626), "")</f>
        <v>0</v>
      </c>
    </row>
    <row r="627" spans="2:2">
      <c r="B627" s="21">
        <f>IF(AND(C627&lt;&gt;"", H627&lt;&gt;""), HYPERLINK("#'" &amp; C627 &amp; "'!" &amp; H627, H627), "")</f>
        <v>0</v>
      </c>
    </row>
    <row r="628" spans="2:2">
      <c r="B628" s="21">
        <f>IF(AND(C628&lt;&gt;"", H628&lt;&gt;""), HYPERLINK("#'" &amp; C628 &amp; "'!" &amp; H628, H628), "")</f>
        <v>0</v>
      </c>
    </row>
    <row r="629" spans="2:2">
      <c r="B629" s="21">
        <f>IF(AND(C629&lt;&gt;"", H629&lt;&gt;""), HYPERLINK("#'" &amp; C629 &amp; "'!" &amp; H629, H629), "")</f>
        <v>0</v>
      </c>
    </row>
    <row r="630" spans="2:2">
      <c r="B630" s="21">
        <f>IF(AND(C630&lt;&gt;"", H630&lt;&gt;""), HYPERLINK("#'" &amp; C630 &amp; "'!" &amp; H630, H630), "")</f>
        <v>0</v>
      </c>
    </row>
    <row r="631" spans="2:2">
      <c r="B631" s="21">
        <f>IF(AND(C631&lt;&gt;"", H631&lt;&gt;""), HYPERLINK("#'" &amp; C631 &amp; "'!" &amp; H631, H631), "")</f>
        <v>0</v>
      </c>
    </row>
    <row r="632" spans="2:2">
      <c r="B632" s="21">
        <f>IF(AND(C632&lt;&gt;"", H632&lt;&gt;""), HYPERLINK("#'" &amp; C632 &amp; "'!" &amp; H632, H632), "")</f>
        <v>0</v>
      </c>
    </row>
    <row r="633" spans="2:2">
      <c r="B633" s="21">
        <f>IF(AND(C633&lt;&gt;"", H633&lt;&gt;""), HYPERLINK("#'" &amp; C633 &amp; "'!" &amp; H633, H633), "")</f>
        <v>0</v>
      </c>
    </row>
    <row r="634" spans="2:2">
      <c r="B634" s="21">
        <f>IF(AND(C634&lt;&gt;"", H634&lt;&gt;""), HYPERLINK("#'" &amp; C634 &amp; "'!" &amp; H634, H634), "")</f>
        <v>0</v>
      </c>
    </row>
    <row r="635" spans="2:2">
      <c r="B635" s="21">
        <f>IF(AND(C635&lt;&gt;"", H635&lt;&gt;""), HYPERLINK("#'" &amp; C635 &amp; "'!" &amp; H635, H635), "")</f>
        <v>0</v>
      </c>
    </row>
    <row r="636" spans="2:2">
      <c r="B636" s="21">
        <f>IF(AND(C636&lt;&gt;"", H636&lt;&gt;""), HYPERLINK("#'" &amp; C636 &amp; "'!" &amp; H636, H636), "")</f>
        <v>0</v>
      </c>
    </row>
    <row r="637" spans="2:2">
      <c r="B637" s="21">
        <f>IF(AND(C637&lt;&gt;"", H637&lt;&gt;""), HYPERLINK("#'" &amp; C637 &amp; "'!" &amp; H637, H637), "")</f>
        <v>0</v>
      </c>
    </row>
    <row r="638" spans="2:2">
      <c r="B638" s="21">
        <f>IF(AND(C638&lt;&gt;"", H638&lt;&gt;""), HYPERLINK("#'" &amp; C638 &amp; "'!" &amp; H638, H638), "")</f>
        <v>0</v>
      </c>
    </row>
    <row r="639" spans="2:2">
      <c r="B639" s="21">
        <f>IF(AND(C639&lt;&gt;"", H639&lt;&gt;""), HYPERLINK("#'" &amp; C639 &amp; "'!" &amp; H639, H639), "")</f>
        <v>0</v>
      </c>
    </row>
    <row r="640" spans="2:2">
      <c r="B640" s="21">
        <f>IF(AND(C640&lt;&gt;"", H640&lt;&gt;""), HYPERLINK("#'" &amp; C640 &amp; "'!" &amp; H640, H640), "")</f>
        <v>0</v>
      </c>
    </row>
    <row r="641" spans="2:2">
      <c r="B641" s="21">
        <f>IF(AND(C641&lt;&gt;"", H641&lt;&gt;""), HYPERLINK("#'" &amp; C641 &amp; "'!" &amp; H641, H641), "")</f>
        <v>0</v>
      </c>
    </row>
    <row r="642" spans="2:2">
      <c r="B642" s="21">
        <f>IF(AND(C642&lt;&gt;"", H642&lt;&gt;""), HYPERLINK("#'" &amp; C642 &amp; "'!" &amp; H642, H642), "")</f>
        <v>0</v>
      </c>
    </row>
    <row r="643" spans="2:2">
      <c r="B643" s="21">
        <f>IF(AND(C643&lt;&gt;"", H643&lt;&gt;""), HYPERLINK("#'" &amp; C643 &amp; "'!" &amp; H643, H643), "")</f>
        <v>0</v>
      </c>
    </row>
    <row r="644" spans="2:2">
      <c r="B644" s="21">
        <f>IF(AND(C644&lt;&gt;"", H644&lt;&gt;""), HYPERLINK("#'" &amp; C644 &amp; "'!" &amp; H644, H644), "")</f>
        <v>0</v>
      </c>
    </row>
    <row r="645" spans="2:2">
      <c r="B645" s="21">
        <f>IF(AND(C645&lt;&gt;"", H645&lt;&gt;""), HYPERLINK("#'" &amp; C645 &amp; "'!" &amp; H645, H645), "")</f>
        <v>0</v>
      </c>
    </row>
    <row r="646" spans="2:2">
      <c r="B646" s="21">
        <f>IF(AND(C646&lt;&gt;"", H646&lt;&gt;""), HYPERLINK("#'" &amp; C646 &amp; "'!" &amp; H646, H646), "")</f>
        <v>0</v>
      </c>
    </row>
    <row r="647" spans="2:2">
      <c r="B647" s="21">
        <f>IF(AND(C647&lt;&gt;"", H647&lt;&gt;""), HYPERLINK("#'" &amp; C647 &amp; "'!" &amp; H647, H647), "")</f>
        <v>0</v>
      </c>
    </row>
    <row r="648" spans="2:2">
      <c r="B648" s="21">
        <f>IF(AND(C648&lt;&gt;"", H648&lt;&gt;""), HYPERLINK("#'" &amp; C648 &amp; "'!" &amp; H648, H648), "")</f>
        <v>0</v>
      </c>
    </row>
    <row r="649" spans="2:2">
      <c r="B649" s="21">
        <f>IF(AND(C649&lt;&gt;"", H649&lt;&gt;""), HYPERLINK("#'" &amp; C649 &amp; "'!" &amp; H649, H649), "")</f>
        <v>0</v>
      </c>
    </row>
    <row r="650" spans="2:2">
      <c r="B650" s="21">
        <f>IF(AND(C650&lt;&gt;"", H650&lt;&gt;""), HYPERLINK("#'" &amp; C650 &amp; "'!" &amp; H650, H650), "")</f>
        <v>0</v>
      </c>
    </row>
    <row r="651" spans="2:2">
      <c r="B651" s="21">
        <f>IF(AND(C651&lt;&gt;"", H651&lt;&gt;""), HYPERLINK("#'" &amp; C651 &amp; "'!" &amp; H651, H651), "")</f>
        <v>0</v>
      </c>
    </row>
    <row r="652" spans="2:2">
      <c r="B652" s="21">
        <f>IF(AND(C652&lt;&gt;"", H652&lt;&gt;""), HYPERLINK("#'" &amp; C652 &amp; "'!" &amp; H652, H652), "")</f>
        <v>0</v>
      </c>
    </row>
    <row r="653" spans="2:2">
      <c r="B653" s="21">
        <f>IF(AND(C653&lt;&gt;"", H653&lt;&gt;""), HYPERLINK("#'" &amp; C653 &amp; "'!" &amp; H653, H653), "")</f>
        <v>0</v>
      </c>
    </row>
    <row r="654" spans="2:2">
      <c r="B654" s="21">
        <f>IF(AND(C654&lt;&gt;"", H654&lt;&gt;""), HYPERLINK("#'" &amp; C654 &amp; "'!" &amp; H654, H654), "")</f>
        <v>0</v>
      </c>
    </row>
    <row r="655" spans="2:2">
      <c r="B655" s="21">
        <f>IF(AND(C655&lt;&gt;"", H655&lt;&gt;""), HYPERLINK("#'" &amp; C655 &amp; "'!" &amp; H655, H655), "")</f>
        <v>0</v>
      </c>
    </row>
    <row r="656" spans="2:2">
      <c r="B656" s="21">
        <f>IF(AND(C656&lt;&gt;"", H656&lt;&gt;""), HYPERLINK("#'" &amp; C656 &amp; "'!" &amp; H656, H656), "")</f>
        <v>0</v>
      </c>
    </row>
    <row r="657" spans="2:2">
      <c r="B657" s="21">
        <f>IF(AND(C657&lt;&gt;"", H657&lt;&gt;""), HYPERLINK("#'" &amp; C657 &amp; "'!" &amp; H657, H657), "")</f>
        <v>0</v>
      </c>
    </row>
    <row r="658" spans="2:2">
      <c r="B658" s="21">
        <f>IF(AND(C658&lt;&gt;"", H658&lt;&gt;""), HYPERLINK("#'" &amp; C658 &amp; "'!" &amp; H658, H658), "")</f>
        <v>0</v>
      </c>
    </row>
    <row r="659" spans="2:2">
      <c r="B659" s="21">
        <f>IF(AND(C659&lt;&gt;"", H659&lt;&gt;""), HYPERLINK("#'" &amp; C659 &amp; "'!" &amp; H659, H659), "")</f>
        <v>0</v>
      </c>
    </row>
    <row r="660" spans="2:2">
      <c r="B660" s="21">
        <f>IF(AND(C660&lt;&gt;"", H660&lt;&gt;""), HYPERLINK("#'" &amp; C660 &amp; "'!" &amp; H660, H660), "")</f>
        <v>0</v>
      </c>
    </row>
    <row r="661" spans="2:2">
      <c r="B661" s="21">
        <f>IF(AND(C661&lt;&gt;"", H661&lt;&gt;""), HYPERLINK("#'" &amp; C661 &amp; "'!" &amp; H661, H661), "")</f>
        <v>0</v>
      </c>
    </row>
    <row r="662" spans="2:2">
      <c r="B662" s="21">
        <f>IF(AND(C662&lt;&gt;"", H662&lt;&gt;""), HYPERLINK("#'" &amp; C662 &amp; "'!" &amp; H662, H662), "")</f>
        <v>0</v>
      </c>
    </row>
    <row r="663" spans="2:2">
      <c r="B663" s="21">
        <f>IF(AND(C663&lt;&gt;"", H663&lt;&gt;""), HYPERLINK("#'" &amp; C663 &amp; "'!" &amp; H663, H663), "")</f>
        <v>0</v>
      </c>
    </row>
    <row r="664" spans="2:2">
      <c r="B664" s="21">
        <f>IF(AND(C664&lt;&gt;"", H664&lt;&gt;""), HYPERLINK("#'" &amp; C664 &amp; "'!" &amp; H664, H664), "")</f>
        <v>0</v>
      </c>
    </row>
    <row r="665" spans="2:2">
      <c r="B665" s="21">
        <f>IF(AND(C665&lt;&gt;"", H665&lt;&gt;""), HYPERLINK("#'" &amp; C665 &amp; "'!" &amp; H665, H665), "")</f>
        <v>0</v>
      </c>
    </row>
    <row r="666" spans="2:2">
      <c r="B666" s="21">
        <f>IF(AND(C666&lt;&gt;"", H666&lt;&gt;""), HYPERLINK("#'" &amp; C666 &amp; "'!" &amp; H666, H666), "")</f>
        <v>0</v>
      </c>
    </row>
    <row r="667" spans="2:2">
      <c r="B667" s="21">
        <f>IF(AND(C667&lt;&gt;"", H667&lt;&gt;""), HYPERLINK("#'" &amp; C667 &amp; "'!" &amp; H667, H667), "")</f>
        <v>0</v>
      </c>
    </row>
    <row r="668" spans="2:2">
      <c r="B668" s="21">
        <f>IF(AND(C668&lt;&gt;"", H668&lt;&gt;""), HYPERLINK("#'" &amp; C668 &amp; "'!" &amp; H668, H668), "")</f>
        <v>0</v>
      </c>
    </row>
    <row r="669" spans="2:2">
      <c r="B669" s="21">
        <f>IF(AND(C669&lt;&gt;"", H669&lt;&gt;""), HYPERLINK("#'" &amp; C669 &amp; "'!" &amp; H669, H669), "")</f>
        <v>0</v>
      </c>
    </row>
    <row r="670" spans="2:2">
      <c r="B670" s="21">
        <f>IF(AND(C670&lt;&gt;"", H670&lt;&gt;""), HYPERLINK("#'" &amp; C670 &amp; "'!" &amp; H670, H670), "")</f>
        <v>0</v>
      </c>
    </row>
    <row r="671" spans="2:2">
      <c r="B671" s="21">
        <f>IF(AND(C671&lt;&gt;"", H671&lt;&gt;""), HYPERLINK("#'" &amp; C671 &amp; "'!" &amp; H671, H671), "")</f>
        <v>0</v>
      </c>
    </row>
    <row r="672" spans="2:2">
      <c r="B672" s="21">
        <f>IF(AND(C672&lt;&gt;"", H672&lt;&gt;""), HYPERLINK("#'" &amp; C672 &amp; "'!" &amp; H672, H672), "")</f>
        <v>0</v>
      </c>
    </row>
    <row r="673" spans="2:2">
      <c r="B673" s="21">
        <f>IF(AND(C673&lt;&gt;"", H673&lt;&gt;""), HYPERLINK("#'" &amp; C673 &amp; "'!" &amp; H673, H673), "")</f>
        <v>0</v>
      </c>
    </row>
    <row r="674" spans="2:2">
      <c r="B674" s="21">
        <f>IF(AND(C674&lt;&gt;"", H674&lt;&gt;""), HYPERLINK("#'" &amp; C674 &amp; "'!" &amp; H674, H674), "")</f>
        <v>0</v>
      </c>
    </row>
    <row r="675" spans="2:2">
      <c r="B675" s="21">
        <f>IF(AND(C675&lt;&gt;"", H675&lt;&gt;""), HYPERLINK("#'" &amp; C675 &amp; "'!" &amp; H675, H675), "")</f>
        <v>0</v>
      </c>
    </row>
    <row r="676" spans="2:2">
      <c r="B676" s="21">
        <f>IF(AND(C676&lt;&gt;"", H676&lt;&gt;""), HYPERLINK("#'" &amp; C676 &amp; "'!" &amp; H676, H676), "")</f>
        <v>0</v>
      </c>
    </row>
    <row r="677" spans="2:2">
      <c r="B677" s="21">
        <f>IF(AND(C677&lt;&gt;"", H677&lt;&gt;""), HYPERLINK("#'" &amp; C677 &amp; "'!" &amp; H677, H677), "")</f>
        <v>0</v>
      </c>
    </row>
    <row r="678" spans="2:2">
      <c r="B678" s="21">
        <f>IF(AND(C678&lt;&gt;"", H678&lt;&gt;""), HYPERLINK("#'" &amp; C678 &amp; "'!" &amp; H678, H678), "")</f>
        <v>0</v>
      </c>
    </row>
    <row r="679" spans="2:2">
      <c r="B679" s="21">
        <f>IF(AND(C679&lt;&gt;"", H679&lt;&gt;""), HYPERLINK("#'" &amp; C679 &amp; "'!" &amp; H679, H679), "")</f>
        <v>0</v>
      </c>
    </row>
    <row r="680" spans="2:2">
      <c r="B680" s="21">
        <f>IF(AND(C680&lt;&gt;"", H680&lt;&gt;""), HYPERLINK("#'" &amp; C680 &amp; "'!" &amp; H680, H680), "")</f>
        <v>0</v>
      </c>
    </row>
    <row r="681" spans="2:2">
      <c r="B681" s="21">
        <f>IF(AND(C681&lt;&gt;"", H681&lt;&gt;""), HYPERLINK("#'" &amp; C681 &amp; "'!" &amp; H681, H681), "")</f>
        <v>0</v>
      </c>
    </row>
    <row r="682" spans="2:2">
      <c r="B682" s="21">
        <f>IF(AND(C682&lt;&gt;"", H682&lt;&gt;""), HYPERLINK("#'" &amp; C682 &amp; "'!" &amp; H682, H682), "")</f>
        <v>0</v>
      </c>
    </row>
    <row r="683" spans="2:2">
      <c r="B683" s="21">
        <f>IF(AND(C683&lt;&gt;"", H683&lt;&gt;""), HYPERLINK("#'" &amp; C683 &amp; "'!" &amp; H683, H683), "")</f>
        <v>0</v>
      </c>
    </row>
    <row r="684" spans="2:2">
      <c r="B684" s="21">
        <f>IF(AND(C684&lt;&gt;"", H684&lt;&gt;""), HYPERLINK("#'" &amp; C684 &amp; "'!" &amp; H684, H684), "")</f>
        <v>0</v>
      </c>
    </row>
    <row r="685" spans="2:2">
      <c r="B685" s="21">
        <f>IF(AND(C685&lt;&gt;"", H685&lt;&gt;""), HYPERLINK("#'" &amp; C685 &amp; "'!" &amp; H685, H685), "")</f>
        <v>0</v>
      </c>
    </row>
    <row r="686" spans="2:2">
      <c r="B686" s="21">
        <f>IF(AND(C686&lt;&gt;"", H686&lt;&gt;""), HYPERLINK("#'" &amp; C686 &amp; "'!" &amp; H686, H686), "")</f>
        <v>0</v>
      </c>
    </row>
    <row r="687" spans="2:2">
      <c r="B687" s="21">
        <f>IF(AND(C687&lt;&gt;"", H687&lt;&gt;""), HYPERLINK("#'" &amp; C687 &amp; "'!" &amp; H687, H687), "")</f>
        <v>0</v>
      </c>
    </row>
    <row r="688" spans="2:2">
      <c r="B688" s="21">
        <f>IF(AND(C688&lt;&gt;"", H688&lt;&gt;""), HYPERLINK("#'" &amp; C688 &amp; "'!" &amp; H688, H688), "")</f>
        <v>0</v>
      </c>
    </row>
    <row r="689" spans="2:2">
      <c r="B689" s="21">
        <f>IF(AND(C689&lt;&gt;"", H689&lt;&gt;""), HYPERLINK("#'" &amp; C689 &amp; "'!" &amp; H689, H689), "")</f>
        <v>0</v>
      </c>
    </row>
    <row r="690" spans="2:2">
      <c r="B690" s="21">
        <f>IF(AND(C690&lt;&gt;"", H690&lt;&gt;""), HYPERLINK("#'" &amp; C690 &amp; "'!" &amp; H690, H690), "")</f>
        <v>0</v>
      </c>
    </row>
    <row r="691" spans="2:2">
      <c r="B691" s="21">
        <f>IF(AND(C691&lt;&gt;"", H691&lt;&gt;""), HYPERLINK("#'" &amp; C691 &amp; "'!" &amp; H691, H691), "")</f>
        <v>0</v>
      </c>
    </row>
    <row r="692" spans="2:2">
      <c r="B692" s="21">
        <f>IF(AND(C692&lt;&gt;"", H692&lt;&gt;""), HYPERLINK("#'" &amp; C692 &amp; "'!" &amp; H692, H692), "")</f>
        <v>0</v>
      </c>
    </row>
    <row r="693" spans="2:2">
      <c r="B693" s="21">
        <f>IF(AND(C693&lt;&gt;"", H693&lt;&gt;""), HYPERLINK("#'" &amp; C693 &amp; "'!" &amp; H693, H693), "")</f>
        <v>0</v>
      </c>
    </row>
    <row r="694" spans="2:2">
      <c r="B694" s="21">
        <f>IF(AND(C694&lt;&gt;"", H694&lt;&gt;""), HYPERLINK("#'" &amp; C694 &amp; "'!" &amp; H694, H694), "")</f>
        <v>0</v>
      </c>
    </row>
    <row r="695" spans="2:2">
      <c r="B695" s="21">
        <f>IF(AND(C695&lt;&gt;"", H695&lt;&gt;""), HYPERLINK("#'" &amp; C695 &amp; "'!" &amp; H695, H695), "")</f>
        <v>0</v>
      </c>
    </row>
    <row r="696" spans="2:2">
      <c r="B696" s="21">
        <f>IF(AND(C696&lt;&gt;"", H696&lt;&gt;""), HYPERLINK("#'" &amp; C696 &amp; "'!" &amp; H696, H696), "")</f>
        <v>0</v>
      </c>
    </row>
    <row r="697" spans="2:2">
      <c r="B697" s="21">
        <f>IF(AND(C697&lt;&gt;"", H697&lt;&gt;""), HYPERLINK("#'" &amp; C697 &amp; "'!" &amp; H697, H697), "")</f>
        <v>0</v>
      </c>
    </row>
    <row r="698" spans="2:2">
      <c r="B698" s="21">
        <f>IF(AND(C698&lt;&gt;"", H698&lt;&gt;""), HYPERLINK("#'" &amp; C698 &amp; "'!" &amp; H698, H698), "")</f>
        <v>0</v>
      </c>
    </row>
    <row r="699" spans="2:2">
      <c r="B699" s="21">
        <f>IF(AND(C699&lt;&gt;"", H699&lt;&gt;""), HYPERLINK("#'" &amp; C699 &amp; "'!" &amp; H699, H699), "")</f>
        <v>0</v>
      </c>
    </row>
    <row r="700" spans="2:2">
      <c r="B700" s="21">
        <f>IF(AND(C700&lt;&gt;"", H700&lt;&gt;""), HYPERLINK("#'" &amp; C700 &amp; "'!" &amp; H700, H700), "")</f>
        <v>0</v>
      </c>
    </row>
    <row r="701" spans="2:2">
      <c r="B701" s="21">
        <f>IF(AND(C701&lt;&gt;"", H701&lt;&gt;""), HYPERLINK("#'" &amp; C701 &amp; "'!" &amp; H701, H701), "")</f>
        <v>0</v>
      </c>
    </row>
    <row r="702" spans="2:2">
      <c r="B702" s="21">
        <f>IF(AND(C702&lt;&gt;"", H702&lt;&gt;""), HYPERLINK("#'" &amp; C702 &amp; "'!" &amp; H702, H702), "")</f>
        <v>0</v>
      </c>
    </row>
    <row r="703" spans="2:2">
      <c r="B703" s="21">
        <f>IF(AND(C703&lt;&gt;"", H703&lt;&gt;""), HYPERLINK("#'" &amp; C703 &amp; "'!" &amp; H703, H703), "")</f>
        <v>0</v>
      </c>
    </row>
    <row r="704" spans="2:2">
      <c r="B704" s="21">
        <f>IF(AND(C704&lt;&gt;"", H704&lt;&gt;""), HYPERLINK("#'" &amp; C704 &amp; "'!" &amp; H704, H704), "")</f>
        <v>0</v>
      </c>
    </row>
    <row r="705" spans="2:2">
      <c r="B705" s="21">
        <f>IF(AND(C705&lt;&gt;"", H705&lt;&gt;""), HYPERLINK("#'" &amp; C705 &amp; "'!" &amp; H705, H705), "")</f>
        <v>0</v>
      </c>
    </row>
    <row r="706" spans="2:2">
      <c r="B706" s="21">
        <f>IF(AND(C706&lt;&gt;"", H706&lt;&gt;""), HYPERLINK("#'" &amp; C706 &amp; "'!" &amp; H706, H706), "")</f>
        <v>0</v>
      </c>
    </row>
    <row r="707" spans="2:2">
      <c r="B707" s="21">
        <f>IF(AND(C707&lt;&gt;"", H707&lt;&gt;""), HYPERLINK("#'" &amp; C707 &amp; "'!" &amp; H707, H707), "")</f>
        <v>0</v>
      </c>
    </row>
    <row r="708" spans="2:2">
      <c r="B708" s="21">
        <f>IF(AND(C708&lt;&gt;"", H708&lt;&gt;""), HYPERLINK("#'" &amp; C708 &amp; "'!" &amp; H708, H708), "")</f>
        <v>0</v>
      </c>
    </row>
    <row r="709" spans="2:2">
      <c r="B709" s="21">
        <f>IF(AND(C709&lt;&gt;"", H709&lt;&gt;""), HYPERLINK("#'" &amp; C709 &amp; "'!" &amp; H709, H709), "")</f>
        <v>0</v>
      </c>
    </row>
    <row r="710" spans="2:2">
      <c r="B710" s="21">
        <f>IF(AND(C710&lt;&gt;"", H710&lt;&gt;""), HYPERLINK("#'" &amp; C710 &amp; "'!" &amp; H710, H710), "")</f>
        <v>0</v>
      </c>
    </row>
    <row r="711" spans="2:2">
      <c r="B711" s="21">
        <f>IF(AND(C711&lt;&gt;"", H711&lt;&gt;""), HYPERLINK("#'" &amp; C711 &amp; "'!" &amp; H711, H711), "")</f>
        <v>0</v>
      </c>
    </row>
    <row r="712" spans="2:2">
      <c r="B712" s="21">
        <f>IF(AND(C712&lt;&gt;"", H712&lt;&gt;""), HYPERLINK("#'" &amp; C712 &amp; "'!" &amp; H712, H712), "")</f>
        <v>0</v>
      </c>
    </row>
    <row r="713" spans="2:2">
      <c r="B713" s="21">
        <f>IF(AND(C713&lt;&gt;"", H713&lt;&gt;""), HYPERLINK("#'" &amp; C713 &amp; "'!" &amp; H713, H713), "")</f>
        <v>0</v>
      </c>
    </row>
    <row r="714" spans="2:2">
      <c r="B714" s="21">
        <f>IF(AND(C714&lt;&gt;"", H714&lt;&gt;""), HYPERLINK("#'" &amp; C714 &amp; "'!" &amp; H714, H714), "")</f>
        <v>0</v>
      </c>
    </row>
    <row r="715" spans="2:2">
      <c r="B715" s="21">
        <f>IF(AND(C715&lt;&gt;"", H715&lt;&gt;""), HYPERLINK("#'" &amp; C715 &amp; "'!" &amp; H715, H715), "")</f>
        <v>0</v>
      </c>
    </row>
    <row r="716" spans="2:2">
      <c r="B716" s="21">
        <f>IF(AND(C716&lt;&gt;"", H716&lt;&gt;""), HYPERLINK("#'" &amp; C716 &amp; "'!" &amp; H716, H716), "")</f>
        <v>0</v>
      </c>
    </row>
    <row r="717" spans="2:2">
      <c r="B717" s="21">
        <f>IF(AND(C717&lt;&gt;"", H717&lt;&gt;""), HYPERLINK("#'" &amp; C717 &amp; "'!" &amp; H717, H717), "")</f>
        <v>0</v>
      </c>
    </row>
    <row r="718" spans="2:2">
      <c r="B718" s="21">
        <f>IF(AND(C718&lt;&gt;"", H718&lt;&gt;""), HYPERLINK("#'" &amp; C718 &amp; "'!" &amp; H718, H718), "")</f>
        <v>0</v>
      </c>
    </row>
    <row r="719" spans="2:2">
      <c r="B719" s="21">
        <f>IF(AND(C719&lt;&gt;"", H719&lt;&gt;""), HYPERLINK("#'" &amp; C719 &amp; "'!" &amp; H719, H719), "")</f>
        <v>0</v>
      </c>
    </row>
    <row r="720" spans="2:2">
      <c r="B720" s="21">
        <f>IF(AND(C720&lt;&gt;"", H720&lt;&gt;""), HYPERLINK("#'" &amp; C720 &amp; "'!" &amp; H720, H720), "")</f>
        <v>0</v>
      </c>
    </row>
    <row r="721" spans="2:2">
      <c r="B721" s="21">
        <f>IF(AND(C721&lt;&gt;"", H721&lt;&gt;""), HYPERLINK("#'" &amp; C721 &amp; "'!" &amp; H721, H721), "")</f>
        <v>0</v>
      </c>
    </row>
    <row r="722" spans="2:2">
      <c r="B722" s="21">
        <f>IF(AND(C722&lt;&gt;"", H722&lt;&gt;""), HYPERLINK("#'" &amp; C722 &amp; "'!" &amp; H722, H722), "")</f>
        <v>0</v>
      </c>
    </row>
    <row r="723" spans="2:2">
      <c r="B723" s="21">
        <f>IF(AND(C723&lt;&gt;"", H723&lt;&gt;""), HYPERLINK("#'" &amp; C723 &amp; "'!" &amp; H723, H723), "")</f>
        <v>0</v>
      </c>
    </row>
    <row r="724" spans="2:2">
      <c r="B724" s="21">
        <f>IF(AND(C724&lt;&gt;"", H724&lt;&gt;""), HYPERLINK("#'" &amp; C724 &amp; "'!" &amp; H724, H724), "")</f>
        <v>0</v>
      </c>
    </row>
    <row r="725" spans="2:2">
      <c r="B725" s="21">
        <f>IF(AND(C725&lt;&gt;"", H725&lt;&gt;""), HYPERLINK("#'" &amp; C725 &amp; "'!" &amp; H725, H725), "")</f>
        <v>0</v>
      </c>
    </row>
    <row r="726" spans="2:2">
      <c r="B726" s="21">
        <f>IF(AND(C726&lt;&gt;"", H726&lt;&gt;""), HYPERLINK("#'" &amp; C726 &amp; "'!" &amp; H726, H726), "")</f>
        <v>0</v>
      </c>
    </row>
    <row r="727" spans="2:2">
      <c r="B727" s="21">
        <f>IF(AND(C727&lt;&gt;"", H727&lt;&gt;""), HYPERLINK("#'" &amp; C727 &amp; "'!" &amp; H727, H727), "")</f>
        <v>0</v>
      </c>
    </row>
    <row r="728" spans="2:2">
      <c r="B728" s="21">
        <f>IF(AND(C728&lt;&gt;"", H728&lt;&gt;""), HYPERLINK("#'" &amp; C728 &amp; "'!" &amp; H728, H728), "")</f>
        <v>0</v>
      </c>
    </row>
    <row r="729" spans="2:2">
      <c r="B729" s="21">
        <f>IF(AND(C729&lt;&gt;"", H729&lt;&gt;""), HYPERLINK("#'" &amp; C729 &amp; "'!" &amp; H729, H729), "")</f>
        <v>0</v>
      </c>
    </row>
    <row r="730" spans="2:2">
      <c r="B730" s="21">
        <f>IF(AND(C730&lt;&gt;"", H730&lt;&gt;""), HYPERLINK("#'" &amp; C730 &amp; "'!" &amp; H730, H730), "")</f>
        <v>0</v>
      </c>
    </row>
    <row r="731" spans="2:2">
      <c r="B731" s="21">
        <f>IF(AND(C731&lt;&gt;"", H731&lt;&gt;""), HYPERLINK("#'" &amp; C731 &amp; "'!" &amp; H731, H731), "")</f>
        <v>0</v>
      </c>
    </row>
    <row r="732" spans="2:2">
      <c r="B732" s="21">
        <f>IF(AND(C732&lt;&gt;"", H732&lt;&gt;""), HYPERLINK("#'" &amp; C732 &amp; "'!" &amp; H732, H732), "")</f>
        <v>0</v>
      </c>
    </row>
    <row r="733" spans="2:2">
      <c r="B733" s="21">
        <f>IF(AND(C733&lt;&gt;"", H733&lt;&gt;""), HYPERLINK("#'" &amp; C733 &amp; "'!" &amp; H733, H733), "")</f>
        <v>0</v>
      </c>
    </row>
    <row r="734" spans="2:2">
      <c r="B734" s="21">
        <f>IF(AND(C734&lt;&gt;"", H734&lt;&gt;""), HYPERLINK("#'" &amp; C734 &amp; "'!" &amp; H734, H734), "")</f>
        <v>0</v>
      </c>
    </row>
    <row r="735" spans="2:2">
      <c r="B735" s="21">
        <f>IF(AND(C735&lt;&gt;"", H735&lt;&gt;""), HYPERLINK("#'" &amp; C735 &amp; "'!" &amp; H735, H735), "")</f>
        <v>0</v>
      </c>
    </row>
    <row r="736" spans="2:2">
      <c r="B736" s="21">
        <f>IF(AND(C736&lt;&gt;"", H736&lt;&gt;""), HYPERLINK("#'" &amp; C736 &amp; "'!" &amp; H736, H736), "")</f>
        <v>0</v>
      </c>
    </row>
    <row r="737" spans="2:2">
      <c r="B737" s="21">
        <f>IF(AND(C737&lt;&gt;"", H737&lt;&gt;""), HYPERLINK("#'" &amp; C737 &amp; "'!" &amp; H737, H737), "")</f>
        <v>0</v>
      </c>
    </row>
    <row r="738" spans="2:2">
      <c r="B738" s="21">
        <f>IF(AND(C738&lt;&gt;"", H738&lt;&gt;""), HYPERLINK("#'" &amp; C738 &amp; "'!" &amp; H738, H738), "")</f>
        <v>0</v>
      </c>
    </row>
    <row r="739" spans="2:2">
      <c r="B739" s="21">
        <f>IF(AND(C739&lt;&gt;"", H739&lt;&gt;""), HYPERLINK("#'" &amp; C739 &amp; "'!" &amp; H739, H739), "")</f>
        <v>0</v>
      </c>
    </row>
    <row r="740" spans="2:2">
      <c r="B740" s="21">
        <f>IF(AND(C740&lt;&gt;"", H740&lt;&gt;""), HYPERLINK("#'" &amp; C740 &amp; "'!" &amp; H740, H740), "")</f>
        <v>0</v>
      </c>
    </row>
    <row r="741" spans="2:2">
      <c r="B741" s="21">
        <f>IF(AND(C741&lt;&gt;"", H741&lt;&gt;""), HYPERLINK("#'" &amp; C741 &amp; "'!" &amp; H741, H741), "")</f>
        <v>0</v>
      </c>
    </row>
    <row r="742" spans="2:2">
      <c r="B742" s="21">
        <f>IF(AND(C742&lt;&gt;"", H742&lt;&gt;""), HYPERLINK("#'" &amp; C742 &amp; "'!" &amp; H742, H742), "")</f>
        <v>0</v>
      </c>
    </row>
    <row r="743" spans="2:2">
      <c r="B743" s="21">
        <f>IF(AND(C743&lt;&gt;"", H743&lt;&gt;""), HYPERLINK("#'" &amp; C743 &amp; "'!" &amp; H743, H743), "")</f>
        <v>0</v>
      </c>
    </row>
    <row r="744" spans="2:2">
      <c r="B744" s="21">
        <f>IF(AND(C744&lt;&gt;"", H744&lt;&gt;""), HYPERLINK("#'" &amp; C744 &amp; "'!" &amp; H744, H744), "")</f>
        <v>0</v>
      </c>
    </row>
    <row r="745" spans="2:2">
      <c r="B745" s="21">
        <f>IF(AND(C745&lt;&gt;"", H745&lt;&gt;""), HYPERLINK("#'" &amp; C745 &amp; "'!" &amp; H745, H745), "")</f>
        <v>0</v>
      </c>
    </row>
    <row r="746" spans="2:2">
      <c r="B746" s="21">
        <f>IF(AND(C746&lt;&gt;"", H746&lt;&gt;""), HYPERLINK("#'" &amp; C746 &amp; "'!" &amp; H746, H746), "")</f>
        <v>0</v>
      </c>
    </row>
    <row r="747" spans="2:2">
      <c r="B747" s="21">
        <f>IF(AND(C747&lt;&gt;"", H747&lt;&gt;""), HYPERLINK("#'" &amp; C747 &amp; "'!" &amp; H747, H747), "")</f>
        <v>0</v>
      </c>
    </row>
    <row r="748" spans="2:2">
      <c r="B748" s="21">
        <f>IF(AND(C748&lt;&gt;"", H748&lt;&gt;""), HYPERLINK("#'" &amp; C748 &amp; "'!" &amp; H748, H748), "")</f>
        <v>0</v>
      </c>
    </row>
    <row r="749" spans="2:2">
      <c r="B749" s="21">
        <f>IF(AND(C749&lt;&gt;"", H749&lt;&gt;""), HYPERLINK("#'" &amp; C749 &amp; "'!" &amp; H749, H749), "")</f>
        <v>0</v>
      </c>
    </row>
    <row r="750" spans="2:2">
      <c r="B750" s="21">
        <f>IF(AND(C750&lt;&gt;"", H750&lt;&gt;""), HYPERLINK("#'" &amp; C750 &amp; "'!" &amp; H750, H750), "")</f>
        <v>0</v>
      </c>
    </row>
    <row r="751" spans="2:2">
      <c r="B751" s="21">
        <f>IF(AND(C751&lt;&gt;"", H751&lt;&gt;""), HYPERLINK("#'" &amp; C751 &amp; "'!" &amp; H751, H751), "")</f>
        <v>0</v>
      </c>
    </row>
    <row r="752" spans="2:2">
      <c r="B752" s="21">
        <f>IF(AND(C752&lt;&gt;"", H752&lt;&gt;""), HYPERLINK("#'" &amp; C752 &amp; "'!" &amp; H752, H752), "")</f>
        <v>0</v>
      </c>
    </row>
    <row r="753" spans="2:2">
      <c r="B753" s="21">
        <f>IF(AND(C753&lt;&gt;"", H753&lt;&gt;""), HYPERLINK("#'" &amp; C753 &amp; "'!" &amp; H753, H753), "")</f>
        <v>0</v>
      </c>
    </row>
    <row r="754" spans="2:2">
      <c r="B754" s="21">
        <f>IF(AND(C754&lt;&gt;"", H754&lt;&gt;""), HYPERLINK("#'" &amp; C754 &amp; "'!" &amp; H754, H754), "")</f>
        <v>0</v>
      </c>
    </row>
    <row r="755" spans="2:2">
      <c r="B755" s="21">
        <f>IF(AND(C755&lt;&gt;"", H755&lt;&gt;""), HYPERLINK("#'" &amp; C755 &amp; "'!" &amp; H755, H755), "")</f>
        <v>0</v>
      </c>
    </row>
    <row r="756" spans="2:2">
      <c r="B756" s="21">
        <f>IF(AND(C756&lt;&gt;"", H756&lt;&gt;""), HYPERLINK("#'" &amp; C756 &amp; "'!" &amp; H756, H756), "")</f>
        <v>0</v>
      </c>
    </row>
    <row r="757" spans="2:2">
      <c r="B757" s="21">
        <f>IF(AND(C757&lt;&gt;"", H757&lt;&gt;""), HYPERLINK("#'" &amp; C757 &amp; "'!" &amp; H757, H757), "")</f>
        <v>0</v>
      </c>
    </row>
    <row r="758" spans="2:2">
      <c r="B758" s="21">
        <f>IF(AND(C758&lt;&gt;"", H758&lt;&gt;""), HYPERLINK("#'" &amp; C758 &amp; "'!" &amp; H758, H758), "")</f>
        <v>0</v>
      </c>
    </row>
    <row r="759" spans="2:2">
      <c r="B759" s="21">
        <f>IF(AND(C759&lt;&gt;"", H759&lt;&gt;""), HYPERLINK("#'" &amp; C759 &amp; "'!" &amp; H759, H759), "")</f>
        <v>0</v>
      </c>
    </row>
    <row r="760" spans="2:2">
      <c r="B760" s="21">
        <f>IF(AND(C760&lt;&gt;"", H760&lt;&gt;""), HYPERLINK("#'" &amp; C760 &amp; "'!" &amp; H760, H760), "")</f>
        <v>0</v>
      </c>
    </row>
    <row r="761" spans="2:2">
      <c r="B761" s="21">
        <f>IF(AND(C761&lt;&gt;"", H761&lt;&gt;""), HYPERLINK("#'" &amp; C761 &amp; "'!" &amp; H761, H761), "")</f>
        <v>0</v>
      </c>
    </row>
    <row r="762" spans="2:2">
      <c r="B762" s="21">
        <f>IF(AND(C762&lt;&gt;"", H762&lt;&gt;""), HYPERLINK("#'" &amp; C762 &amp; "'!" &amp; H762, H762), "")</f>
        <v>0</v>
      </c>
    </row>
    <row r="763" spans="2:2">
      <c r="B763" s="21">
        <f>IF(AND(C763&lt;&gt;"", H763&lt;&gt;""), HYPERLINK("#'" &amp; C763 &amp; "'!" &amp; H763, H763), "")</f>
        <v>0</v>
      </c>
    </row>
    <row r="764" spans="2:2">
      <c r="B764" s="21">
        <f>IF(AND(C764&lt;&gt;"", H764&lt;&gt;""), HYPERLINK("#'" &amp; C764 &amp; "'!" &amp; H764, H764), "")</f>
        <v>0</v>
      </c>
    </row>
    <row r="765" spans="2:2">
      <c r="B765" s="21">
        <f>IF(AND(C765&lt;&gt;"", H765&lt;&gt;""), HYPERLINK("#'" &amp; C765 &amp; "'!" &amp; H765, H765), "")</f>
        <v>0</v>
      </c>
    </row>
    <row r="766" spans="2:2">
      <c r="B766" s="21">
        <f>IF(AND(C766&lt;&gt;"", H766&lt;&gt;""), HYPERLINK("#'" &amp; C766 &amp; "'!" &amp; H766, H766), "")</f>
        <v>0</v>
      </c>
    </row>
    <row r="767" spans="2:2">
      <c r="B767" s="21">
        <f>IF(AND(C767&lt;&gt;"", H767&lt;&gt;""), HYPERLINK("#'" &amp; C767 &amp; "'!" &amp; H767, H767), "")</f>
        <v>0</v>
      </c>
    </row>
    <row r="768" spans="2:2">
      <c r="B768" s="21">
        <f>IF(AND(C768&lt;&gt;"", H768&lt;&gt;""), HYPERLINK("#'" &amp; C768 &amp; "'!" &amp; H768, H768), "")</f>
        <v>0</v>
      </c>
    </row>
    <row r="769" spans="2:2">
      <c r="B769" s="21">
        <f>IF(AND(C769&lt;&gt;"", H769&lt;&gt;""), HYPERLINK("#'" &amp; C769 &amp; "'!" &amp; H769, H769), "")</f>
        <v>0</v>
      </c>
    </row>
    <row r="770" spans="2:2">
      <c r="B770" s="21">
        <f>IF(AND(C770&lt;&gt;"", H770&lt;&gt;""), HYPERLINK("#'" &amp; C770 &amp; "'!" &amp; H770, H770), "")</f>
        <v>0</v>
      </c>
    </row>
    <row r="771" spans="2:2">
      <c r="B771" s="21">
        <f>IF(AND(C771&lt;&gt;"", H771&lt;&gt;""), HYPERLINK("#'" &amp; C771 &amp; "'!" &amp; H771, H771), "")</f>
        <v>0</v>
      </c>
    </row>
    <row r="772" spans="2:2">
      <c r="B772" s="21">
        <f>IF(AND(C772&lt;&gt;"", H772&lt;&gt;""), HYPERLINK("#'" &amp; C772 &amp; "'!" &amp; H772, H772), "")</f>
        <v>0</v>
      </c>
    </row>
    <row r="773" spans="2:2">
      <c r="B773" s="21">
        <f>IF(AND(C773&lt;&gt;"", H773&lt;&gt;""), HYPERLINK("#'" &amp; C773 &amp; "'!" &amp; H773, H773), "")</f>
        <v>0</v>
      </c>
    </row>
    <row r="774" spans="2:2">
      <c r="B774" s="21">
        <f>IF(AND(C774&lt;&gt;"", H774&lt;&gt;""), HYPERLINK("#'" &amp; C774 &amp; "'!" &amp; H774, H774), "")</f>
        <v>0</v>
      </c>
    </row>
    <row r="775" spans="2:2">
      <c r="B775" s="21">
        <f>IF(AND(C775&lt;&gt;"", H775&lt;&gt;""), HYPERLINK("#'" &amp; C775 &amp; "'!" &amp; H775, H775), "")</f>
        <v>0</v>
      </c>
    </row>
    <row r="776" spans="2:2">
      <c r="B776" s="21">
        <f>IF(AND(C776&lt;&gt;"", H776&lt;&gt;""), HYPERLINK("#'" &amp; C776 &amp; "'!" &amp; H776, H776), "")</f>
        <v>0</v>
      </c>
    </row>
    <row r="777" spans="2:2">
      <c r="B777" s="21">
        <f>IF(AND(C777&lt;&gt;"", H777&lt;&gt;""), HYPERLINK("#'" &amp; C777 &amp; "'!" &amp; H777, H777), "")</f>
        <v>0</v>
      </c>
    </row>
    <row r="778" spans="2:2">
      <c r="B778" s="21">
        <f>IF(AND(C778&lt;&gt;"", H778&lt;&gt;""), HYPERLINK("#'" &amp; C778 &amp; "'!" &amp; H778, H778), "")</f>
        <v>0</v>
      </c>
    </row>
    <row r="779" spans="2:2">
      <c r="B779" s="21">
        <f>IF(AND(C779&lt;&gt;"", H779&lt;&gt;""), HYPERLINK("#'" &amp; C779 &amp; "'!" &amp; H779, H779), "")</f>
        <v>0</v>
      </c>
    </row>
    <row r="780" spans="2:2">
      <c r="B780" s="21">
        <f>IF(AND(C780&lt;&gt;"", H780&lt;&gt;""), HYPERLINK("#'" &amp; C780 &amp; "'!" &amp; H780, H780), "")</f>
        <v>0</v>
      </c>
    </row>
    <row r="781" spans="2:2">
      <c r="B781" s="21">
        <f>IF(AND(C781&lt;&gt;"", H781&lt;&gt;""), HYPERLINK("#'" &amp; C781 &amp; "'!" &amp; H781, H781), "")</f>
        <v>0</v>
      </c>
    </row>
    <row r="782" spans="2:2">
      <c r="B782" s="21">
        <f>IF(AND(C782&lt;&gt;"", H782&lt;&gt;""), HYPERLINK("#'" &amp; C782 &amp; "'!" &amp; H782, H782), "")</f>
        <v>0</v>
      </c>
    </row>
    <row r="783" spans="2:2">
      <c r="B783" s="21">
        <f>IF(AND(C783&lt;&gt;"", H783&lt;&gt;""), HYPERLINK("#'" &amp; C783 &amp; "'!" &amp; H783, H783), "")</f>
        <v>0</v>
      </c>
    </row>
    <row r="784" spans="2:2">
      <c r="B784" s="21">
        <f>IF(AND(C784&lt;&gt;"", H784&lt;&gt;""), HYPERLINK("#'" &amp; C784 &amp; "'!" &amp; H784, H784), "")</f>
        <v>0</v>
      </c>
    </row>
    <row r="785" spans="2:2">
      <c r="B785" s="21">
        <f>IF(AND(C785&lt;&gt;"", H785&lt;&gt;""), HYPERLINK("#'" &amp; C785 &amp; "'!" &amp; H785, H785), "")</f>
        <v>0</v>
      </c>
    </row>
    <row r="786" spans="2:2">
      <c r="B786" s="21">
        <f>IF(AND(C786&lt;&gt;"", H786&lt;&gt;""), HYPERLINK("#'" &amp; C786 &amp; "'!" &amp; H786, H786), "")</f>
        <v>0</v>
      </c>
    </row>
    <row r="787" spans="2:2">
      <c r="B787" s="21">
        <f>IF(AND(C787&lt;&gt;"", H787&lt;&gt;""), HYPERLINK("#'" &amp; C787 &amp; "'!" &amp; H787, H787), "")</f>
        <v>0</v>
      </c>
    </row>
    <row r="788" spans="2:2">
      <c r="B788" s="21">
        <f>IF(AND(C788&lt;&gt;"", H788&lt;&gt;""), HYPERLINK("#'" &amp; C788 &amp; "'!" &amp; H788, H788), "")</f>
        <v>0</v>
      </c>
    </row>
    <row r="789" spans="2:2">
      <c r="B789" s="21">
        <f>IF(AND(C789&lt;&gt;"", H789&lt;&gt;""), HYPERLINK("#'" &amp; C789 &amp; "'!" &amp; H789, H789), "")</f>
        <v>0</v>
      </c>
    </row>
    <row r="790" spans="2:2">
      <c r="B790" s="21">
        <f>IF(AND(C790&lt;&gt;"", H790&lt;&gt;""), HYPERLINK("#'" &amp; C790 &amp; "'!" &amp; H790, H790), "")</f>
        <v>0</v>
      </c>
    </row>
    <row r="791" spans="2:2">
      <c r="B791" s="21">
        <f>IF(AND(C791&lt;&gt;"", H791&lt;&gt;""), HYPERLINK("#'" &amp; C791 &amp; "'!" &amp; H791, H791), "")</f>
        <v>0</v>
      </c>
    </row>
    <row r="792" spans="2:2">
      <c r="B792" s="21">
        <f>IF(AND(C792&lt;&gt;"", H792&lt;&gt;""), HYPERLINK("#'" &amp; C792 &amp; "'!" &amp; H792, H792), "")</f>
        <v>0</v>
      </c>
    </row>
    <row r="793" spans="2:2">
      <c r="B793" s="21">
        <f>IF(AND(C793&lt;&gt;"", H793&lt;&gt;""), HYPERLINK("#'" &amp; C793 &amp; "'!" &amp; H793, H793), "")</f>
        <v>0</v>
      </c>
    </row>
    <row r="794" spans="2:2">
      <c r="B794" s="21">
        <f>IF(AND(C794&lt;&gt;"", H794&lt;&gt;""), HYPERLINK("#'" &amp; C794 &amp; "'!" &amp; H794, H794), "")</f>
        <v>0</v>
      </c>
    </row>
    <row r="795" spans="2:2">
      <c r="B795" s="21">
        <f>IF(AND(C795&lt;&gt;"", H795&lt;&gt;""), HYPERLINK("#'" &amp; C795 &amp; "'!" &amp; H795, H795), "")</f>
        <v>0</v>
      </c>
    </row>
    <row r="796" spans="2:2">
      <c r="B796" s="21">
        <f>IF(AND(C796&lt;&gt;"", H796&lt;&gt;""), HYPERLINK("#'" &amp; C796 &amp; "'!" &amp; H796, H796), "")</f>
        <v>0</v>
      </c>
    </row>
    <row r="797" spans="2:2">
      <c r="B797" s="21">
        <f>IF(AND(C797&lt;&gt;"", H797&lt;&gt;""), HYPERLINK("#'" &amp; C797 &amp; "'!" &amp; H797, H797), "")</f>
        <v>0</v>
      </c>
    </row>
    <row r="798" spans="2:2">
      <c r="B798" s="21">
        <f>IF(AND(C798&lt;&gt;"", H798&lt;&gt;""), HYPERLINK("#'" &amp; C798 &amp; "'!" &amp; H798, H798), "")</f>
        <v>0</v>
      </c>
    </row>
    <row r="799" spans="2:2">
      <c r="B799" s="21">
        <f>IF(AND(C799&lt;&gt;"", H799&lt;&gt;""), HYPERLINK("#'" &amp; C799 &amp; "'!" &amp; H799, H799), "")</f>
        <v>0</v>
      </c>
    </row>
    <row r="800" spans="2:2">
      <c r="B800" s="21">
        <f>IF(AND(C800&lt;&gt;"", H800&lt;&gt;""), HYPERLINK("#'" &amp; C800 &amp; "'!" &amp; H800, H800), "")</f>
        <v>0</v>
      </c>
    </row>
    <row r="801" spans="2:2">
      <c r="B801" s="21">
        <f>IF(AND(C801&lt;&gt;"", H801&lt;&gt;""), HYPERLINK("#'" &amp; C801 &amp; "'!" &amp; H801, H801), "")</f>
        <v>0</v>
      </c>
    </row>
    <row r="802" spans="2:2">
      <c r="B802" s="21">
        <f>IF(AND(C802&lt;&gt;"", H802&lt;&gt;""), HYPERLINK("#'" &amp; C802 &amp; "'!" &amp; H802, H802), "")</f>
        <v>0</v>
      </c>
    </row>
    <row r="803" spans="2:2">
      <c r="B803" s="21">
        <f>IF(AND(C803&lt;&gt;"", H803&lt;&gt;""), HYPERLINK("#'" &amp; C803 &amp; "'!" &amp; H803, H803), "")</f>
        <v>0</v>
      </c>
    </row>
    <row r="804" spans="2:2">
      <c r="B804" s="21">
        <f>IF(AND(C804&lt;&gt;"", H804&lt;&gt;""), HYPERLINK("#'" &amp; C804 &amp; "'!" &amp; H804, H804), "")</f>
        <v>0</v>
      </c>
    </row>
    <row r="805" spans="2:2">
      <c r="B805" s="21">
        <f>IF(AND(C805&lt;&gt;"", H805&lt;&gt;""), HYPERLINK("#'" &amp; C805 &amp; "'!" &amp; H805, H805), "")</f>
        <v>0</v>
      </c>
    </row>
    <row r="806" spans="2:2">
      <c r="B806" s="21">
        <f>IF(AND(C806&lt;&gt;"", H806&lt;&gt;""), HYPERLINK("#'" &amp; C806 &amp; "'!" &amp; H806, H806), "")</f>
        <v>0</v>
      </c>
    </row>
    <row r="807" spans="2:2">
      <c r="B807" s="21">
        <f>IF(AND(C807&lt;&gt;"", H807&lt;&gt;""), HYPERLINK("#'" &amp; C807 &amp; "'!" &amp; H807, H807), "")</f>
        <v>0</v>
      </c>
    </row>
    <row r="808" spans="2:2">
      <c r="B808" s="21">
        <f>IF(AND(C808&lt;&gt;"", H808&lt;&gt;""), HYPERLINK("#'" &amp; C808 &amp; "'!" &amp; H808, H808), "")</f>
        <v>0</v>
      </c>
    </row>
    <row r="809" spans="2:2">
      <c r="B809" s="21">
        <f>IF(AND(C809&lt;&gt;"", H809&lt;&gt;""), HYPERLINK("#'" &amp; C809 &amp; "'!" &amp; H809, H809), "")</f>
        <v>0</v>
      </c>
    </row>
    <row r="810" spans="2:2">
      <c r="B810" s="21">
        <f>IF(AND(C810&lt;&gt;"", H810&lt;&gt;""), HYPERLINK("#'" &amp; C810 &amp; "'!" &amp; H810, H810), "")</f>
        <v>0</v>
      </c>
    </row>
    <row r="811" spans="2:2">
      <c r="B811" s="21">
        <f>IF(AND(C811&lt;&gt;"", H811&lt;&gt;""), HYPERLINK("#'" &amp; C811 &amp; "'!" &amp; H811, H811), "")</f>
        <v>0</v>
      </c>
    </row>
    <row r="812" spans="2:2">
      <c r="B812" s="21">
        <f>IF(AND(C812&lt;&gt;"", H812&lt;&gt;""), HYPERLINK("#'" &amp; C812 &amp; "'!" &amp; H812, H812), "")</f>
        <v>0</v>
      </c>
    </row>
    <row r="813" spans="2:2">
      <c r="B813" s="21">
        <f>IF(AND(C813&lt;&gt;"", H813&lt;&gt;""), HYPERLINK("#'" &amp; C813 &amp; "'!" &amp; H813, H813), "")</f>
        <v>0</v>
      </c>
    </row>
    <row r="814" spans="2:2">
      <c r="B814" s="21">
        <f>IF(AND(C814&lt;&gt;"", H814&lt;&gt;""), HYPERLINK("#'" &amp; C814 &amp; "'!" &amp; H814, H814), "")</f>
        <v>0</v>
      </c>
    </row>
    <row r="815" spans="2:2">
      <c r="B815" s="21">
        <f>IF(AND(C815&lt;&gt;"", H815&lt;&gt;""), HYPERLINK("#'" &amp; C815 &amp; "'!" &amp; H815, H815), "")</f>
        <v>0</v>
      </c>
    </row>
    <row r="816" spans="2:2">
      <c r="B816" s="21">
        <f>IF(AND(C816&lt;&gt;"", H816&lt;&gt;""), HYPERLINK("#'" &amp; C816 &amp; "'!" &amp; H816, H816), "")</f>
        <v>0</v>
      </c>
    </row>
    <row r="817" spans="2:2">
      <c r="B817" s="21">
        <f>IF(AND(C817&lt;&gt;"", H817&lt;&gt;""), HYPERLINK("#'" &amp; C817 &amp; "'!" &amp; H817, H817), "")</f>
        <v>0</v>
      </c>
    </row>
    <row r="818" spans="2:2">
      <c r="B818" s="21">
        <f>IF(AND(C818&lt;&gt;"", H818&lt;&gt;""), HYPERLINK("#'" &amp; C818 &amp; "'!" &amp; H818, H818), "")</f>
        <v>0</v>
      </c>
    </row>
    <row r="819" spans="2:2">
      <c r="B819" s="21">
        <f>IF(AND(C819&lt;&gt;"", H819&lt;&gt;""), HYPERLINK("#'" &amp; C819 &amp; "'!" &amp; H819, H819), "")</f>
        <v>0</v>
      </c>
    </row>
    <row r="820" spans="2:2">
      <c r="B820" s="21">
        <f>IF(AND(C820&lt;&gt;"", H820&lt;&gt;""), HYPERLINK("#'" &amp; C820 &amp; "'!" &amp; H820, H820), "")</f>
        <v>0</v>
      </c>
    </row>
    <row r="821" spans="2:2">
      <c r="B821" s="21">
        <f>IF(AND(C821&lt;&gt;"", H821&lt;&gt;""), HYPERLINK("#'" &amp; C821 &amp; "'!" &amp; H821, H821), "")</f>
        <v>0</v>
      </c>
    </row>
    <row r="822" spans="2:2">
      <c r="B822" s="21">
        <f>IF(AND(C822&lt;&gt;"", H822&lt;&gt;""), HYPERLINK("#'" &amp; C822 &amp; "'!" &amp; H822, H822), "")</f>
        <v>0</v>
      </c>
    </row>
    <row r="823" spans="2:2">
      <c r="B823" s="21">
        <f>IF(AND(C823&lt;&gt;"", H823&lt;&gt;""), HYPERLINK("#'" &amp; C823 &amp; "'!" &amp; H823, H823), "")</f>
        <v>0</v>
      </c>
    </row>
    <row r="824" spans="2:2">
      <c r="B824" s="21">
        <f>IF(AND(C824&lt;&gt;"", H824&lt;&gt;""), HYPERLINK("#'" &amp; C824 &amp; "'!" &amp; H824, H824), "")</f>
        <v>0</v>
      </c>
    </row>
    <row r="825" spans="2:2">
      <c r="B825" s="21">
        <f>IF(AND(C825&lt;&gt;"", H825&lt;&gt;""), HYPERLINK("#'" &amp; C825 &amp; "'!" &amp; H825, H825), "")</f>
        <v>0</v>
      </c>
    </row>
    <row r="826" spans="2:2">
      <c r="B826" s="21">
        <f>IF(AND(C826&lt;&gt;"", H826&lt;&gt;""), HYPERLINK("#'" &amp; C826 &amp; "'!" &amp; H826, H826), "")</f>
        <v>0</v>
      </c>
    </row>
    <row r="827" spans="2:2">
      <c r="B827" s="21">
        <f>IF(AND(C827&lt;&gt;"", H827&lt;&gt;""), HYPERLINK("#'" &amp; C827 &amp; "'!" &amp; H827, H827), "")</f>
        <v>0</v>
      </c>
    </row>
    <row r="828" spans="2:2">
      <c r="B828" s="21">
        <f>IF(AND(C828&lt;&gt;"", H828&lt;&gt;""), HYPERLINK("#'" &amp; C828 &amp; "'!" &amp; H828, H828), "")</f>
        <v>0</v>
      </c>
    </row>
    <row r="829" spans="2:2">
      <c r="B829" s="21">
        <f>IF(AND(C829&lt;&gt;"", H829&lt;&gt;""), HYPERLINK("#'" &amp; C829 &amp; "'!" &amp; H829, H829), "")</f>
        <v>0</v>
      </c>
    </row>
    <row r="830" spans="2:2">
      <c r="B830" s="21">
        <f>IF(AND(C830&lt;&gt;"", H830&lt;&gt;""), HYPERLINK("#'" &amp; C830 &amp; "'!" &amp; H830, H830), "")</f>
        <v>0</v>
      </c>
    </row>
    <row r="831" spans="2:2">
      <c r="B831" s="21">
        <f>IF(AND(C831&lt;&gt;"", H831&lt;&gt;""), HYPERLINK("#'" &amp; C831 &amp; "'!" &amp; H831, H831), "")</f>
        <v>0</v>
      </c>
    </row>
    <row r="832" spans="2:2">
      <c r="B832" s="21">
        <f>IF(AND(C832&lt;&gt;"", H832&lt;&gt;""), HYPERLINK("#'" &amp; C832 &amp; "'!" &amp; H832, H832), "")</f>
        <v>0</v>
      </c>
    </row>
    <row r="833" spans="2:2">
      <c r="B833" s="21">
        <f>IF(AND(C833&lt;&gt;"", H833&lt;&gt;""), HYPERLINK("#'" &amp; C833 &amp; "'!" &amp; H833, H833), "")</f>
        <v>0</v>
      </c>
    </row>
    <row r="834" spans="2:2">
      <c r="B834" s="21">
        <f>IF(AND(C834&lt;&gt;"", H834&lt;&gt;""), HYPERLINK("#'" &amp; C834 &amp; "'!" &amp; H834, H834), "")</f>
        <v>0</v>
      </c>
    </row>
    <row r="835" spans="2:2">
      <c r="B835" s="21">
        <f>IF(AND(C835&lt;&gt;"", H835&lt;&gt;""), HYPERLINK("#'" &amp; C835 &amp; "'!" &amp; H835, H835), "")</f>
        <v>0</v>
      </c>
    </row>
    <row r="836" spans="2:2">
      <c r="B836" s="21">
        <f>IF(AND(C836&lt;&gt;"", H836&lt;&gt;""), HYPERLINK("#'" &amp; C836 &amp; "'!" &amp; H836, H836), "")</f>
        <v>0</v>
      </c>
    </row>
    <row r="837" spans="2:2">
      <c r="B837" s="21">
        <f>IF(AND(C837&lt;&gt;"", H837&lt;&gt;""), HYPERLINK("#'" &amp; C837 &amp; "'!" &amp; H837, H837), "")</f>
        <v>0</v>
      </c>
    </row>
    <row r="838" spans="2:2">
      <c r="B838" s="21">
        <f>IF(AND(C838&lt;&gt;"", H838&lt;&gt;""), HYPERLINK("#'" &amp; C838 &amp; "'!" &amp; H838, H838), "")</f>
        <v>0</v>
      </c>
    </row>
    <row r="839" spans="2:2">
      <c r="B839" s="21">
        <f>IF(AND(C839&lt;&gt;"", H839&lt;&gt;""), HYPERLINK("#'" &amp; C839 &amp; "'!" &amp; H839, H839), "")</f>
        <v>0</v>
      </c>
    </row>
    <row r="840" spans="2:2">
      <c r="B840" s="21">
        <f>IF(AND(C840&lt;&gt;"", H840&lt;&gt;""), HYPERLINK("#'" &amp; C840 &amp; "'!" &amp; H840, H840), "")</f>
        <v>0</v>
      </c>
    </row>
    <row r="841" spans="2:2">
      <c r="B841" s="21">
        <f>IF(AND(C841&lt;&gt;"", H841&lt;&gt;""), HYPERLINK("#'" &amp; C841 &amp; "'!" &amp; H841, H841), "")</f>
        <v>0</v>
      </c>
    </row>
    <row r="842" spans="2:2">
      <c r="B842" s="21">
        <f>IF(AND(C842&lt;&gt;"", H842&lt;&gt;""), HYPERLINK("#'" &amp; C842 &amp; "'!" &amp; H842, H842), "")</f>
        <v>0</v>
      </c>
    </row>
    <row r="843" spans="2:2">
      <c r="B843" s="21">
        <f>IF(AND(C843&lt;&gt;"", H843&lt;&gt;""), HYPERLINK("#'" &amp; C843 &amp; "'!" &amp; H843, H843), "")</f>
        <v>0</v>
      </c>
    </row>
    <row r="844" spans="2:2">
      <c r="B844" s="21">
        <f>IF(AND(C844&lt;&gt;"", H844&lt;&gt;""), HYPERLINK("#'" &amp; C844 &amp; "'!" &amp; H844, H844), "")</f>
        <v>0</v>
      </c>
    </row>
    <row r="845" spans="2:2">
      <c r="B845" s="21">
        <f>IF(AND(C845&lt;&gt;"", H845&lt;&gt;""), HYPERLINK("#'" &amp; C845 &amp; "'!" &amp; H845, H845), "")</f>
        <v>0</v>
      </c>
    </row>
    <row r="846" spans="2:2">
      <c r="B846" s="21">
        <f>IF(AND(C846&lt;&gt;"", H846&lt;&gt;""), HYPERLINK("#'" &amp; C846 &amp; "'!" &amp; H846, H846), "")</f>
        <v>0</v>
      </c>
    </row>
    <row r="847" spans="2:2">
      <c r="B847" s="21">
        <f>IF(AND(C847&lt;&gt;"", H847&lt;&gt;""), HYPERLINK("#'" &amp; C847 &amp; "'!" &amp; H847, H847), "")</f>
        <v>0</v>
      </c>
    </row>
    <row r="848" spans="2:2">
      <c r="B848" s="21">
        <f>IF(AND(C848&lt;&gt;"", H848&lt;&gt;""), HYPERLINK("#'" &amp; C848 &amp; "'!" &amp; H848, H848), "")</f>
        <v>0</v>
      </c>
    </row>
    <row r="849" spans="2:2">
      <c r="B849" s="21">
        <f>IF(AND(C849&lt;&gt;"", H849&lt;&gt;""), HYPERLINK("#'" &amp; C849 &amp; "'!" &amp; H849, H849), "")</f>
        <v>0</v>
      </c>
    </row>
    <row r="850" spans="2:2">
      <c r="B850" s="21">
        <f>IF(AND(C850&lt;&gt;"", H850&lt;&gt;""), HYPERLINK("#'" &amp; C850 &amp; "'!" &amp; H850, H850), "")</f>
        <v>0</v>
      </c>
    </row>
    <row r="851" spans="2:2">
      <c r="B851" s="21">
        <f>IF(AND(C851&lt;&gt;"", H851&lt;&gt;""), HYPERLINK("#'" &amp; C851 &amp; "'!" &amp; H851, H851), "")</f>
        <v>0</v>
      </c>
    </row>
    <row r="852" spans="2:2">
      <c r="B852" s="21">
        <f>IF(AND(C852&lt;&gt;"", H852&lt;&gt;""), HYPERLINK("#'" &amp; C852 &amp; "'!" &amp; H852, H852), "")</f>
        <v>0</v>
      </c>
    </row>
    <row r="853" spans="2:2">
      <c r="B853" s="21">
        <f>IF(AND(C853&lt;&gt;"", H853&lt;&gt;""), HYPERLINK("#'" &amp; C853 &amp; "'!" &amp; H853, H853), "")</f>
        <v>0</v>
      </c>
    </row>
    <row r="854" spans="2:2">
      <c r="B854" s="21">
        <f>IF(AND(C854&lt;&gt;"", H854&lt;&gt;""), HYPERLINK("#'" &amp; C854 &amp; "'!" &amp; H854, H854), "")</f>
        <v>0</v>
      </c>
    </row>
    <row r="855" spans="2:2">
      <c r="B855" s="21">
        <f>IF(AND(C855&lt;&gt;"", H855&lt;&gt;""), HYPERLINK("#'" &amp; C855 &amp; "'!" &amp; H855, H855), "")</f>
        <v>0</v>
      </c>
    </row>
    <row r="856" spans="2:2">
      <c r="B856" s="21">
        <f>IF(AND(C856&lt;&gt;"", H856&lt;&gt;""), HYPERLINK("#'" &amp; C856 &amp; "'!" &amp; H856, H856), "")</f>
        <v>0</v>
      </c>
    </row>
    <row r="857" spans="2:2">
      <c r="B857" s="21">
        <f>IF(AND(C857&lt;&gt;"", H857&lt;&gt;""), HYPERLINK("#'" &amp; C857 &amp; "'!" &amp; H857, H857), "")</f>
        <v>0</v>
      </c>
    </row>
    <row r="858" spans="2:2">
      <c r="B858" s="21">
        <f>IF(AND(C858&lt;&gt;"", H858&lt;&gt;""), HYPERLINK("#'" &amp; C858 &amp; "'!" &amp; H858, H858), "")</f>
        <v>0</v>
      </c>
    </row>
    <row r="859" spans="2:2">
      <c r="B859" s="21">
        <f>IF(AND(C859&lt;&gt;"", H859&lt;&gt;""), HYPERLINK("#'" &amp; C859 &amp; "'!" &amp; H859, H859), "")</f>
        <v>0</v>
      </c>
    </row>
    <row r="860" spans="2:2">
      <c r="B860" s="21">
        <f>IF(AND(C860&lt;&gt;"", H860&lt;&gt;""), HYPERLINK("#'" &amp; C860 &amp; "'!" &amp; H860, H860), "")</f>
        <v>0</v>
      </c>
    </row>
    <row r="861" spans="2:2">
      <c r="B861" s="21">
        <f>IF(AND(C861&lt;&gt;"", H861&lt;&gt;""), HYPERLINK("#'" &amp; C861 &amp; "'!" &amp; H861, H861), "")</f>
        <v>0</v>
      </c>
    </row>
    <row r="862" spans="2:2">
      <c r="B862" s="21">
        <f>IF(AND(C862&lt;&gt;"", H862&lt;&gt;""), HYPERLINK("#'" &amp; C862 &amp; "'!" &amp; H862, H862), "")</f>
        <v>0</v>
      </c>
    </row>
    <row r="863" spans="2:2">
      <c r="B863" s="21">
        <f>IF(AND(C863&lt;&gt;"", H863&lt;&gt;""), HYPERLINK("#'" &amp; C863 &amp; "'!" &amp; H863, H863), "")</f>
        <v>0</v>
      </c>
    </row>
    <row r="864" spans="2:2">
      <c r="B864" s="21">
        <f>IF(AND(C864&lt;&gt;"", H864&lt;&gt;""), HYPERLINK("#'" &amp; C864 &amp; "'!" &amp; H864, H864), "")</f>
        <v>0</v>
      </c>
    </row>
    <row r="865" spans="2:2">
      <c r="B865" s="21">
        <f>IF(AND(C865&lt;&gt;"", H865&lt;&gt;""), HYPERLINK("#'" &amp; C865 &amp; "'!" &amp; H865, H865), "")</f>
        <v>0</v>
      </c>
    </row>
    <row r="866" spans="2:2">
      <c r="B866" s="21">
        <f>IF(AND(C866&lt;&gt;"", H866&lt;&gt;""), HYPERLINK("#'" &amp; C866 &amp; "'!" &amp; H866, H866), "")</f>
        <v>0</v>
      </c>
    </row>
    <row r="867" spans="2:2">
      <c r="B867" s="21">
        <f>IF(AND(C867&lt;&gt;"", H867&lt;&gt;""), HYPERLINK("#'" &amp; C867 &amp; "'!" &amp; H867, H867), "")</f>
        <v>0</v>
      </c>
    </row>
    <row r="868" spans="2:2">
      <c r="B868" s="21">
        <f>IF(AND(C868&lt;&gt;"", H868&lt;&gt;""), HYPERLINK("#'" &amp; C868 &amp; "'!" &amp; H868, H868), "")</f>
        <v>0</v>
      </c>
    </row>
    <row r="869" spans="2:2">
      <c r="B869" s="21">
        <f>IF(AND(C869&lt;&gt;"", H869&lt;&gt;""), HYPERLINK("#'" &amp; C869 &amp; "'!" &amp; H869, H869), "")</f>
        <v>0</v>
      </c>
    </row>
    <row r="870" spans="2:2">
      <c r="B870" s="21">
        <f>IF(AND(C870&lt;&gt;"", H870&lt;&gt;""), HYPERLINK("#'" &amp; C870 &amp; "'!" &amp; H870, H870), "")</f>
        <v>0</v>
      </c>
    </row>
    <row r="871" spans="2:2">
      <c r="B871" s="21">
        <f>IF(AND(C871&lt;&gt;"", H871&lt;&gt;""), HYPERLINK("#'" &amp; C871 &amp; "'!" &amp; H871, H871), "")</f>
        <v>0</v>
      </c>
    </row>
    <row r="872" spans="2:2">
      <c r="B872" s="21">
        <f>IF(AND(C872&lt;&gt;"", H872&lt;&gt;""), HYPERLINK("#'" &amp; C872 &amp; "'!" &amp; H872, H872), "")</f>
        <v>0</v>
      </c>
    </row>
    <row r="873" spans="2:2">
      <c r="B873" s="21">
        <f>IF(AND(C873&lt;&gt;"", H873&lt;&gt;""), HYPERLINK("#'" &amp; C873 &amp; "'!" &amp; H873, H873), "")</f>
        <v>0</v>
      </c>
    </row>
    <row r="874" spans="2:2">
      <c r="B874" s="21">
        <f>IF(AND(C874&lt;&gt;"", H874&lt;&gt;""), HYPERLINK("#'" &amp; C874 &amp; "'!" &amp; H874, H874), "")</f>
        <v>0</v>
      </c>
    </row>
    <row r="875" spans="2:2">
      <c r="B875" s="21">
        <f>IF(AND(C875&lt;&gt;"", H875&lt;&gt;""), HYPERLINK("#'" &amp; C875 &amp; "'!" &amp; H875, H875), "")</f>
        <v>0</v>
      </c>
    </row>
    <row r="876" spans="2:2">
      <c r="B876" s="21">
        <f>IF(AND(C876&lt;&gt;"", H876&lt;&gt;""), HYPERLINK("#'" &amp; C876 &amp; "'!" &amp; H876, H876), "")</f>
        <v>0</v>
      </c>
    </row>
    <row r="877" spans="2:2">
      <c r="B877" s="21">
        <f>IF(AND(C877&lt;&gt;"", H877&lt;&gt;""), HYPERLINK("#'" &amp; C877 &amp; "'!" &amp; H877, H877), "")</f>
        <v>0</v>
      </c>
    </row>
    <row r="878" spans="2:2">
      <c r="B878" s="21">
        <f>IF(AND(C878&lt;&gt;"", H878&lt;&gt;""), HYPERLINK("#'" &amp; C878 &amp; "'!" &amp; H878, H878), "")</f>
        <v>0</v>
      </c>
    </row>
    <row r="879" spans="2:2">
      <c r="B879" s="21">
        <f>IF(AND(C879&lt;&gt;"", H879&lt;&gt;""), HYPERLINK("#'" &amp; C879 &amp; "'!" &amp; H879, H879), "")</f>
        <v>0</v>
      </c>
    </row>
    <row r="880" spans="2:2">
      <c r="B880" s="21">
        <f>IF(AND(C880&lt;&gt;"", H880&lt;&gt;""), HYPERLINK("#'" &amp; C880 &amp; "'!" &amp; H880, H880), "")</f>
        <v>0</v>
      </c>
    </row>
    <row r="881" spans="2:2">
      <c r="B881" s="21">
        <f>IF(AND(C881&lt;&gt;"", H881&lt;&gt;""), HYPERLINK("#'" &amp; C881 &amp; "'!" &amp; H881, H881), "")</f>
        <v>0</v>
      </c>
    </row>
    <row r="882" spans="2:2">
      <c r="B882" s="21">
        <f>IF(AND(C882&lt;&gt;"", H882&lt;&gt;""), HYPERLINK("#'" &amp; C882 &amp; "'!" &amp; H882, H882), "")</f>
        <v>0</v>
      </c>
    </row>
    <row r="883" spans="2:2">
      <c r="B883" s="21">
        <f>IF(AND(C883&lt;&gt;"", H883&lt;&gt;""), HYPERLINK("#'" &amp; C883 &amp; "'!" &amp; H883, H883), "")</f>
        <v>0</v>
      </c>
    </row>
    <row r="884" spans="2:2">
      <c r="B884" s="21">
        <f>IF(AND(C884&lt;&gt;"", H884&lt;&gt;""), HYPERLINK("#'" &amp; C884 &amp; "'!" &amp; H884, H884), "")</f>
        <v>0</v>
      </c>
    </row>
    <row r="885" spans="2:2">
      <c r="B885" s="21">
        <f>IF(AND(C885&lt;&gt;"", H885&lt;&gt;""), HYPERLINK("#'" &amp; C885 &amp; "'!" &amp; H885, H885), "")</f>
        <v>0</v>
      </c>
    </row>
    <row r="886" spans="2:2">
      <c r="B886" s="21">
        <f>IF(AND(C886&lt;&gt;"", H886&lt;&gt;""), HYPERLINK("#'" &amp; C886 &amp; "'!" &amp; H886, H886), "")</f>
        <v>0</v>
      </c>
    </row>
    <row r="887" spans="2:2">
      <c r="B887" s="21">
        <f>IF(AND(C887&lt;&gt;"", H887&lt;&gt;""), HYPERLINK("#'" &amp; C887 &amp; "'!" &amp; H887, H887), "")</f>
        <v>0</v>
      </c>
    </row>
    <row r="888" spans="2:2">
      <c r="B888" s="21">
        <f>IF(AND(C888&lt;&gt;"", H888&lt;&gt;""), HYPERLINK("#'" &amp; C888 &amp; "'!" &amp; H888, H888), "")</f>
        <v>0</v>
      </c>
    </row>
    <row r="889" spans="2:2">
      <c r="B889" s="21">
        <f>IF(AND(C889&lt;&gt;"", H889&lt;&gt;""), HYPERLINK("#'" &amp; C889 &amp; "'!" &amp; H889, H889), "")</f>
        <v>0</v>
      </c>
    </row>
    <row r="890" spans="2:2">
      <c r="B890" s="21">
        <f>IF(AND(C890&lt;&gt;"", H890&lt;&gt;""), HYPERLINK("#'" &amp; C890 &amp; "'!" &amp; H890, H890), "")</f>
        <v>0</v>
      </c>
    </row>
    <row r="891" spans="2:2">
      <c r="B891" s="21">
        <f>IF(AND(C891&lt;&gt;"", H891&lt;&gt;""), HYPERLINK("#'" &amp; C891 &amp; "'!" &amp; H891, H891), "")</f>
        <v>0</v>
      </c>
    </row>
    <row r="892" spans="2:2">
      <c r="B892" s="21">
        <f>IF(AND(C892&lt;&gt;"", H892&lt;&gt;""), HYPERLINK("#'" &amp; C892 &amp; "'!" &amp; H892, H892), "")</f>
        <v>0</v>
      </c>
    </row>
    <row r="893" spans="2:2">
      <c r="B893" s="21">
        <f>IF(AND(C893&lt;&gt;"", H893&lt;&gt;""), HYPERLINK("#'" &amp; C893 &amp; "'!" &amp; H893, H893), "")</f>
        <v>0</v>
      </c>
    </row>
    <row r="894" spans="2:2">
      <c r="B894" s="21">
        <f>IF(AND(C894&lt;&gt;"", H894&lt;&gt;""), HYPERLINK("#'" &amp; C894 &amp; "'!" &amp; H894, H894), "")</f>
        <v>0</v>
      </c>
    </row>
    <row r="895" spans="2:2">
      <c r="B895" s="21">
        <f>IF(AND(C895&lt;&gt;"", H895&lt;&gt;""), HYPERLINK("#'" &amp; C895 &amp; "'!" &amp; H895, H895), "")</f>
        <v>0</v>
      </c>
    </row>
    <row r="896" spans="2:2">
      <c r="B896" s="21">
        <f>IF(AND(C896&lt;&gt;"", H896&lt;&gt;""), HYPERLINK("#'" &amp; C896 &amp; "'!" &amp; H896, H896), "")</f>
        <v>0</v>
      </c>
    </row>
    <row r="897" spans="2:2">
      <c r="B897" s="21">
        <f>IF(AND(C897&lt;&gt;"", H897&lt;&gt;""), HYPERLINK("#'" &amp; C897 &amp; "'!" &amp; H897, H897), "")</f>
        <v>0</v>
      </c>
    </row>
    <row r="898" spans="2:2">
      <c r="B898" s="21">
        <f>IF(AND(C898&lt;&gt;"", H898&lt;&gt;""), HYPERLINK("#'" &amp; C898 &amp; "'!" &amp; H898, H898), "")</f>
        <v>0</v>
      </c>
    </row>
    <row r="899" spans="2:2">
      <c r="B899" s="21">
        <f>IF(AND(C899&lt;&gt;"", H899&lt;&gt;""), HYPERLINK("#'" &amp; C899 &amp; "'!" &amp; H899, H899), "")</f>
        <v>0</v>
      </c>
    </row>
    <row r="900" spans="2:2">
      <c r="B900" s="21">
        <f>IF(AND(C900&lt;&gt;"", H900&lt;&gt;""), HYPERLINK("#'" &amp; C900 &amp; "'!" &amp; H900, H900), "")</f>
        <v>0</v>
      </c>
    </row>
    <row r="901" spans="2:2">
      <c r="B901" s="21">
        <f>IF(AND(C901&lt;&gt;"", H901&lt;&gt;""), HYPERLINK("#'" &amp; C901 &amp; "'!" &amp; H901, H901), "")</f>
        <v>0</v>
      </c>
    </row>
    <row r="902" spans="2:2">
      <c r="B902" s="21">
        <f>IF(AND(C902&lt;&gt;"", H902&lt;&gt;""), HYPERLINK("#'" &amp; C902 &amp; "'!" &amp; H902, H902), "")</f>
        <v>0</v>
      </c>
    </row>
    <row r="903" spans="2:2">
      <c r="B903" s="21">
        <f>IF(AND(C903&lt;&gt;"", H903&lt;&gt;""), HYPERLINK("#'" &amp; C903 &amp; "'!" &amp; H903, H903), "")</f>
        <v>0</v>
      </c>
    </row>
    <row r="904" spans="2:2">
      <c r="B904" s="21">
        <f>IF(AND(C904&lt;&gt;"", H904&lt;&gt;""), HYPERLINK("#'" &amp; C904 &amp; "'!" &amp; H904, H904), "")</f>
        <v>0</v>
      </c>
    </row>
    <row r="905" spans="2:2">
      <c r="B905" s="21">
        <f>IF(AND(C905&lt;&gt;"", H905&lt;&gt;""), HYPERLINK("#'" &amp; C905 &amp; "'!" &amp; H905, H905), "")</f>
        <v>0</v>
      </c>
    </row>
    <row r="906" spans="2:2">
      <c r="B906" s="21">
        <f>IF(AND(C906&lt;&gt;"", H906&lt;&gt;""), HYPERLINK("#'" &amp; C906 &amp; "'!" &amp; H906, H906), "")</f>
        <v>0</v>
      </c>
    </row>
    <row r="907" spans="2:2">
      <c r="B907" s="21">
        <f>IF(AND(C907&lt;&gt;"", H907&lt;&gt;""), HYPERLINK("#'" &amp; C907 &amp; "'!" &amp; H907, H907), "")</f>
        <v>0</v>
      </c>
    </row>
    <row r="908" spans="2:2">
      <c r="B908" s="21">
        <f>IF(AND(C908&lt;&gt;"", H908&lt;&gt;""), HYPERLINK("#'" &amp; C908 &amp; "'!" &amp; H908, H908), "")</f>
        <v>0</v>
      </c>
    </row>
    <row r="909" spans="2:2">
      <c r="B909" s="21">
        <f>IF(AND(C909&lt;&gt;"", H909&lt;&gt;""), HYPERLINK("#'" &amp; C909 &amp; "'!" &amp; H909, H909), "")</f>
        <v>0</v>
      </c>
    </row>
    <row r="910" spans="2:2">
      <c r="B910" s="21">
        <f>IF(AND(C910&lt;&gt;"", H910&lt;&gt;""), HYPERLINK("#'" &amp; C910 &amp; "'!" &amp; H910, H910), "")</f>
        <v>0</v>
      </c>
    </row>
    <row r="911" spans="2:2">
      <c r="B911" s="21">
        <f>IF(AND(C911&lt;&gt;"", H911&lt;&gt;""), HYPERLINK("#'" &amp; C911 &amp; "'!" &amp; H911, H911), "")</f>
        <v>0</v>
      </c>
    </row>
    <row r="912" spans="2:2">
      <c r="B912" s="21">
        <f>IF(AND(C912&lt;&gt;"", H912&lt;&gt;""), HYPERLINK("#'" &amp; C912 &amp; "'!" &amp; H912, H912), "")</f>
        <v>0</v>
      </c>
    </row>
    <row r="913" spans="2:2">
      <c r="B913" s="21">
        <f>IF(AND(C913&lt;&gt;"", H913&lt;&gt;""), HYPERLINK("#'" &amp; C913 &amp; "'!" &amp; H913, H913), "")</f>
        <v>0</v>
      </c>
    </row>
    <row r="914" spans="2:2">
      <c r="B914" s="21">
        <f>IF(AND(C914&lt;&gt;"", H914&lt;&gt;""), HYPERLINK("#'" &amp; C914 &amp; "'!" &amp; H914, H914), "")</f>
        <v>0</v>
      </c>
    </row>
    <row r="915" spans="2:2">
      <c r="B915" s="21">
        <f>IF(AND(C915&lt;&gt;"", H915&lt;&gt;""), HYPERLINK("#'" &amp; C915 &amp; "'!" &amp; H915, H915), "")</f>
        <v>0</v>
      </c>
    </row>
    <row r="916" spans="2:2">
      <c r="B916" s="21">
        <f>IF(AND(C916&lt;&gt;"", H916&lt;&gt;""), HYPERLINK("#'" &amp; C916 &amp; "'!" &amp; H916, H916), "")</f>
        <v>0</v>
      </c>
    </row>
    <row r="917" spans="2:2">
      <c r="B917" s="21">
        <f>IF(AND(C917&lt;&gt;"", H917&lt;&gt;""), HYPERLINK("#'" &amp; C917 &amp; "'!" &amp; H917, H917), "")</f>
        <v>0</v>
      </c>
    </row>
    <row r="918" spans="2:2">
      <c r="B918" s="21">
        <f>IF(AND(C918&lt;&gt;"", H918&lt;&gt;""), HYPERLINK("#'" &amp; C918 &amp; "'!" &amp; H918, H918), "")</f>
        <v>0</v>
      </c>
    </row>
    <row r="919" spans="2:2">
      <c r="B919" s="21">
        <f>IF(AND(C919&lt;&gt;"", H919&lt;&gt;""), HYPERLINK("#'" &amp; C919 &amp; "'!" &amp; H919, H919), "")</f>
        <v>0</v>
      </c>
    </row>
    <row r="920" spans="2:2">
      <c r="B920" s="21">
        <f>IF(AND(C920&lt;&gt;"", H920&lt;&gt;""), HYPERLINK("#'" &amp; C920 &amp; "'!" &amp; H920, H920), "")</f>
        <v>0</v>
      </c>
    </row>
    <row r="921" spans="2:2">
      <c r="B921" s="21">
        <f>IF(AND(C921&lt;&gt;"", H921&lt;&gt;""), HYPERLINK("#'" &amp; C921 &amp; "'!" &amp; H921, H921), "")</f>
        <v>0</v>
      </c>
    </row>
    <row r="922" spans="2:2">
      <c r="B922" s="21">
        <f>IF(AND(C922&lt;&gt;"", H922&lt;&gt;""), HYPERLINK("#'" &amp; C922 &amp; "'!" &amp; H922, H922), "")</f>
        <v>0</v>
      </c>
    </row>
    <row r="923" spans="2:2">
      <c r="B923" s="21">
        <f>IF(AND(C923&lt;&gt;"", H923&lt;&gt;""), HYPERLINK("#'" &amp; C923 &amp; "'!" &amp; H923, H923), "")</f>
        <v>0</v>
      </c>
    </row>
    <row r="924" spans="2:2">
      <c r="B924" s="21">
        <f>IF(AND(C924&lt;&gt;"", H924&lt;&gt;""), HYPERLINK("#'" &amp; C924 &amp; "'!" &amp; H924, H924), "")</f>
        <v>0</v>
      </c>
    </row>
    <row r="925" spans="2:2">
      <c r="B925" s="21">
        <f>IF(AND(C925&lt;&gt;"", H925&lt;&gt;""), HYPERLINK("#'" &amp; C925 &amp; "'!" &amp; H925, H925), "")</f>
        <v>0</v>
      </c>
    </row>
    <row r="926" spans="2:2">
      <c r="B926" s="21">
        <f>IF(AND(C926&lt;&gt;"", H926&lt;&gt;""), HYPERLINK("#'" &amp; C926 &amp; "'!" &amp; H926, H926), "")</f>
        <v>0</v>
      </c>
    </row>
    <row r="927" spans="2:2">
      <c r="B927" s="21">
        <f>IF(AND(C927&lt;&gt;"", H927&lt;&gt;""), HYPERLINK("#'" &amp; C927 &amp; "'!" &amp; H927, H927), "")</f>
        <v>0</v>
      </c>
    </row>
    <row r="928" spans="2:2">
      <c r="B928" s="21">
        <f>IF(AND(C928&lt;&gt;"", H928&lt;&gt;""), HYPERLINK("#'" &amp; C928 &amp; "'!" &amp; H928, H928), "")</f>
        <v>0</v>
      </c>
    </row>
    <row r="929" spans="2:2">
      <c r="B929" s="21">
        <f>IF(AND(C929&lt;&gt;"", H929&lt;&gt;""), HYPERLINK("#'" &amp; C929 &amp; "'!" &amp; H929, H929), "")</f>
        <v>0</v>
      </c>
    </row>
    <row r="930" spans="2:2">
      <c r="B930" s="21">
        <f>IF(AND(C930&lt;&gt;"", H930&lt;&gt;""), HYPERLINK("#'" &amp; C930 &amp; "'!" &amp; H930, H930), "")</f>
        <v>0</v>
      </c>
    </row>
    <row r="931" spans="2:2">
      <c r="B931" s="21">
        <f>IF(AND(C931&lt;&gt;"", H931&lt;&gt;""), HYPERLINK("#'" &amp; C931 &amp; "'!" &amp; H931, H931), "")</f>
        <v>0</v>
      </c>
    </row>
    <row r="932" spans="2:2">
      <c r="B932" s="21">
        <f>IF(AND(C932&lt;&gt;"", H932&lt;&gt;""), HYPERLINK("#'" &amp; C932 &amp; "'!" &amp; H932, H932), "")</f>
        <v>0</v>
      </c>
    </row>
    <row r="933" spans="2:2">
      <c r="B933" s="21">
        <f>IF(AND(C933&lt;&gt;"", H933&lt;&gt;""), HYPERLINK("#'" &amp; C933 &amp; "'!" &amp; H933, H933), "")</f>
        <v>0</v>
      </c>
    </row>
    <row r="934" spans="2:2">
      <c r="B934" s="21">
        <f>IF(AND(C934&lt;&gt;"", H934&lt;&gt;""), HYPERLINK("#'" &amp; C934 &amp; "'!" &amp; H934, H934), "")</f>
        <v>0</v>
      </c>
    </row>
    <row r="935" spans="2:2">
      <c r="B935" s="21">
        <f>IF(AND(C935&lt;&gt;"", H935&lt;&gt;""), HYPERLINK("#'" &amp; C935 &amp; "'!" &amp; H935, H935), "")</f>
        <v>0</v>
      </c>
    </row>
    <row r="936" spans="2:2">
      <c r="B936" s="21">
        <f>IF(AND(C936&lt;&gt;"", H936&lt;&gt;""), HYPERLINK("#'" &amp; C936 &amp; "'!" &amp; H936, H936), "")</f>
        <v>0</v>
      </c>
    </row>
    <row r="937" spans="2:2">
      <c r="B937" s="21">
        <f>IF(AND(C937&lt;&gt;"", H937&lt;&gt;""), HYPERLINK("#'" &amp; C937 &amp; "'!" &amp; H937, H937), "")</f>
        <v>0</v>
      </c>
    </row>
    <row r="938" spans="2:2">
      <c r="B938" s="21">
        <f>IF(AND(C938&lt;&gt;"", H938&lt;&gt;""), HYPERLINK("#'" &amp; C938 &amp; "'!" &amp; H938, H938), "")</f>
        <v>0</v>
      </c>
    </row>
    <row r="939" spans="2:2">
      <c r="B939" s="21">
        <f>IF(AND(C939&lt;&gt;"", H939&lt;&gt;""), HYPERLINK("#'" &amp; C939 &amp; "'!" &amp; H939, H939), "")</f>
        <v>0</v>
      </c>
    </row>
    <row r="940" spans="2:2">
      <c r="B940" s="21">
        <f>IF(AND(C940&lt;&gt;"", H940&lt;&gt;""), HYPERLINK("#'" &amp; C940 &amp; "'!" &amp; H940, H940), "")</f>
        <v>0</v>
      </c>
    </row>
    <row r="941" spans="2:2">
      <c r="B941" s="21">
        <f>IF(AND(C941&lt;&gt;"", H941&lt;&gt;""), HYPERLINK("#'" &amp; C941 &amp; "'!" &amp; H941, H941), "")</f>
        <v>0</v>
      </c>
    </row>
    <row r="942" spans="2:2">
      <c r="B942" s="21">
        <f>IF(AND(C942&lt;&gt;"", H942&lt;&gt;""), HYPERLINK("#'" &amp; C942 &amp; "'!" &amp; H942, H942), "")</f>
        <v>0</v>
      </c>
    </row>
    <row r="943" spans="2:2">
      <c r="B943" s="21">
        <f>IF(AND(C943&lt;&gt;"", H943&lt;&gt;""), HYPERLINK("#'" &amp; C943 &amp; "'!" &amp; H943, H943), "")</f>
        <v>0</v>
      </c>
    </row>
    <row r="944" spans="2:2">
      <c r="B944" s="21">
        <f>IF(AND(C944&lt;&gt;"", H944&lt;&gt;""), HYPERLINK("#'" &amp; C944 &amp; "'!" &amp; H944, H944), "")</f>
        <v>0</v>
      </c>
    </row>
    <row r="945" spans="2:2">
      <c r="B945" s="21">
        <f>IF(AND(C945&lt;&gt;"", H945&lt;&gt;""), HYPERLINK("#'" &amp; C945 &amp; "'!" &amp; H945, H945), "")</f>
        <v>0</v>
      </c>
    </row>
    <row r="946" spans="2:2">
      <c r="B946" s="21">
        <f>IF(AND(C946&lt;&gt;"", H946&lt;&gt;""), HYPERLINK("#'" &amp; C946 &amp; "'!" &amp; H946, H946), "")</f>
        <v>0</v>
      </c>
    </row>
    <row r="947" spans="2:2">
      <c r="B947" s="21">
        <f>IF(AND(C947&lt;&gt;"", H947&lt;&gt;""), HYPERLINK("#'" &amp; C947 &amp; "'!" &amp; H947, H947), "")</f>
        <v>0</v>
      </c>
    </row>
    <row r="948" spans="2:2">
      <c r="B948" s="21">
        <f>IF(AND(C948&lt;&gt;"", H948&lt;&gt;""), HYPERLINK("#'" &amp; C948 &amp; "'!" &amp; H948, H948), "")</f>
        <v>0</v>
      </c>
    </row>
    <row r="949" spans="2:2">
      <c r="B949" s="21">
        <f>IF(AND(C949&lt;&gt;"", H949&lt;&gt;""), HYPERLINK("#'" &amp; C949 &amp; "'!" &amp; H949, H949), "")</f>
        <v>0</v>
      </c>
    </row>
    <row r="950" spans="2:2">
      <c r="B950" s="21">
        <f>IF(AND(C950&lt;&gt;"", H950&lt;&gt;""), HYPERLINK("#'" &amp; C950 &amp; "'!" &amp; H950, H950), "")</f>
        <v>0</v>
      </c>
    </row>
    <row r="951" spans="2:2">
      <c r="B951" s="21">
        <f>IF(AND(C951&lt;&gt;"", H951&lt;&gt;""), HYPERLINK("#'" &amp; C951 &amp; "'!" &amp; H951, H951), "")</f>
        <v>0</v>
      </c>
    </row>
    <row r="952" spans="2:2">
      <c r="B952" s="21">
        <f>IF(AND(C952&lt;&gt;"", H952&lt;&gt;""), HYPERLINK("#'" &amp; C952 &amp; "'!" &amp; H952, H952), "")</f>
        <v>0</v>
      </c>
    </row>
    <row r="953" spans="2:2">
      <c r="B953" s="21">
        <f>IF(AND(C953&lt;&gt;"", H953&lt;&gt;""), HYPERLINK("#'" &amp; C953 &amp; "'!" &amp; H953, H953), "")</f>
        <v>0</v>
      </c>
    </row>
    <row r="954" spans="2:2">
      <c r="B954" s="21">
        <f>IF(AND(C954&lt;&gt;"", H954&lt;&gt;""), HYPERLINK("#'" &amp; C954 &amp; "'!" &amp; H954, H954), "")</f>
        <v>0</v>
      </c>
    </row>
    <row r="955" spans="2:2">
      <c r="B955" s="21">
        <f>IF(AND(C955&lt;&gt;"", H955&lt;&gt;""), HYPERLINK("#'" &amp; C955 &amp; "'!" &amp; H955, H955), "")</f>
        <v>0</v>
      </c>
    </row>
    <row r="956" spans="2:2">
      <c r="B956" s="21">
        <f>IF(AND(C956&lt;&gt;"", H956&lt;&gt;""), HYPERLINK("#'" &amp; C956 &amp; "'!" &amp; H956, H956), "")</f>
        <v>0</v>
      </c>
    </row>
    <row r="957" spans="2:2">
      <c r="B957" s="21">
        <f>IF(AND(C957&lt;&gt;"", H957&lt;&gt;""), HYPERLINK("#'" &amp; C957 &amp; "'!" &amp; H957, H957), "")</f>
        <v>0</v>
      </c>
    </row>
    <row r="958" spans="2:2">
      <c r="B958" s="21">
        <f>IF(AND(C958&lt;&gt;"", H958&lt;&gt;""), HYPERLINK("#'" &amp; C958 &amp; "'!" &amp; H958, H958), "")</f>
        <v>0</v>
      </c>
    </row>
    <row r="959" spans="2:2">
      <c r="B959" s="21">
        <f>IF(AND(C959&lt;&gt;"", H959&lt;&gt;""), HYPERLINK("#'" &amp; C959 &amp; "'!" &amp; H959, H959), "")</f>
        <v>0</v>
      </c>
    </row>
    <row r="960" spans="2:2">
      <c r="B960" s="21">
        <f>IF(AND(C960&lt;&gt;"", H960&lt;&gt;""), HYPERLINK("#'" &amp; C960 &amp; "'!" &amp; H960, H960), "")</f>
        <v>0</v>
      </c>
    </row>
    <row r="961" spans="2:2">
      <c r="B961" s="21">
        <f>IF(AND(C961&lt;&gt;"", H961&lt;&gt;""), HYPERLINK("#'" &amp; C961 &amp; "'!" &amp; H961, H961), "")</f>
        <v>0</v>
      </c>
    </row>
    <row r="962" spans="2:2">
      <c r="B962" s="21">
        <f>IF(AND(C962&lt;&gt;"", H962&lt;&gt;""), HYPERLINK("#'" &amp; C962 &amp; "'!" &amp; H962, H962), "")</f>
        <v>0</v>
      </c>
    </row>
    <row r="963" spans="2:2">
      <c r="B963" s="21">
        <f>IF(AND(C963&lt;&gt;"", H963&lt;&gt;""), HYPERLINK("#'" &amp; C963 &amp; "'!" &amp; H963, H963), "")</f>
        <v>0</v>
      </c>
    </row>
    <row r="964" spans="2:2">
      <c r="B964" s="21">
        <f>IF(AND(C964&lt;&gt;"", H964&lt;&gt;""), HYPERLINK("#'" &amp; C964 &amp; "'!" &amp; H964, H964), "")</f>
        <v>0</v>
      </c>
    </row>
    <row r="965" spans="2:2">
      <c r="B965" s="21">
        <f>IF(AND(C965&lt;&gt;"", H965&lt;&gt;""), HYPERLINK("#'" &amp; C965 &amp; "'!" &amp; H965, H965), "")</f>
        <v>0</v>
      </c>
    </row>
    <row r="966" spans="2:2">
      <c r="B966" s="21">
        <f>IF(AND(C966&lt;&gt;"", H966&lt;&gt;""), HYPERLINK("#'" &amp; C966 &amp; "'!" &amp; H966, H966), "")</f>
        <v>0</v>
      </c>
    </row>
    <row r="967" spans="2:2">
      <c r="B967" s="21">
        <f>IF(AND(C967&lt;&gt;"", H967&lt;&gt;""), HYPERLINK("#'" &amp; C967 &amp; "'!" &amp; H967, H967), "")</f>
        <v>0</v>
      </c>
    </row>
    <row r="968" spans="2:2">
      <c r="B968" s="21">
        <f>IF(AND(C968&lt;&gt;"", H968&lt;&gt;""), HYPERLINK("#'" &amp; C968 &amp; "'!" &amp; H968, H968), "")</f>
        <v>0</v>
      </c>
    </row>
    <row r="969" spans="2:2">
      <c r="B969" s="21">
        <f>IF(AND(C969&lt;&gt;"", H969&lt;&gt;""), HYPERLINK("#'" &amp; C969 &amp; "'!" &amp; H969, H969), "")</f>
        <v>0</v>
      </c>
    </row>
    <row r="970" spans="2:2">
      <c r="B970" s="21">
        <f>IF(AND(C970&lt;&gt;"", H970&lt;&gt;""), HYPERLINK("#'" &amp; C970 &amp; "'!" &amp; H970, H970), "")</f>
        <v>0</v>
      </c>
    </row>
    <row r="971" spans="2:2">
      <c r="B971" s="21">
        <f>IF(AND(C971&lt;&gt;"", H971&lt;&gt;""), HYPERLINK("#'" &amp; C971 &amp; "'!" &amp; H971, H971), "")</f>
        <v>0</v>
      </c>
    </row>
    <row r="972" spans="2:2">
      <c r="B972" s="21">
        <f>IF(AND(C972&lt;&gt;"", H972&lt;&gt;""), HYPERLINK("#'" &amp; C972 &amp; "'!" &amp; H972, H972), "")</f>
        <v>0</v>
      </c>
    </row>
    <row r="973" spans="2:2">
      <c r="B973" s="21">
        <f>IF(AND(C973&lt;&gt;"", H973&lt;&gt;""), HYPERLINK("#'" &amp; C973 &amp; "'!" &amp; H973, H973), "")</f>
        <v>0</v>
      </c>
    </row>
    <row r="974" spans="2:2">
      <c r="B974" s="21">
        <f>IF(AND(C974&lt;&gt;"", H974&lt;&gt;""), HYPERLINK("#'" &amp; C974 &amp; "'!" &amp; H974, H974), "")</f>
        <v>0</v>
      </c>
    </row>
    <row r="975" spans="2:2">
      <c r="B975" s="21">
        <f>IF(AND(C975&lt;&gt;"", H975&lt;&gt;""), HYPERLINK("#'" &amp; C975 &amp; "'!" &amp; H975, H975), "")</f>
        <v>0</v>
      </c>
    </row>
    <row r="976" spans="2:2">
      <c r="B976" s="21">
        <f>IF(AND(C976&lt;&gt;"", H976&lt;&gt;""), HYPERLINK("#'" &amp; C976 &amp; "'!" &amp; H976, H976), "")</f>
        <v>0</v>
      </c>
    </row>
    <row r="977" spans="2:2">
      <c r="B977" s="21">
        <f>IF(AND(C977&lt;&gt;"", H977&lt;&gt;""), HYPERLINK("#'" &amp; C977 &amp; "'!" &amp; H977, H977), "")</f>
        <v>0</v>
      </c>
    </row>
    <row r="978" spans="2:2">
      <c r="B978" s="21">
        <f>IF(AND(C978&lt;&gt;"", H978&lt;&gt;""), HYPERLINK("#'" &amp; C978 &amp; "'!" &amp; H978, H978), "")</f>
        <v>0</v>
      </c>
    </row>
    <row r="979" spans="2:2">
      <c r="B979" s="21">
        <f>IF(AND(C979&lt;&gt;"", H979&lt;&gt;""), HYPERLINK("#'" &amp; C979 &amp; "'!" &amp; H979, H979), "")</f>
        <v>0</v>
      </c>
    </row>
    <row r="980" spans="2:2">
      <c r="B980" s="21">
        <f>IF(AND(C980&lt;&gt;"", H980&lt;&gt;""), HYPERLINK("#'" &amp; C980 &amp; "'!" &amp; H980, H980), "")</f>
        <v>0</v>
      </c>
    </row>
    <row r="981" spans="2:2">
      <c r="B981" s="21">
        <f>IF(AND(C981&lt;&gt;"", H981&lt;&gt;""), HYPERLINK("#'" &amp; C981 &amp; "'!" &amp; H981, H981), "")</f>
        <v>0</v>
      </c>
    </row>
    <row r="982" spans="2:2">
      <c r="B982" s="21">
        <f>IF(AND(C982&lt;&gt;"", H982&lt;&gt;""), HYPERLINK("#'" &amp; C982 &amp; "'!" &amp; H982, H982), "")</f>
        <v>0</v>
      </c>
    </row>
    <row r="983" spans="2:2">
      <c r="B983" s="21">
        <f>IF(AND(C983&lt;&gt;"", H983&lt;&gt;""), HYPERLINK("#'" &amp; C983 &amp; "'!" &amp; H983, H983), "")</f>
        <v>0</v>
      </c>
    </row>
    <row r="984" spans="2:2">
      <c r="B984" s="21">
        <f>IF(AND(C984&lt;&gt;"", H984&lt;&gt;""), HYPERLINK("#'" &amp; C984 &amp; "'!" &amp; H984, H984), "")</f>
        <v>0</v>
      </c>
    </row>
    <row r="985" spans="2:2">
      <c r="B985" s="21">
        <f>IF(AND(C985&lt;&gt;"", H985&lt;&gt;""), HYPERLINK("#'" &amp; C985 &amp; "'!" &amp; H985, H985), "")</f>
        <v>0</v>
      </c>
    </row>
    <row r="986" spans="2:2">
      <c r="B986" s="21">
        <f>IF(AND(C986&lt;&gt;"", H986&lt;&gt;""), HYPERLINK("#'" &amp; C986 &amp; "'!" &amp; H986, H986), "")</f>
        <v>0</v>
      </c>
    </row>
    <row r="987" spans="2:2">
      <c r="B987" s="21">
        <f>IF(AND(C987&lt;&gt;"", H987&lt;&gt;""), HYPERLINK("#'" &amp; C987 &amp; "'!" &amp; H987, H987), "")</f>
        <v>0</v>
      </c>
    </row>
    <row r="988" spans="2:2">
      <c r="B988" s="21">
        <f>IF(AND(C988&lt;&gt;"", H988&lt;&gt;""), HYPERLINK("#'" &amp; C988 &amp; "'!" &amp; H988, H988), "")</f>
        <v>0</v>
      </c>
    </row>
    <row r="989" spans="2:2">
      <c r="B989" s="21">
        <f>IF(AND(C989&lt;&gt;"", H989&lt;&gt;""), HYPERLINK("#'" &amp; C989 &amp; "'!" &amp; H989, H989), "")</f>
        <v>0</v>
      </c>
    </row>
    <row r="990" spans="2:2">
      <c r="B990" s="21">
        <f>IF(AND(C990&lt;&gt;"", H990&lt;&gt;""), HYPERLINK("#'" &amp; C990 &amp; "'!" &amp; H990, H990), "")</f>
        <v>0</v>
      </c>
    </row>
    <row r="991" spans="2:2">
      <c r="B991" s="21">
        <f>IF(AND(C991&lt;&gt;"", H991&lt;&gt;""), HYPERLINK("#'" &amp; C991 &amp; "'!" &amp; H991, H991), "")</f>
        <v>0</v>
      </c>
    </row>
    <row r="992" spans="2:2">
      <c r="B992" s="21">
        <f>IF(AND(C992&lt;&gt;"", H992&lt;&gt;""), HYPERLINK("#'" &amp; C992 &amp; "'!" &amp; H992, H992), "")</f>
        <v>0</v>
      </c>
    </row>
    <row r="993" spans="2:2">
      <c r="B993" s="21">
        <f>IF(AND(C993&lt;&gt;"", H993&lt;&gt;""), HYPERLINK("#'" &amp; C993 &amp; "'!" &amp; H993, H993), "")</f>
        <v>0</v>
      </c>
    </row>
    <row r="994" spans="2:2">
      <c r="B994" s="21">
        <f>IF(AND(C994&lt;&gt;"", H994&lt;&gt;""), HYPERLINK("#'" &amp; C994 &amp; "'!" &amp; H994, H994), "")</f>
        <v>0</v>
      </c>
    </row>
    <row r="995" spans="2:2">
      <c r="B995" s="21">
        <f>IF(AND(C995&lt;&gt;"", H995&lt;&gt;""), HYPERLINK("#'" &amp; C995 &amp; "'!" &amp; H995, H995), "")</f>
        <v>0</v>
      </c>
    </row>
    <row r="996" spans="2:2">
      <c r="B996" s="21">
        <f>IF(AND(C996&lt;&gt;"", H996&lt;&gt;""), HYPERLINK("#'" &amp; C996 &amp; "'!" &amp; H996, H996), "")</f>
        <v>0</v>
      </c>
    </row>
    <row r="997" spans="2:2">
      <c r="B997" s="21">
        <f>IF(AND(C997&lt;&gt;"", H997&lt;&gt;""), HYPERLINK("#'" &amp; C997 &amp; "'!" &amp; H997, H997), "")</f>
        <v>0</v>
      </c>
    </row>
    <row r="998" spans="2:2">
      <c r="B998" s="21">
        <f>IF(AND(C998&lt;&gt;"", H998&lt;&gt;""), HYPERLINK("#'" &amp; C998 &amp; "'!" &amp; H998, H998), "")</f>
        <v>0</v>
      </c>
    </row>
    <row r="999" spans="2:2">
      <c r="B999" s="21">
        <f>IF(AND(C999&lt;&gt;"", H999&lt;&gt;""), HYPERLINK("#'" &amp; C999 &amp; "'!" &amp; H999, H999), "")</f>
        <v>0</v>
      </c>
    </row>
    <row r="1000" spans="2:2">
      <c r="B1000" s="21">
        <f>IF(AND(C1000&lt;&gt;"", H1000&lt;&gt;""), HYPERLINK("#'" &amp; C1000 &amp; "'!" &amp; H1000, H1000), "")</f>
        <v>0</v>
      </c>
    </row>
    <row r="1001" spans="2:2">
      <c r="B1001" s="21">
        <f>IF(AND(C1001&lt;&gt;"", H1001&lt;&gt;""), HYPERLINK("#'" &amp; C1001 &amp; "'!" &amp; H1001, H1001), "")</f>
        <v>0</v>
      </c>
    </row>
    <row r="1002" spans="2:2">
      <c r="B1002" s="21">
        <f>IF(AND(C1002&lt;&gt;"", H1002&lt;&gt;""), HYPERLINK("#'" &amp; C1002 &amp; "'!" &amp; H1002, H1002), "")</f>
        <v>0</v>
      </c>
    </row>
    <row r="1003" spans="2:2">
      <c r="B1003" s="21">
        <f>IF(AND(C1003&lt;&gt;"", H1003&lt;&gt;""), HYPERLINK("#'" &amp; C1003 &amp; "'!" &amp; H1003, H1003), "")</f>
        <v>0</v>
      </c>
    </row>
    <row r="1004" spans="2:2">
      <c r="B1004" s="21">
        <f>IF(AND(C1004&lt;&gt;"", H1004&lt;&gt;""), HYPERLINK("#'" &amp; C1004 &amp; "'!" &amp; H1004, H1004), "")</f>
        <v>0</v>
      </c>
    </row>
    <row r="1005" spans="2:2">
      <c r="B1005" s="21">
        <f>IF(AND(C1005&lt;&gt;"", H1005&lt;&gt;""), HYPERLINK("#'" &amp; C1005 &amp; "'!" &amp; H1005, H1005), "")</f>
        <v>0</v>
      </c>
    </row>
    <row r="1006" spans="2:2">
      <c r="B1006" s="21">
        <f>IF(AND(C1006&lt;&gt;"", H1006&lt;&gt;""), HYPERLINK("#'" &amp; C1006 &amp; "'!" &amp; H1006, H1006), "")</f>
        <v>0</v>
      </c>
    </row>
    <row r="1007" spans="2:2">
      <c r="B1007" s="21">
        <f>IF(AND(C1007&lt;&gt;"", H1007&lt;&gt;""), HYPERLINK("#'" &amp; C1007 &amp; "'!" &amp; H1007, H1007), "")</f>
        <v>0</v>
      </c>
    </row>
    <row r="1008" spans="2:2">
      <c r="B1008" s="21">
        <f>IF(AND(C1008&lt;&gt;"", H1008&lt;&gt;""), HYPERLINK("#'" &amp; C1008 &amp; "'!" &amp; H1008, H1008), "")</f>
        <v>0</v>
      </c>
    </row>
    <row r="1009" spans="2:2">
      <c r="B1009" s="21">
        <f>IF(AND(C1009&lt;&gt;"", H1009&lt;&gt;""), HYPERLINK("#'" &amp; C1009 &amp; "'!" &amp; H1009, H1009), "")</f>
        <v>0</v>
      </c>
    </row>
    <row r="1010" spans="2:2">
      <c r="B1010" s="21">
        <f>IF(AND(C1010&lt;&gt;"", H1010&lt;&gt;""), HYPERLINK("#'" &amp; C1010 &amp; "'!" &amp; H1010, H1010), "")</f>
        <v>0</v>
      </c>
    </row>
    <row r="1011" spans="2:2">
      <c r="B1011" s="21">
        <f>IF(AND(C1011&lt;&gt;"", H1011&lt;&gt;""), HYPERLINK("#'" &amp; C1011 &amp; "'!" &amp; H1011, H1011), "")</f>
        <v>0</v>
      </c>
    </row>
    <row r="1012" spans="2:2">
      <c r="B1012" s="21">
        <f>IF(AND(C1012&lt;&gt;"", H1012&lt;&gt;""), HYPERLINK("#'" &amp; C1012 &amp; "'!" &amp; H1012, H1012), "")</f>
        <v>0</v>
      </c>
    </row>
    <row r="1013" spans="2:2">
      <c r="B1013" s="21">
        <f>IF(AND(C1013&lt;&gt;"", H1013&lt;&gt;""), HYPERLINK("#'" &amp; C1013 &amp; "'!" &amp; H1013, H1013), "")</f>
        <v>0</v>
      </c>
    </row>
    <row r="1014" spans="2:2">
      <c r="B1014" s="21">
        <f>IF(AND(C1014&lt;&gt;"", H1014&lt;&gt;""), HYPERLINK("#'" &amp; C1014 &amp; "'!" &amp; H1014, H1014), "")</f>
        <v>0</v>
      </c>
    </row>
    <row r="1015" spans="2:2">
      <c r="B1015" s="21">
        <f>IF(AND(C1015&lt;&gt;"", H1015&lt;&gt;""), HYPERLINK("#'" &amp; C1015 &amp; "'!" &amp; H1015, H1015), "")</f>
        <v>0</v>
      </c>
    </row>
    <row r="1016" spans="2:2">
      <c r="B1016" s="21">
        <f>IF(AND(C1016&lt;&gt;"", H1016&lt;&gt;""), HYPERLINK("#'" &amp; C1016 &amp; "'!" &amp; H1016, H1016), "")</f>
        <v>0</v>
      </c>
    </row>
    <row r="1017" spans="2:2">
      <c r="B1017" s="21">
        <f>IF(AND(C1017&lt;&gt;"", H1017&lt;&gt;""), HYPERLINK("#'" &amp; C1017 &amp; "'!" &amp; H1017, H1017), "")</f>
        <v>0</v>
      </c>
    </row>
    <row r="1018" spans="2:2">
      <c r="B1018" s="21">
        <f>IF(AND(C1018&lt;&gt;"", H1018&lt;&gt;""), HYPERLINK("#'" &amp; C1018 &amp; "'!" &amp; H1018, H1018), "")</f>
        <v>0</v>
      </c>
    </row>
    <row r="1019" spans="2:2">
      <c r="B1019" s="21">
        <f>IF(AND(C1019&lt;&gt;"", H1019&lt;&gt;""), HYPERLINK("#'" &amp; C1019 &amp; "'!" &amp; H1019, H1019), "")</f>
        <v>0</v>
      </c>
    </row>
    <row r="1020" spans="2:2">
      <c r="B1020" s="21">
        <f>IF(AND(C1020&lt;&gt;"", H1020&lt;&gt;""), HYPERLINK("#'" &amp; C1020 &amp; "'!" &amp; H1020, H1020), "")</f>
        <v>0</v>
      </c>
    </row>
    <row r="1021" spans="2:2">
      <c r="B1021" s="21">
        <f>IF(AND(C1021&lt;&gt;"", H1021&lt;&gt;""), HYPERLINK("#'" &amp; C1021 &amp; "'!" &amp; H1021, H1021), "")</f>
        <v>0</v>
      </c>
    </row>
    <row r="1022" spans="2:2">
      <c r="B1022" s="21">
        <f>IF(AND(C1022&lt;&gt;"", H1022&lt;&gt;""), HYPERLINK("#'" &amp; C1022 &amp; "'!" &amp; H1022, H1022), "")</f>
        <v>0</v>
      </c>
    </row>
    <row r="1023" spans="2:2">
      <c r="B1023" s="21">
        <f>IF(AND(C1023&lt;&gt;"", H1023&lt;&gt;""), HYPERLINK("#'" &amp; C1023 &amp; "'!" &amp; H1023, H1023), "")</f>
        <v>0</v>
      </c>
    </row>
    <row r="1024" spans="2:2">
      <c r="B1024" s="21">
        <f>IF(AND(C1024&lt;&gt;"", H1024&lt;&gt;""), HYPERLINK("#'" &amp; C1024 &amp; "'!" &amp; H1024, H1024), "")</f>
        <v>0</v>
      </c>
    </row>
    <row r="1025" spans="2:2">
      <c r="B1025" s="21">
        <f>IF(AND(C1025&lt;&gt;"", H1025&lt;&gt;""), HYPERLINK("#'" &amp; C1025 &amp; "'!" &amp; H1025, H1025), "")</f>
        <v>0</v>
      </c>
    </row>
    <row r="1026" spans="2:2">
      <c r="B1026" s="21">
        <f>IF(AND(C1026&lt;&gt;"", H1026&lt;&gt;""), HYPERLINK("#'" &amp; C1026 &amp; "'!" &amp; H1026, H1026), "")</f>
        <v>0</v>
      </c>
    </row>
    <row r="1027" spans="2:2">
      <c r="B1027" s="21">
        <f>IF(AND(C1027&lt;&gt;"", H1027&lt;&gt;""), HYPERLINK("#'" &amp; C1027 &amp; "'!" &amp; H1027, H1027), "")</f>
        <v>0</v>
      </c>
    </row>
    <row r="1028" spans="2:2">
      <c r="B1028" s="21">
        <f>IF(AND(C1028&lt;&gt;"", H1028&lt;&gt;""), HYPERLINK("#'" &amp; C1028 &amp; "'!" &amp; H1028, H1028), "")</f>
        <v>0</v>
      </c>
    </row>
    <row r="1029" spans="2:2">
      <c r="B1029" s="21">
        <f>IF(AND(C1029&lt;&gt;"", H1029&lt;&gt;""), HYPERLINK("#'" &amp; C1029 &amp; "'!" &amp; H1029, H1029), "")</f>
        <v>0</v>
      </c>
    </row>
    <row r="1030" spans="2:2">
      <c r="B1030" s="21">
        <f>IF(AND(C1030&lt;&gt;"", H1030&lt;&gt;""), HYPERLINK("#'" &amp; C1030 &amp; "'!" &amp; H1030, H1030), "")</f>
        <v>0</v>
      </c>
    </row>
    <row r="1031" spans="2:2">
      <c r="B1031" s="21">
        <f>IF(AND(C1031&lt;&gt;"", H1031&lt;&gt;""), HYPERLINK("#'" &amp; C1031 &amp; "'!" &amp; H1031, H1031), "")</f>
        <v>0</v>
      </c>
    </row>
    <row r="1032" spans="2:2">
      <c r="B1032" s="21">
        <f>IF(AND(C1032&lt;&gt;"", H1032&lt;&gt;""), HYPERLINK("#'" &amp; C1032 &amp; "'!" &amp; H1032, H1032), "")</f>
        <v>0</v>
      </c>
    </row>
    <row r="1033" spans="2:2">
      <c r="B1033" s="21">
        <f>IF(AND(C1033&lt;&gt;"", H1033&lt;&gt;""), HYPERLINK("#'" &amp; C1033 &amp; "'!" &amp; H1033, H1033), "")</f>
        <v>0</v>
      </c>
    </row>
    <row r="1034" spans="2:2">
      <c r="B1034" s="21">
        <f>IF(AND(C1034&lt;&gt;"", H1034&lt;&gt;""), HYPERLINK("#'" &amp; C1034 &amp; "'!" &amp; H1034, H1034), "")</f>
        <v>0</v>
      </c>
    </row>
    <row r="1035" spans="2:2">
      <c r="B1035" s="21">
        <f>IF(AND(C1035&lt;&gt;"", H1035&lt;&gt;""), HYPERLINK("#'" &amp; C1035 &amp; "'!" &amp; H1035, H1035), "")</f>
        <v>0</v>
      </c>
    </row>
    <row r="1036" spans="2:2">
      <c r="B1036" s="21">
        <f>IF(AND(C1036&lt;&gt;"", H1036&lt;&gt;""), HYPERLINK("#'" &amp; C1036 &amp; "'!" &amp; H1036, H1036), "")</f>
        <v>0</v>
      </c>
    </row>
    <row r="1037" spans="2:2">
      <c r="B1037" s="21">
        <f>IF(AND(C1037&lt;&gt;"", H1037&lt;&gt;""), HYPERLINK("#'" &amp; C1037 &amp; "'!" &amp; H1037, H1037), "")</f>
        <v>0</v>
      </c>
    </row>
    <row r="1038" spans="2:2">
      <c r="B1038" s="21">
        <f>IF(AND(C1038&lt;&gt;"", H1038&lt;&gt;""), HYPERLINK("#'" &amp; C1038 &amp; "'!" &amp; H1038, H1038), "")</f>
        <v>0</v>
      </c>
    </row>
    <row r="1039" spans="2:2">
      <c r="B1039" s="21">
        <f>IF(AND(C1039&lt;&gt;"", H1039&lt;&gt;""), HYPERLINK("#'" &amp; C1039 &amp; "'!" &amp; H1039, H1039), "")</f>
        <v>0</v>
      </c>
    </row>
    <row r="1040" spans="2:2">
      <c r="B1040" s="21">
        <f>IF(AND(C1040&lt;&gt;"", H1040&lt;&gt;""), HYPERLINK("#'" &amp; C1040 &amp; "'!" &amp; H1040, H1040), "")</f>
        <v>0</v>
      </c>
    </row>
    <row r="1041" spans="2:2">
      <c r="B1041" s="21">
        <f>IF(AND(C1041&lt;&gt;"", H1041&lt;&gt;""), HYPERLINK("#'" &amp; C1041 &amp; "'!" &amp; H1041, H1041), "")</f>
        <v>0</v>
      </c>
    </row>
    <row r="1042" spans="2:2">
      <c r="B1042" s="21">
        <f>IF(AND(C1042&lt;&gt;"", H1042&lt;&gt;""), HYPERLINK("#'" &amp; C1042 &amp; "'!" &amp; H1042, H1042), "")</f>
        <v>0</v>
      </c>
    </row>
    <row r="1043" spans="2:2">
      <c r="B1043" s="21">
        <f>IF(AND(C1043&lt;&gt;"", H1043&lt;&gt;""), HYPERLINK("#'" &amp; C1043 &amp; "'!" &amp; H1043, H1043), "")</f>
        <v>0</v>
      </c>
    </row>
    <row r="1044" spans="2:2">
      <c r="B1044" s="21">
        <f>IF(AND(C1044&lt;&gt;"", H1044&lt;&gt;""), HYPERLINK("#'" &amp; C1044 &amp; "'!" &amp; H1044, H1044), "")</f>
        <v>0</v>
      </c>
    </row>
    <row r="1045" spans="2:2">
      <c r="B1045" s="21">
        <f>IF(AND(C1045&lt;&gt;"", H1045&lt;&gt;""), HYPERLINK("#'" &amp; C1045 &amp; "'!" &amp; H1045, H1045), "")</f>
        <v>0</v>
      </c>
    </row>
    <row r="1046" spans="2:2">
      <c r="B1046" s="21">
        <f>IF(AND(C1046&lt;&gt;"", H1046&lt;&gt;""), HYPERLINK("#'" &amp; C1046 &amp; "'!" &amp; H1046, H1046), "")</f>
        <v>0</v>
      </c>
    </row>
    <row r="1047" spans="2:2">
      <c r="B1047" s="21">
        <f>IF(AND(C1047&lt;&gt;"", H1047&lt;&gt;""), HYPERLINK("#'" &amp; C1047 &amp; "'!" &amp; H1047, H1047), "")</f>
        <v>0</v>
      </c>
    </row>
    <row r="1048" spans="2:2">
      <c r="B1048" s="21">
        <f>IF(AND(C1048&lt;&gt;"", H1048&lt;&gt;""), HYPERLINK("#'" &amp; C1048 &amp; "'!" &amp; H1048, H1048), "")</f>
        <v>0</v>
      </c>
    </row>
    <row r="1049" spans="2:2">
      <c r="B1049" s="21">
        <f>IF(AND(C1049&lt;&gt;"", H1049&lt;&gt;""), HYPERLINK("#'" &amp; C1049 &amp; "'!" &amp; H1049, H1049), "")</f>
        <v>0</v>
      </c>
    </row>
    <row r="1050" spans="2:2">
      <c r="B1050" s="21">
        <f>IF(AND(C1050&lt;&gt;"", H1050&lt;&gt;""), HYPERLINK("#'" &amp; C1050 &amp; "'!" &amp; H1050, H1050), "")</f>
        <v>0</v>
      </c>
    </row>
    <row r="1051" spans="2:2">
      <c r="B1051" s="21">
        <f>IF(AND(C1051&lt;&gt;"", H1051&lt;&gt;""), HYPERLINK("#'" &amp; C1051 &amp; "'!" &amp; H1051, H1051), "")</f>
        <v>0</v>
      </c>
    </row>
    <row r="1052" spans="2:2">
      <c r="B1052" s="21">
        <f>IF(AND(C1052&lt;&gt;"", H1052&lt;&gt;""), HYPERLINK("#'" &amp; C1052 &amp; "'!" &amp; H1052, H1052), "")</f>
        <v>0</v>
      </c>
    </row>
    <row r="1053" spans="2:2">
      <c r="B1053" s="21">
        <f>IF(AND(C1053&lt;&gt;"", H1053&lt;&gt;""), HYPERLINK("#'" &amp; C1053 &amp; "'!" &amp; H1053, H1053), "")</f>
        <v>0</v>
      </c>
    </row>
    <row r="1054" spans="2:2">
      <c r="B1054" s="21">
        <f>IF(AND(C1054&lt;&gt;"", H1054&lt;&gt;""), HYPERLINK("#'" &amp; C1054 &amp; "'!" &amp; H1054, H1054), "")</f>
        <v>0</v>
      </c>
    </row>
    <row r="1055" spans="2:2">
      <c r="B1055" s="21">
        <f>IF(AND(C1055&lt;&gt;"", H1055&lt;&gt;""), HYPERLINK("#'" &amp; C1055 &amp; "'!" &amp; H1055, H1055), "")</f>
        <v>0</v>
      </c>
    </row>
    <row r="1056" spans="2:2">
      <c r="B1056" s="21">
        <f>IF(AND(C1056&lt;&gt;"", H1056&lt;&gt;""), HYPERLINK("#'" &amp; C1056 &amp; "'!" &amp; H1056, H1056), "")</f>
        <v>0</v>
      </c>
    </row>
    <row r="1057" spans="2:2">
      <c r="B1057" s="21">
        <f>IF(AND(C1057&lt;&gt;"", H1057&lt;&gt;""), HYPERLINK("#'" &amp; C1057 &amp; "'!" &amp; H1057, H1057), "")</f>
        <v>0</v>
      </c>
    </row>
    <row r="1058" spans="2:2">
      <c r="B1058" s="21">
        <f>IF(AND(C1058&lt;&gt;"", H1058&lt;&gt;""), HYPERLINK("#'" &amp; C1058 &amp; "'!" &amp; H1058, H1058), "")</f>
        <v>0</v>
      </c>
    </row>
    <row r="1059" spans="2:2">
      <c r="B1059" s="21">
        <f>IF(AND(C1059&lt;&gt;"", H1059&lt;&gt;""), HYPERLINK("#'" &amp; C1059 &amp; "'!" &amp; H1059, H1059), "")</f>
        <v>0</v>
      </c>
    </row>
    <row r="1060" spans="2:2">
      <c r="B1060" s="21">
        <f>IF(AND(C1060&lt;&gt;"", H1060&lt;&gt;""), HYPERLINK("#'" &amp; C1060 &amp; "'!" &amp; H1060, H1060), "")</f>
        <v>0</v>
      </c>
    </row>
    <row r="1061" spans="2:2">
      <c r="B1061" s="21">
        <f>IF(AND(C1061&lt;&gt;"", H1061&lt;&gt;""), HYPERLINK("#'" &amp; C1061 &amp; "'!" &amp; H1061, H1061), "")</f>
        <v>0</v>
      </c>
    </row>
    <row r="1062" spans="2:2">
      <c r="B1062" s="21">
        <f>IF(AND(C1062&lt;&gt;"", H1062&lt;&gt;""), HYPERLINK("#'" &amp; C1062 &amp; "'!" &amp; H1062, H1062), "")</f>
        <v>0</v>
      </c>
    </row>
    <row r="1063" spans="2:2">
      <c r="B1063" s="21">
        <f>IF(AND(C1063&lt;&gt;"", H1063&lt;&gt;""), HYPERLINK("#'" &amp; C1063 &amp; "'!" &amp; H1063, H1063), "")</f>
        <v>0</v>
      </c>
    </row>
    <row r="1064" spans="2:2">
      <c r="B1064" s="21">
        <f>IF(AND(C1064&lt;&gt;"", H1064&lt;&gt;""), HYPERLINK("#'" &amp; C1064 &amp; "'!" &amp; H1064, H1064), "")</f>
        <v>0</v>
      </c>
    </row>
    <row r="1065" spans="2:2">
      <c r="B1065" s="21">
        <f>IF(AND(C1065&lt;&gt;"", H1065&lt;&gt;""), HYPERLINK("#'" &amp; C1065 &amp; "'!" &amp; H1065, H1065), "")</f>
        <v>0</v>
      </c>
    </row>
    <row r="1066" spans="2:2">
      <c r="B1066" s="21">
        <f>IF(AND(C1066&lt;&gt;"", H1066&lt;&gt;""), HYPERLINK("#'" &amp; C1066 &amp; "'!" &amp; H1066, H1066), "")</f>
        <v>0</v>
      </c>
    </row>
    <row r="1067" spans="2:2">
      <c r="B1067" s="21">
        <f>IF(AND(C1067&lt;&gt;"", H1067&lt;&gt;""), HYPERLINK("#'" &amp; C1067 &amp; "'!" &amp; H1067, H1067), "")</f>
        <v>0</v>
      </c>
    </row>
    <row r="1068" spans="2:2">
      <c r="B1068" s="21">
        <f>IF(AND(C1068&lt;&gt;"", H1068&lt;&gt;""), HYPERLINK("#'" &amp; C1068 &amp; "'!" &amp; H1068, H1068), "")</f>
        <v>0</v>
      </c>
    </row>
    <row r="1069" spans="2:2">
      <c r="B1069" s="21">
        <f>IF(AND(C1069&lt;&gt;"", H1069&lt;&gt;""), HYPERLINK("#'" &amp; C1069 &amp; "'!" &amp; H1069, H1069), "")</f>
        <v>0</v>
      </c>
    </row>
    <row r="1070" spans="2:2">
      <c r="B1070" s="21">
        <f>IF(AND(C1070&lt;&gt;"", H1070&lt;&gt;""), HYPERLINK("#'" &amp; C1070 &amp; "'!" &amp; H1070, H1070), "")</f>
        <v>0</v>
      </c>
    </row>
    <row r="1071" spans="2:2">
      <c r="B1071" s="21">
        <f>IF(AND(C1071&lt;&gt;"", H1071&lt;&gt;""), HYPERLINK("#'" &amp; C1071 &amp; "'!" &amp; H1071, H1071), "")</f>
        <v>0</v>
      </c>
    </row>
    <row r="1072" spans="2:2">
      <c r="B1072" s="21">
        <f>IF(AND(C1072&lt;&gt;"", H1072&lt;&gt;""), HYPERLINK("#'" &amp; C1072 &amp; "'!" &amp; H1072, H1072), "")</f>
        <v>0</v>
      </c>
    </row>
    <row r="1073" spans="2:2">
      <c r="B1073" s="21">
        <f>IF(AND(C1073&lt;&gt;"", H1073&lt;&gt;""), HYPERLINK("#'" &amp; C1073 &amp; "'!" &amp; H1073, H1073), "")</f>
        <v>0</v>
      </c>
    </row>
    <row r="1074" spans="2:2">
      <c r="B1074" s="21">
        <f>IF(AND(C1074&lt;&gt;"", H1074&lt;&gt;""), HYPERLINK("#'" &amp; C1074 &amp; "'!" &amp; H1074, H1074), "")</f>
        <v>0</v>
      </c>
    </row>
    <row r="1075" spans="2:2">
      <c r="B1075" s="21">
        <f>IF(AND(C1075&lt;&gt;"", H1075&lt;&gt;""), HYPERLINK("#'" &amp; C1075 &amp; "'!" &amp; H1075, H1075), "")</f>
        <v>0</v>
      </c>
    </row>
    <row r="1076" spans="2:2">
      <c r="B1076" s="21">
        <f>IF(AND(C1076&lt;&gt;"", H1076&lt;&gt;""), HYPERLINK("#'" &amp; C1076 &amp; "'!" &amp; H1076, H1076), "")</f>
        <v>0</v>
      </c>
    </row>
    <row r="1077" spans="2:2">
      <c r="B1077" s="21">
        <f>IF(AND(C1077&lt;&gt;"", H1077&lt;&gt;""), HYPERLINK("#'" &amp; C1077 &amp; "'!" &amp; H1077, H1077), "")</f>
        <v>0</v>
      </c>
    </row>
    <row r="1078" spans="2:2">
      <c r="B1078" s="21">
        <f>IF(AND(C1078&lt;&gt;"", H1078&lt;&gt;""), HYPERLINK("#'" &amp; C1078 &amp; "'!" &amp; H1078, H1078), "")</f>
        <v>0</v>
      </c>
    </row>
    <row r="1079" spans="2:2">
      <c r="B1079" s="21">
        <f>IF(AND(C1079&lt;&gt;"", H1079&lt;&gt;""), HYPERLINK("#'" &amp; C1079 &amp; "'!" &amp; H1079, H1079), "")</f>
        <v>0</v>
      </c>
    </row>
    <row r="1080" spans="2:2">
      <c r="B1080" s="21">
        <f>IF(AND(C1080&lt;&gt;"", H1080&lt;&gt;""), HYPERLINK("#'" &amp; C1080 &amp; "'!" &amp; H1080, H1080), "")</f>
        <v>0</v>
      </c>
    </row>
    <row r="1081" spans="2:2">
      <c r="B1081" s="21">
        <f>IF(AND(C1081&lt;&gt;"", H1081&lt;&gt;""), HYPERLINK("#'" &amp; C1081 &amp; "'!" &amp; H1081, H1081), "")</f>
        <v>0</v>
      </c>
    </row>
    <row r="1082" spans="2:2">
      <c r="B1082" s="21">
        <f>IF(AND(C1082&lt;&gt;"", H1082&lt;&gt;""), HYPERLINK("#'" &amp; C1082 &amp; "'!" &amp; H1082, H1082), "")</f>
        <v>0</v>
      </c>
    </row>
    <row r="1083" spans="2:2">
      <c r="B1083" s="21">
        <f>IF(AND(C1083&lt;&gt;"", H1083&lt;&gt;""), HYPERLINK("#'" &amp; C1083 &amp; "'!" &amp; H1083, H1083), "")</f>
        <v>0</v>
      </c>
    </row>
    <row r="1084" spans="2:2">
      <c r="B1084" s="21">
        <f>IF(AND(C1084&lt;&gt;"", H1084&lt;&gt;""), HYPERLINK("#'" &amp; C1084 &amp; "'!" &amp; H1084, H1084), "")</f>
        <v>0</v>
      </c>
    </row>
    <row r="1085" spans="2:2">
      <c r="B1085" s="21">
        <f>IF(AND(C1085&lt;&gt;"", H1085&lt;&gt;""), HYPERLINK("#'" &amp; C1085 &amp; "'!" &amp; H1085, H1085), "")</f>
        <v>0</v>
      </c>
    </row>
    <row r="1086" spans="2:2">
      <c r="B1086" s="21">
        <f>IF(AND(C1086&lt;&gt;"", H1086&lt;&gt;""), HYPERLINK("#'" &amp; C1086 &amp; "'!" &amp; H1086, H1086), "")</f>
        <v>0</v>
      </c>
    </row>
    <row r="1087" spans="2:2">
      <c r="B1087" s="21">
        <f>IF(AND(C1087&lt;&gt;"", H1087&lt;&gt;""), HYPERLINK("#'" &amp; C1087 &amp; "'!" &amp; H1087, H1087), "")</f>
        <v>0</v>
      </c>
    </row>
    <row r="1088" spans="2:2">
      <c r="B1088" s="21">
        <f>IF(AND(C1088&lt;&gt;"", H1088&lt;&gt;""), HYPERLINK("#'" &amp; C1088 &amp; "'!" &amp; H1088, H1088), "")</f>
        <v>0</v>
      </c>
    </row>
    <row r="1089" spans="2:2">
      <c r="B1089" s="21">
        <f>IF(AND(C1089&lt;&gt;"", H1089&lt;&gt;""), HYPERLINK("#'" &amp; C1089 &amp; "'!" &amp; H1089, H1089), "")</f>
        <v>0</v>
      </c>
    </row>
    <row r="1090" spans="2:2">
      <c r="B1090" s="21">
        <f>IF(AND(C1090&lt;&gt;"", H1090&lt;&gt;""), HYPERLINK("#'" &amp; C1090 &amp; "'!" &amp; H1090, H1090), "")</f>
        <v>0</v>
      </c>
    </row>
    <row r="1091" spans="2:2">
      <c r="B1091" s="21">
        <f>IF(AND(C1091&lt;&gt;"", H1091&lt;&gt;""), HYPERLINK("#'" &amp; C1091 &amp; "'!" &amp; H1091, H1091), "")</f>
        <v>0</v>
      </c>
    </row>
    <row r="1092" spans="2:2">
      <c r="B1092" s="21">
        <f>IF(AND(C1092&lt;&gt;"", H1092&lt;&gt;""), HYPERLINK("#'" &amp; C1092 &amp; "'!" &amp; H1092, H1092), "")</f>
        <v>0</v>
      </c>
    </row>
    <row r="1093" spans="2:2">
      <c r="B1093" s="21">
        <f>IF(AND(C1093&lt;&gt;"", H1093&lt;&gt;""), HYPERLINK("#'" &amp; C1093 &amp; "'!" &amp; H1093, H1093), "")</f>
        <v>0</v>
      </c>
    </row>
    <row r="1094" spans="2:2">
      <c r="B1094" s="21">
        <f>IF(AND(C1094&lt;&gt;"", H1094&lt;&gt;""), HYPERLINK("#'" &amp; C1094 &amp; "'!" &amp; H1094, H1094), "")</f>
        <v>0</v>
      </c>
    </row>
    <row r="1095" spans="2:2">
      <c r="B1095" s="21">
        <f>IF(AND(C1095&lt;&gt;"", H1095&lt;&gt;""), HYPERLINK("#'" &amp; C1095 &amp; "'!" &amp; H1095, H1095), "")</f>
        <v>0</v>
      </c>
    </row>
    <row r="1096" spans="2:2">
      <c r="B1096" s="21">
        <f>IF(AND(C1096&lt;&gt;"", H1096&lt;&gt;""), HYPERLINK("#'" &amp; C1096 &amp; "'!" &amp; H1096, H1096), "")</f>
        <v>0</v>
      </c>
    </row>
    <row r="1097" spans="2:2">
      <c r="B1097" s="21">
        <f>IF(AND(C1097&lt;&gt;"", H1097&lt;&gt;""), HYPERLINK("#'" &amp; C1097 &amp; "'!" &amp; H1097, H1097), "")</f>
        <v>0</v>
      </c>
    </row>
    <row r="1098" spans="2:2">
      <c r="B1098" s="21">
        <f>IF(AND(C1098&lt;&gt;"", H1098&lt;&gt;""), HYPERLINK("#'" &amp; C1098 &amp; "'!" &amp; H1098, H1098), "")</f>
        <v>0</v>
      </c>
    </row>
    <row r="1099" spans="2:2">
      <c r="B1099" s="21">
        <f>IF(AND(C1099&lt;&gt;"", H1099&lt;&gt;""), HYPERLINK("#'" &amp; C1099 &amp; "'!" &amp; H1099, H1099), "")</f>
        <v>0</v>
      </c>
    </row>
    <row r="1100" spans="2:2">
      <c r="B1100" s="21">
        <f>IF(AND(C1100&lt;&gt;"", H1100&lt;&gt;""), HYPERLINK("#'" &amp; C1100 &amp; "'!" &amp; H1100, H1100), "")</f>
        <v>0</v>
      </c>
    </row>
    <row r="1101" spans="2:2">
      <c r="B1101" s="21">
        <f>IF(AND(C1101&lt;&gt;"", H1101&lt;&gt;""), HYPERLINK("#'" &amp; C1101 &amp; "'!" &amp; H1101, H1101), "")</f>
        <v>0</v>
      </c>
    </row>
    <row r="1102" spans="2:2">
      <c r="B1102" s="21">
        <f>IF(AND(C1102&lt;&gt;"", H1102&lt;&gt;""), HYPERLINK("#'" &amp; C1102 &amp; "'!" &amp; H1102, H1102), "")</f>
        <v>0</v>
      </c>
    </row>
    <row r="1103" spans="2:2">
      <c r="B1103" s="21">
        <f>IF(AND(C1103&lt;&gt;"", H1103&lt;&gt;""), HYPERLINK("#'" &amp; C1103 &amp; "'!" &amp; H1103, H1103), "")</f>
        <v>0</v>
      </c>
    </row>
    <row r="1104" spans="2:2">
      <c r="B1104" s="21">
        <f>IF(AND(C1104&lt;&gt;"", H1104&lt;&gt;""), HYPERLINK("#'" &amp; C1104 &amp; "'!" &amp; H1104, H1104), "")</f>
        <v>0</v>
      </c>
    </row>
    <row r="1105" spans="2:2">
      <c r="B1105" s="21">
        <f>IF(AND(C1105&lt;&gt;"", H1105&lt;&gt;""), HYPERLINK("#'" &amp; C1105 &amp; "'!" &amp; H1105, H1105), "")</f>
        <v>0</v>
      </c>
    </row>
    <row r="1106" spans="2:2">
      <c r="B1106" s="21">
        <f>IF(AND(C1106&lt;&gt;"", H1106&lt;&gt;""), HYPERLINK("#'" &amp; C1106 &amp; "'!" &amp; H1106, H1106), "")</f>
        <v>0</v>
      </c>
    </row>
    <row r="1107" spans="2:2">
      <c r="B1107" s="21">
        <f>IF(AND(C1107&lt;&gt;"", H1107&lt;&gt;""), HYPERLINK("#'" &amp; C1107 &amp; "'!" &amp; H1107, H1107), "")</f>
        <v>0</v>
      </c>
    </row>
    <row r="1108" spans="2:2">
      <c r="B1108" s="21">
        <f>IF(AND(C1108&lt;&gt;"", H1108&lt;&gt;""), HYPERLINK("#'" &amp; C1108 &amp; "'!" &amp; H1108, H1108), "")</f>
        <v>0</v>
      </c>
    </row>
    <row r="1109" spans="2:2">
      <c r="B1109" s="21">
        <f>IF(AND(C1109&lt;&gt;"", H1109&lt;&gt;""), HYPERLINK("#'" &amp; C1109 &amp; "'!" &amp; H1109, H1109), "")</f>
        <v>0</v>
      </c>
    </row>
    <row r="1110" spans="2:2">
      <c r="B1110" s="21">
        <f>IF(AND(C1110&lt;&gt;"", H1110&lt;&gt;""), HYPERLINK("#'" &amp; C1110 &amp; "'!" &amp; H1110, H1110), "")</f>
        <v>0</v>
      </c>
    </row>
    <row r="1111" spans="2:2">
      <c r="B1111" s="21">
        <f>IF(AND(C1111&lt;&gt;"", H1111&lt;&gt;""), HYPERLINK("#'" &amp; C1111 &amp; "'!" &amp; H1111, H1111), "")</f>
        <v>0</v>
      </c>
    </row>
    <row r="1112" spans="2:2">
      <c r="B1112" s="21">
        <f>IF(AND(C1112&lt;&gt;"", H1112&lt;&gt;""), HYPERLINK("#'" &amp; C1112 &amp; "'!" &amp; H1112, H1112), "")</f>
        <v>0</v>
      </c>
    </row>
    <row r="1113" spans="2:2">
      <c r="B1113" s="21">
        <f>IF(AND(C1113&lt;&gt;"", H1113&lt;&gt;""), HYPERLINK("#'" &amp; C1113 &amp; "'!" &amp; H1113, H1113), "")</f>
        <v>0</v>
      </c>
    </row>
    <row r="1114" spans="2:2">
      <c r="B1114" s="21">
        <f>IF(AND(C1114&lt;&gt;"", H1114&lt;&gt;""), HYPERLINK("#'" &amp; C1114 &amp; "'!" &amp; H1114, H1114), "")</f>
        <v>0</v>
      </c>
    </row>
    <row r="1115" spans="2:2">
      <c r="B1115" s="21">
        <f>IF(AND(C1115&lt;&gt;"", H1115&lt;&gt;""), HYPERLINK("#'" &amp; C1115 &amp; "'!" &amp; H1115, H1115), "")</f>
        <v>0</v>
      </c>
    </row>
    <row r="1116" spans="2:2">
      <c r="B1116" s="21">
        <f>IF(AND(C1116&lt;&gt;"", H1116&lt;&gt;""), HYPERLINK("#'" &amp; C1116 &amp; "'!" &amp; H1116, H1116), "")</f>
        <v>0</v>
      </c>
    </row>
    <row r="1117" spans="2:2">
      <c r="B1117" s="21">
        <f>IF(AND(C1117&lt;&gt;"", H1117&lt;&gt;""), HYPERLINK("#'" &amp; C1117 &amp; "'!" &amp; H1117, H1117), "")</f>
        <v>0</v>
      </c>
    </row>
    <row r="1118" spans="2:2">
      <c r="B1118" s="21">
        <f>IF(AND(C1118&lt;&gt;"", H1118&lt;&gt;""), HYPERLINK("#'" &amp; C1118 &amp; "'!" &amp; H1118, H1118), "")</f>
        <v>0</v>
      </c>
    </row>
    <row r="1119" spans="2:2">
      <c r="B1119" s="21">
        <f>IF(AND(C1119&lt;&gt;"", H1119&lt;&gt;""), HYPERLINK("#'" &amp; C1119 &amp; "'!" &amp; H1119, H1119), "")</f>
        <v>0</v>
      </c>
    </row>
    <row r="1120" spans="2:2">
      <c r="B1120" s="21">
        <f>IF(AND(C1120&lt;&gt;"", H1120&lt;&gt;""), HYPERLINK("#'" &amp; C1120 &amp; "'!" &amp; H1120, H1120), "")</f>
        <v>0</v>
      </c>
    </row>
    <row r="1121" spans="2:2">
      <c r="B1121" s="21">
        <f>IF(AND(C1121&lt;&gt;"", H1121&lt;&gt;""), HYPERLINK("#'" &amp; C1121 &amp; "'!" &amp; H1121, H1121), "")</f>
        <v>0</v>
      </c>
    </row>
    <row r="1122" spans="2:2">
      <c r="B1122" s="21">
        <f>IF(AND(C1122&lt;&gt;"", H1122&lt;&gt;""), HYPERLINK("#'" &amp; C1122 &amp; "'!" &amp; H1122, H1122), "")</f>
        <v>0</v>
      </c>
    </row>
    <row r="1123" spans="2:2">
      <c r="B1123" s="21">
        <f>IF(AND(C1123&lt;&gt;"", H1123&lt;&gt;""), HYPERLINK("#'" &amp; C1123 &amp; "'!" &amp; H1123, H1123), "")</f>
        <v>0</v>
      </c>
    </row>
    <row r="1124" spans="2:2">
      <c r="B1124" s="21">
        <f>IF(AND(C1124&lt;&gt;"", H1124&lt;&gt;""), HYPERLINK("#'" &amp; C1124 &amp; "'!" &amp; H1124, H1124), "")</f>
        <v>0</v>
      </c>
    </row>
    <row r="1125" spans="2:2">
      <c r="B1125" s="21">
        <f>IF(AND(C1125&lt;&gt;"", H1125&lt;&gt;""), HYPERLINK("#'" &amp; C1125 &amp; "'!" &amp; H1125, H1125), "")</f>
        <v>0</v>
      </c>
    </row>
    <row r="1126" spans="2:2">
      <c r="B1126" s="21">
        <f>IF(AND(C1126&lt;&gt;"", H1126&lt;&gt;""), HYPERLINK("#'" &amp; C1126 &amp; "'!" &amp; H1126, H1126), "")</f>
        <v>0</v>
      </c>
    </row>
    <row r="1127" spans="2:2">
      <c r="B1127" s="21">
        <f>IF(AND(C1127&lt;&gt;"", H1127&lt;&gt;""), HYPERLINK("#'" &amp; C1127 &amp; "'!" &amp; H1127, H1127), "")</f>
        <v>0</v>
      </c>
    </row>
    <row r="1128" spans="2:2">
      <c r="B1128" s="21">
        <f>IF(AND(C1128&lt;&gt;"", H1128&lt;&gt;""), HYPERLINK("#'" &amp; C1128 &amp; "'!" &amp; H1128, H1128), "")</f>
        <v>0</v>
      </c>
    </row>
    <row r="1129" spans="2:2">
      <c r="B1129" s="21">
        <f>IF(AND(C1129&lt;&gt;"", H1129&lt;&gt;""), HYPERLINK("#'" &amp; C1129 &amp; "'!" &amp; H1129, H1129), "")</f>
        <v>0</v>
      </c>
    </row>
    <row r="1130" spans="2:2">
      <c r="B1130" s="21">
        <f>IF(AND(C1130&lt;&gt;"", H1130&lt;&gt;""), HYPERLINK("#'" &amp; C1130 &amp; "'!" &amp; H1130, H1130), "")</f>
        <v>0</v>
      </c>
    </row>
    <row r="1131" spans="2:2">
      <c r="B1131" s="21">
        <f>IF(AND(C1131&lt;&gt;"", H1131&lt;&gt;""), HYPERLINK("#'" &amp; C1131 &amp; "'!" &amp; H1131, H1131), "")</f>
        <v>0</v>
      </c>
    </row>
    <row r="1132" spans="2:2">
      <c r="B1132" s="21">
        <f>IF(AND(C1132&lt;&gt;"", H1132&lt;&gt;""), HYPERLINK("#'" &amp; C1132 &amp; "'!" &amp; H1132, H1132), "")</f>
        <v>0</v>
      </c>
    </row>
    <row r="1133" spans="2:2">
      <c r="B1133" s="21">
        <f>IF(AND(C1133&lt;&gt;"", H1133&lt;&gt;""), HYPERLINK("#'" &amp; C1133 &amp; "'!" &amp; H1133, H1133), "")</f>
        <v>0</v>
      </c>
    </row>
    <row r="1134" spans="2:2">
      <c r="B1134" s="21">
        <f>IF(AND(C1134&lt;&gt;"", H1134&lt;&gt;""), HYPERLINK("#'" &amp; C1134 &amp; "'!" &amp; H1134, H1134), "")</f>
        <v>0</v>
      </c>
    </row>
    <row r="1135" spans="2:2">
      <c r="B1135" s="21">
        <f>IF(AND(C1135&lt;&gt;"", H1135&lt;&gt;""), HYPERLINK("#'" &amp; C1135 &amp; "'!" &amp; H1135, H1135), "")</f>
        <v>0</v>
      </c>
    </row>
    <row r="1136" spans="2:2">
      <c r="B1136" s="21">
        <f>IF(AND(C1136&lt;&gt;"", H1136&lt;&gt;""), HYPERLINK("#'" &amp; C1136 &amp; "'!" &amp; H1136, H1136), "")</f>
        <v>0</v>
      </c>
    </row>
    <row r="1137" spans="2:2">
      <c r="B1137" s="21">
        <f>IF(AND(C1137&lt;&gt;"", H1137&lt;&gt;""), HYPERLINK("#'" &amp; C1137 &amp; "'!" &amp; H1137, H1137), "")</f>
        <v>0</v>
      </c>
    </row>
    <row r="1138" spans="2:2">
      <c r="B1138" s="21">
        <f>IF(AND(C1138&lt;&gt;"", H1138&lt;&gt;""), HYPERLINK("#'" &amp; C1138 &amp; "'!" &amp; H1138, H1138), "")</f>
        <v>0</v>
      </c>
    </row>
    <row r="1139" spans="2:2">
      <c r="B1139" s="21">
        <f>IF(AND(C1139&lt;&gt;"", H1139&lt;&gt;""), HYPERLINK("#'" &amp; C1139 &amp; "'!" &amp; H1139, H1139), "")</f>
        <v>0</v>
      </c>
    </row>
    <row r="1140" spans="2:2">
      <c r="B1140" s="21">
        <f>IF(AND(C1140&lt;&gt;"", H1140&lt;&gt;""), HYPERLINK("#'" &amp; C1140 &amp; "'!" &amp; H1140, H1140), "")</f>
        <v>0</v>
      </c>
    </row>
    <row r="1141" spans="2:2">
      <c r="B1141" s="21">
        <f>IF(AND(C1141&lt;&gt;"", H1141&lt;&gt;""), HYPERLINK("#'" &amp; C1141 &amp; "'!" &amp; H1141, H1141), "")</f>
        <v>0</v>
      </c>
    </row>
    <row r="1142" spans="2:2">
      <c r="B1142" s="21">
        <f>IF(AND(C1142&lt;&gt;"", H1142&lt;&gt;""), HYPERLINK("#'" &amp; C1142 &amp; "'!" &amp; H1142, H1142), "")</f>
        <v>0</v>
      </c>
    </row>
    <row r="1143" spans="2:2">
      <c r="B1143" s="21">
        <f>IF(AND(C1143&lt;&gt;"", H1143&lt;&gt;""), HYPERLINK("#'" &amp; C1143 &amp; "'!" &amp; H1143, H1143), "")</f>
        <v>0</v>
      </c>
    </row>
    <row r="1144" spans="2:2">
      <c r="B1144" s="21">
        <f>IF(AND(C1144&lt;&gt;"", H1144&lt;&gt;""), HYPERLINK("#'" &amp; C1144 &amp; "'!" &amp; H1144, H1144), "")</f>
        <v>0</v>
      </c>
    </row>
    <row r="1145" spans="2:2">
      <c r="B1145" s="21">
        <f>IF(AND(C1145&lt;&gt;"", H1145&lt;&gt;""), HYPERLINK("#'" &amp; C1145 &amp; "'!" &amp; H1145, H1145), "")</f>
        <v>0</v>
      </c>
    </row>
    <row r="1146" spans="2:2">
      <c r="B1146" s="21">
        <f>IF(AND(C1146&lt;&gt;"", H1146&lt;&gt;""), HYPERLINK("#'" &amp; C1146 &amp; "'!" &amp; H1146, H1146), "")</f>
        <v>0</v>
      </c>
    </row>
    <row r="1147" spans="2:2">
      <c r="B1147" s="21">
        <f>IF(AND(C1147&lt;&gt;"", H1147&lt;&gt;""), HYPERLINK("#'" &amp; C1147 &amp; "'!" &amp; H1147, H1147), "")</f>
        <v>0</v>
      </c>
    </row>
    <row r="1148" spans="2:2">
      <c r="B1148" s="21">
        <f>IF(AND(C1148&lt;&gt;"", H1148&lt;&gt;""), HYPERLINK("#'" &amp; C1148 &amp; "'!" &amp; H1148, H1148), "")</f>
        <v>0</v>
      </c>
    </row>
    <row r="1149" spans="2:2">
      <c r="B1149" s="21">
        <f>IF(AND(C1149&lt;&gt;"", H1149&lt;&gt;""), HYPERLINK("#'" &amp; C1149 &amp; "'!" &amp; H1149, H1149), "")</f>
        <v>0</v>
      </c>
    </row>
    <row r="1150" spans="2:2">
      <c r="B1150" s="21">
        <f>IF(AND(C1150&lt;&gt;"", H1150&lt;&gt;""), HYPERLINK("#'" &amp; C1150 &amp; "'!" &amp; H1150, H1150), "")</f>
        <v>0</v>
      </c>
    </row>
    <row r="1151" spans="2:2">
      <c r="B1151" s="21">
        <f>IF(AND(C1151&lt;&gt;"", H1151&lt;&gt;""), HYPERLINK("#'" &amp; C1151 &amp; "'!" &amp; H1151, H1151), "")</f>
        <v>0</v>
      </c>
    </row>
    <row r="1152" spans="2:2">
      <c r="B1152" s="21">
        <f>IF(AND(C1152&lt;&gt;"", H1152&lt;&gt;""), HYPERLINK("#'" &amp; C1152 &amp; "'!" &amp; H1152, H1152), "")</f>
        <v>0</v>
      </c>
    </row>
    <row r="1153" spans="2:2">
      <c r="B1153" s="21">
        <f>IF(AND(C1153&lt;&gt;"", H1153&lt;&gt;""), HYPERLINK("#'" &amp; C1153 &amp; "'!" &amp; H1153, H1153), "")</f>
        <v>0</v>
      </c>
    </row>
    <row r="1154" spans="2:2">
      <c r="B1154" s="21">
        <f>IF(AND(C1154&lt;&gt;"", H1154&lt;&gt;""), HYPERLINK("#'" &amp; C1154 &amp; "'!" &amp; H1154, H1154), "")</f>
        <v>0</v>
      </c>
    </row>
    <row r="1155" spans="2:2">
      <c r="B1155" s="21">
        <f>IF(AND(C1155&lt;&gt;"", H1155&lt;&gt;""), HYPERLINK("#'" &amp; C1155 &amp; "'!" &amp; H1155, H1155), "")</f>
        <v>0</v>
      </c>
    </row>
    <row r="1156" spans="2:2">
      <c r="B1156" s="21">
        <f>IF(AND(C1156&lt;&gt;"", H1156&lt;&gt;""), HYPERLINK("#'" &amp; C1156 &amp; "'!" &amp; H1156, H1156), "")</f>
        <v>0</v>
      </c>
    </row>
    <row r="1157" spans="2:2">
      <c r="B1157" s="21">
        <f>IF(AND(C1157&lt;&gt;"", H1157&lt;&gt;""), HYPERLINK("#'" &amp; C1157 &amp; "'!" &amp; H1157, H1157), "")</f>
        <v>0</v>
      </c>
    </row>
    <row r="1158" spans="2:2">
      <c r="B1158" s="21">
        <f>IF(AND(C1158&lt;&gt;"", H1158&lt;&gt;""), HYPERLINK("#'" &amp; C1158 &amp; "'!" &amp; H1158, H1158), "")</f>
        <v>0</v>
      </c>
    </row>
    <row r="1159" spans="2:2">
      <c r="B1159" s="21">
        <f>IF(AND(C1159&lt;&gt;"", H1159&lt;&gt;""), HYPERLINK("#'" &amp; C1159 &amp; "'!" &amp; H1159, H1159), "")</f>
        <v>0</v>
      </c>
    </row>
    <row r="1160" spans="2:2">
      <c r="B1160" s="21">
        <f>IF(AND(C1160&lt;&gt;"", H1160&lt;&gt;""), HYPERLINK("#'" &amp; C1160 &amp; "'!" &amp; H1160, H1160), "")</f>
        <v>0</v>
      </c>
    </row>
    <row r="1161" spans="2:2">
      <c r="B1161" s="21">
        <f>IF(AND(C1161&lt;&gt;"", H1161&lt;&gt;""), HYPERLINK("#'" &amp; C1161 &amp; "'!" &amp; H1161, H1161), "")</f>
        <v>0</v>
      </c>
    </row>
    <row r="1162" spans="2:2">
      <c r="B1162" s="21">
        <f>IF(AND(C1162&lt;&gt;"", H1162&lt;&gt;""), HYPERLINK("#'" &amp; C1162 &amp; "'!" &amp; H1162, H1162), "")</f>
        <v>0</v>
      </c>
    </row>
    <row r="1163" spans="2:2">
      <c r="B1163" s="21">
        <f>IF(AND(C1163&lt;&gt;"", H1163&lt;&gt;""), HYPERLINK("#'" &amp; C1163 &amp; "'!" &amp; H1163, H1163), "")</f>
        <v>0</v>
      </c>
    </row>
    <row r="1164" spans="2:2">
      <c r="B1164" s="21">
        <f>IF(AND(C1164&lt;&gt;"", H1164&lt;&gt;""), HYPERLINK("#'" &amp; C1164 &amp; "'!" &amp; H1164, H1164), "")</f>
        <v>0</v>
      </c>
    </row>
    <row r="1165" spans="2:2">
      <c r="B1165" s="21">
        <f>IF(AND(C1165&lt;&gt;"", H1165&lt;&gt;""), HYPERLINK("#'" &amp; C1165 &amp; "'!" &amp; H1165, H1165), "")</f>
        <v>0</v>
      </c>
    </row>
    <row r="1166" spans="2:2">
      <c r="B1166" s="21">
        <f>IF(AND(C1166&lt;&gt;"", H1166&lt;&gt;""), HYPERLINK("#'" &amp; C1166 &amp; "'!" &amp; H1166, H1166), "")</f>
        <v>0</v>
      </c>
    </row>
    <row r="1167" spans="2:2">
      <c r="B1167" s="21">
        <f>IF(AND(C1167&lt;&gt;"", H1167&lt;&gt;""), HYPERLINK("#'" &amp; C1167 &amp; "'!" &amp; H1167, H1167), "")</f>
        <v>0</v>
      </c>
    </row>
    <row r="1168" spans="2:2">
      <c r="B1168" s="21">
        <f>IF(AND(C1168&lt;&gt;"", H1168&lt;&gt;""), HYPERLINK("#'" &amp; C1168 &amp; "'!" &amp; H1168, H1168), "")</f>
        <v>0</v>
      </c>
    </row>
    <row r="1169" spans="2:2">
      <c r="B1169" s="21">
        <f>IF(AND(C1169&lt;&gt;"", H1169&lt;&gt;""), HYPERLINK("#'" &amp; C1169 &amp; "'!" &amp; H1169, H1169), "")</f>
        <v>0</v>
      </c>
    </row>
    <row r="1170" spans="2:2">
      <c r="B1170" s="21">
        <f>IF(AND(C1170&lt;&gt;"", H1170&lt;&gt;""), HYPERLINK("#'" &amp; C1170 &amp; "'!" &amp; H1170, H1170), "")</f>
        <v>0</v>
      </c>
    </row>
    <row r="1171" spans="2:2">
      <c r="B1171" s="21">
        <f>IF(AND(C1171&lt;&gt;"", H1171&lt;&gt;""), HYPERLINK("#'" &amp; C1171 &amp; "'!" &amp; H1171, H1171), "")</f>
        <v>0</v>
      </c>
    </row>
    <row r="1172" spans="2:2">
      <c r="B1172" s="21">
        <f>IF(AND(C1172&lt;&gt;"", H1172&lt;&gt;""), HYPERLINK("#'" &amp; C1172 &amp; "'!" &amp; H1172, H1172), "")</f>
        <v>0</v>
      </c>
    </row>
    <row r="1173" spans="2:2">
      <c r="B1173" s="21">
        <f>IF(AND(C1173&lt;&gt;"", H1173&lt;&gt;""), HYPERLINK("#'" &amp; C1173 &amp; "'!" &amp; H1173, H1173), "")</f>
        <v>0</v>
      </c>
    </row>
    <row r="1174" spans="2:2">
      <c r="B1174" s="21">
        <f>IF(AND(C1174&lt;&gt;"", H1174&lt;&gt;""), HYPERLINK("#'" &amp; C1174 &amp; "'!" &amp; H1174, H1174), "")</f>
        <v>0</v>
      </c>
    </row>
    <row r="1175" spans="2:2">
      <c r="B1175" s="21">
        <f>IF(AND(C1175&lt;&gt;"", H1175&lt;&gt;""), HYPERLINK("#'" &amp; C1175 &amp; "'!" &amp; H1175, H1175), "")</f>
        <v>0</v>
      </c>
    </row>
    <row r="1176" spans="2:2">
      <c r="B1176" s="21">
        <f>IF(AND(C1176&lt;&gt;"", H1176&lt;&gt;""), HYPERLINK("#'" &amp; C1176 &amp; "'!" &amp; H1176, H1176), "")</f>
        <v>0</v>
      </c>
    </row>
    <row r="1177" spans="2:2">
      <c r="B1177" s="21">
        <f>IF(AND(C1177&lt;&gt;"", H1177&lt;&gt;""), HYPERLINK("#'" &amp; C1177 &amp; "'!" &amp; H1177, H1177), "")</f>
        <v>0</v>
      </c>
    </row>
    <row r="1178" spans="2:2">
      <c r="B1178" s="21">
        <f>IF(AND(C1178&lt;&gt;"", H1178&lt;&gt;""), HYPERLINK("#'" &amp; C1178 &amp; "'!" &amp; H1178, H1178), "")</f>
        <v>0</v>
      </c>
    </row>
    <row r="1179" spans="2:2">
      <c r="B1179" s="21">
        <f>IF(AND(C1179&lt;&gt;"", H1179&lt;&gt;""), HYPERLINK("#'" &amp; C1179 &amp; "'!" &amp; H1179, H1179), "")</f>
        <v>0</v>
      </c>
    </row>
    <row r="1180" spans="2:2">
      <c r="B1180" s="21">
        <f>IF(AND(C1180&lt;&gt;"", H1180&lt;&gt;""), HYPERLINK("#'" &amp; C1180 &amp; "'!" &amp; H1180, H1180), "")</f>
        <v>0</v>
      </c>
    </row>
    <row r="1181" spans="2:2">
      <c r="B1181" s="21">
        <f>IF(AND(C1181&lt;&gt;"", H1181&lt;&gt;""), HYPERLINK("#'" &amp; C1181 &amp; "'!" &amp; H1181, H1181), "")</f>
        <v>0</v>
      </c>
    </row>
    <row r="1182" spans="2:2">
      <c r="B1182" s="21">
        <f>IF(AND(C1182&lt;&gt;"", H1182&lt;&gt;""), HYPERLINK("#'" &amp; C1182 &amp; "'!" &amp; H1182, H1182), "")</f>
        <v>0</v>
      </c>
    </row>
    <row r="1183" spans="2:2">
      <c r="B1183" s="21">
        <f>IF(AND(C1183&lt;&gt;"", H1183&lt;&gt;""), HYPERLINK("#'" &amp; C1183 &amp; "'!" &amp; H1183, H1183), "")</f>
        <v>0</v>
      </c>
    </row>
    <row r="1184" spans="2:2">
      <c r="B1184" s="21">
        <f>IF(AND(C1184&lt;&gt;"", H1184&lt;&gt;""), HYPERLINK("#'" &amp; C1184 &amp; "'!" &amp; H1184, H1184), "")</f>
        <v>0</v>
      </c>
    </row>
    <row r="1185" spans="2:2">
      <c r="B1185" s="21">
        <f>IF(AND(C1185&lt;&gt;"", H1185&lt;&gt;""), HYPERLINK("#'" &amp; C1185 &amp; "'!" &amp; H1185, H1185), "")</f>
        <v>0</v>
      </c>
    </row>
    <row r="1186" spans="2:2">
      <c r="B1186" s="21">
        <f>IF(AND(C1186&lt;&gt;"", H1186&lt;&gt;""), HYPERLINK("#'" &amp; C1186 &amp; "'!" &amp; H1186, H1186), "")</f>
        <v>0</v>
      </c>
    </row>
    <row r="1187" spans="2:2">
      <c r="B1187" s="21">
        <f>IF(AND(C1187&lt;&gt;"", H1187&lt;&gt;""), HYPERLINK("#'" &amp; C1187 &amp; "'!" &amp; H1187, H1187), "")</f>
        <v>0</v>
      </c>
    </row>
    <row r="1188" spans="2:2">
      <c r="B1188" s="21">
        <f>IF(AND(C1188&lt;&gt;"", H1188&lt;&gt;""), HYPERLINK("#'" &amp; C1188 &amp; "'!" &amp; H1188, H1188), "")</f>
        <v>0</v>
      </c>
    </row>
    <row r="1189" spans="2:2">
      <c r="B1189" s="21">
        <f>IF(AND(C1189&lt;&gt;"", H1189&lt;&gt;""), HYPERLINK("#'" &amp; C1189 &amp; "'!" &amp; H1189, H1189), "")</f>
        <v>0</v>
      </c>
    </row>
    <row r="1190" spans="2:2">
      <c r="B1190" s="21">
        <f>IF(AND(C1190&lt;&gt;"", H1190&lt;&gt;""), HYPERLINK("#'" &amp; C1190 &amp; "'!" &amp; H1190, H1190), "")</f>
        <v>0</v>
      </c>
    </row>
    <row r="1191" spans="2:2">
      <c r="B1191" s="21">
        <f>IF(AND(C1191&lt;&gt;"", H1191&lt;&gt;""), HYPERLINK("#'" &amp; C1191 &amp; "'!" &amp; H1191, H1191), "")</f>
        <v>0</v>
      </c>
    </row>
    <row r="1192" spans="2:2">
      <c r="B1192" s="21">
        <f>IF(AND(C1192&lt;&gt;"", H1192&lt;&gt;""), HYPERLINK("#'" &amp; C1192 &amp; "'!" &amp; H1192, H1192), "")</f>
        <v>0</v>
      </c>
    </row>
    <row r="1193" spans="2:2">
      <c r="B1193" s="21">
        <f>IF(AND(C1193&lt;&gt;"", H1193&lt;&gt;""), HYPERLINK("#'" &amp; C1193 &amp; "'!" &amp; H1193, H1193), "")</f>
        <v>0</v>
      </c>
    </row>
    <row r="1194" spans="2:2">
      <c r="B1194" s="21">
        <f>IF(AND(C1194&lt;&gt;"", H1194&lt;&gt;""), HYPERLINK("#'" &amp; C1194 &amp; "'!" &amp; H1194, H1194), "")</f>
        <v>0</v>
      </c>
    </row>
    <row r="1195" spans="2:2">
      <c r="B1195" s="21">
        <f>IF(AND(C1195&lt;&gt;"", H1195&lt;&gt;""), HYPERLINK("#'" &amp; C1195 &amp; "'!" &amp; H1195, H1195), "")</f>
        <v>0</v>
      </c>
    </row>
    <row r="1196" spans="2:2">
      <c r="B1196" s="21">
        <f>IF(AND(C1196&lt;&gt;"", H1196&lt;&gt;""), HYPERLINK("#'" &amp; C1196 &amp; "'!" &amp; H1196, H1196), "")</f>
        <v>0</v>
      </c>
    </row>
    <row r="1197" spans="2:2">
      <c r="B1197" s="21">
        <f>IF(AND(C1197&lt;&gt;"", H1197&lt;&gt;""), HYPERLINK("#'" &amp; C1197 &amp; "'!" &amp; H1197, H1197), "")</f>
        <v>0</v>
      </c>
    </row>
    <row r="1198" spans="2:2">
      <c r="B1198" s="21">
        <f>IF(AND(C1198&lt;&gt;"", H1198&lt;&gt;""), HYPERLINK("#'" &amp; C1198 &amp; "'!" &amp; H1198, H1198), "")</f>
        <v>0</v>
      </c>
    </row>
    <row r="1199" spans="2:2">
      <c r="B1199" s="21">
        <f>IF(AND(C1199&lt;&gt;"", H1199&lt;&gt;""), HYPERLINK("#'" &amp; C1199 &amp; "'!" &amp; H1199, H1199), "")</f>
        <v>0</v>
      </c>
    </row>
    <row r="1200" spans="2:2">
      <c r="B1200" s="21">
        <f>IF(AND(C1200&lt;&gt;"", H1200&lt;&gt;""), HYPERLINK("#'" &amp; C1200 &amp; "'!" &amp; H1200, H1200), "")</f>
        <v>0</v>
      </c>
    </row>
    <row r="1201" spans="2:2">
      <c r="B1201" s="21">
        <f>IF(AND(C1201&lt;&gt;"", H1201&lt;&gt;""), HYPERLINK("#'" &amp; C1201 &amp; "'!" &amp; H1201, H1201), "")</f>
        <v>0</v>
      </c>
    </row>
    <row r="1202" spans="2:2">
      <c r="B1202" s="21">
        <f>IF(AND(C1202&lt;&gt;"", H1202&lt;&gt;""), HYPERLINK("#'" &amp; C1202 &amp; "'!" &amp; H1202, H1202), "")</f>
        <v>0</v>
      </c>
    </row>
    <row r="1203" spans="2:2">
      <c r="B1203" s="21">
        <f>IF(AND(C1203&lt;&gt;"", H1203&lt;&gt;""), HYPERLINK("#'" &amp; C1203 &amp; "'!" &amp; H1203, H1203), "")</f>
        <v>0</v>
      </c>
    </row>
    <row r="1204" spans="2:2">
      <c r="B1204" s="21">
        <f>IF(AND(C1204&lt;&gt;"", H1204&lt;&gt;""), HYPERLINK("#'" &amp; C1204 &amp; "'!" &amp; H1204, H1204), "")</f>
        <v>0</v>
      </c>
    </row>
    <row r="1205" spans="2:2">
      <c r="B1205" s="21">
        <f>IF(AND(C1205&lt;&gt;"", H1205&lt;&gt;""), HYPERLINK("#'" &amp; C1205 &amp; "'!" &amp; H1205, H1205), "")</f>
        <v>0</v>
      </c>
    </row>
    <row r="1206" spans="2:2">
      <c r="B1206" s="21">
        <f>IF(AND(C1206&lt;&gt;"", H1206&lt;&gt;""), HYPERLINK("#'" &amp; C1206 &amp; "'!" &amp; H1206, H1206), "")</f>
        <v>0</v>
      </c>
    </row>
    <row r="1207" spans="2:2">
      <c r="B1207" s="21">
        <f>IF(AND(C1207&lt;&gt;"", H1207&lt;&gt;""), HYPERLINK("#'" &amp; C1207 &amp; "'!" &amp; H1207, H1207), "")</f>
        <v>0</v>
      </c>
    </row>
    <row r="1208" spans="2:2">
      <c r="B1208" s="21">
        <f>IF(AND(C1208&lt;&gt;"", H1208&lt;&gt;""), HYPERLINK("#'" &amp; C1208 &amp; "'!" &amp; H1208, H1208), "")</f>
        <v>0</v>
      </c>
    </row>
    <row r="1209" spans="2:2">
      <c r="B1209" s="21">
        <f>IF(AND(C1209&lt;&gt;"", H1209&lt;&gt;""), HYPERLINK("#'" &amp; C1209 &amp; "'!" &amp; H1209, H1209), "")</f>
        <v>0</v>
      </c>
    </row>
    <row r="1210" spans="2:2">
      <c r="B1210" s="21">
        <f>IF(AND(C1210&lt;&gt;"", H1210&lt;&gt;""), HYPERLINK("#'" &amp; C1210 &amp; "'!" &amp; H1210, H1210), "")</f>
        <v>0</v>
      </c>
    </row>
    <row r="1211" spans="2:2">
      <c r="B1211" s="21">
        <f>IF(AND(C1211&lt;&gt;"", H1211&lt;&gt;""), HYPERLINK("#'" &amp; C1211 &amp; "'!" &amp; H1211, H1211), "")</f>
        <v>0</v>
      </c>
    </row>
    <row r="1212" spans="2:2">
      <c r="B1212" s="21">
        <f>IF(AND(C1212&lt;&gt;"", H1212&lt;&gt;""), HYPERLINK("#'" &amp; C1212 &amp; "'!" &amp; H1212, H1212), "")</f>
        <v>0</v>
      </c>
    </row>
    <row r="1213" spans="2:2">
      <c r="B1213" s="21">
        <f>IF(AND(C1213&lt;&gt;"", H1213&lt;&gt;""), HYPERLINK("#'" &amp; C1213 &amp; "'!" &amp; H1213, H1213), "")</f>
        <v>0</v>
      </c>
    </row>
    <row r="1214" spans="2:2">
      <c r="B1214" s="21">
        <f>IF(AND(C1214&lt;&gt;"", H1214&lt;&gt;""), HYPERLINK("#'" &amp; C1214 &amp; "'!" &amp; H1214, H1214), "")</f>
        <v>0</v>
      </c>
    </row>
    <row r="1215" spans="2:2">
      <c r="B1215" s="21">
        <f>IF(AND(C1215&lt;&gt;"", H1215&lt;&gt;""), HYPERLINK("#'" &amp; C1215 &amp; "'!" &amp; H1215, H1215), "")</f>
        <v>0</v>
      </c>
    </row>
    <row r="1216" spans="2:2">
      <c r="B1216" s="21">
        <f>IF(AND(C1216&lt;&gt;"", H1216&lt;&gt;""), HYPERLINK("#'" &amp; C1216 &amp; "'!" &amp; H1216, H1216), "")</f>
        <v>0</v>
      </c>
    </row>
    <row r="1217" spans="2:2">
      <c r="B1217" s="21">
        <f>IF(AND(C1217&lt;&gt;"", H1217&lt;&gt;""), HYPERLINK("#'" &amp; C1217 &amp; "'!" &amp; H1217, H1217), "")</f>
        <v>0</v>
      </c>
    </row>
    <row r="1218" spans="2:2">
      <c r="B1218" s="21">
        <f>IF(AND(C1218&lt;&gt;"", H1218&lt;&gt;""), HYPERLINK("#'" &amp; C1218 &amp; "'!" &amp; H1218, H1218), "")</f>
        <v>0</v>
      </c>
    </row>
    <row r="1219" spans="2:2">
      <c r="B1219" s="21">
        <f>IF(AND(C1219&lt;&gt;"", H1219&lt;&gt;""), HYPERLINK("#'" &amp; C1219 &amp; "'!" &amp; H1219, H1219), "")</f>
        <v>0</v>
      </c>
    </row>
    <row r="1220" spans="2:2">
      <c r="B1220" s="21">
        <f>IF(AND(C1220&lt;&gt;"", H1220&lt;&gt;""), HYPERLINK("#'" &amp; C1220 &amp; "'!" &amp; H1220, H1220), "")</f>
        <v>0</v>
      </c>
    </row>
    <row r="1221" spans="2:2">
      <c r="B1221" s="21">
        <f>IF(AND(C1221&lt;&gt;"", H1221&lt;&gt;""), HYPERLINK("#'" &amp; C1221 &amp; "'!" &amp; H1221, H1221), "")</f>
        <v>0</v>
      </c>
    </row>
    <row r="1222" spans="2:2">
      <c r="B1222" s="21">
        <f>IF(AND(C1222&lt;&gt;"", H1222&lt;&gt;""), HYPERLINK("#'" &amp; C1222 &amp; "'!" &amp; H1222, H1222), "")</f>
        <v>0</v>
      </c>
    </row>
    <row r="1223" spans="2:2">
      <c r="B1223" s="21">
        <f>IF(AND(C1223&lt;&gt;"", H1223&lt;&gt;""), HYPERLINK("#'" &amp; C1223 &amp; "'!" &amp; H1223, H1223), "")</f>
        <v>0</v>
      </c>
    </row>
    <row r="1224" spans="2:2">
      <c r="B1224" s="21">
        <f>IF(AND(C1224&lt;&gt;"", H1224&lt;&gt;""), HYPERLINK("#'" &amp; C1224 &amp; "'!" &amp; H1224, H1224), "")</f>
        <v>0</v>
      </c>
    </row>
    <row r="1225" spans="2:2">
      <c r="B1225" s="21">
        <f>IF(AND(C1225&lt;&gt;"", H1225&lt;&gt;""), HYPERLINK("#'" &amp; C1225 &amp; "'!" &amp; H1225, H1225), "")</f>
        <v>0</v>
      </c>
    </row>
    <row r="1226" spans="2:2">
      <c r="B1226" s="21">
        <f>IF(AND(C1226&lt;&gt;"", H1226&lt;&gt;""), HYPERLINK("#'" &amp; C1226 &amp; "'!" &amp; H1226, H1226), "")</f>
        <v>0</v>
      </c>
    </row>
    <row r="1227" spans="2:2">
      <c r="B1227" s="21">
        <f>IF(AND(C1227&lt;&gt;"", H1227&lt;&gt;""), HYPERLINK("#'" &amp; C1227 &amp; "'!" &amp; H1227, H1227), "")</f>
        <v>0</v>
      </c>
    </row>
    <row r="1228" spans="2:2">
      <c r="B1228" s="21">
        <f>IF(AND(C1228&lt;&gt;"", H1228&lt;&gt;""), HYPERLINK("#'" &amp; C1228 &amp; "'!" &amp; H1228, H1228), "")</f>
        <v>0</v>
      </c>
    </row>
    <row r="1229" spans="2:2">
      <c r="B1229" s="21">
        <f>IF(AND(C1229&lt;&gt;"", H1229&lt;&gt;""), HYPERLINK("#'" &amp; C1229 &amp; "'!" &amp; H1229, H1229), "")</f>
        <v>0</v>
      </c>
    </row>
    <row r="1230" spans="2:2">
      <c r="B1230" s="21">
        <f>IF(AND(C1230&lt;&gt;"", H1230&lt;&gt;""), HYPERLINK("#'" &amp; C1230 &amp; "'!" &amp; H1230, H1230), "")</f>
        <v>0</v>
      </c>
    </row>
    <row r="1231" spans="2:2">
      <c r="B1231" s="21">
        <f>IF(AND(C1231&lt;&gt;"", H1231&lt;&gt;""), HYPERLINK("#'" &amp; C1231 &amp; "'!" &amp; H1231, H1231), "")</f>
        <v>0</v>
      </c>
    </row>
    <row r="1232" spans="2:2">
      <c r="B1232" s="21">
        <f>IF(AND(C1232&lt;&gt;"", H1232&lt;&gt;""), HYPERLINK("#'" &amp; C1232 &amp; "'!" &amp; H1232, H1232), "")</f>
        <v>0</v>
      </c>
    </row>
    <row r="1233" spans="2:2">
      <c r="B1233" s="21">
        <f>IF(AND(C1233&lt;&gt;"", H1233&lt;&gt;""), HYPERLINK("#'" &amp; C1233 &amp; "'!" &amp; H1233, H1233), "")</f>
        <v>0</v>
      </c>
    </row>
    <row r="1234" spans="2:2">
      <c r="B1234" s="21">
        <f>IF(AND(C1234&lt;&gt;"", H1234&lt;&gt;""), HYPERLINK("#'" &amp; C1234 &amp; "'!" &amp; H1234, H1234), "")</f>
        <v>0</v>
      </c>
    </row>
    <row r="1235" spans="2:2">
      <c r="B1235" s="21">
        <f>IF(AND(C1235&lt;&gt;"", H1235&lt;&gt;""), HYPERLINK("#'" &amp; C1235 &amp; "'!" &amp; H1235, H1235), "")</f>
        <v>0</v>
      </c>
    </row>
    <row r="1236" spans="2:2">
      <c r="B1236" s="21">
        <f>IF(AND(C1236&lt;&gt;"", H1236&lt;&gt;""), HYPERLINK("#'" &amp; C1236 &amp; "'!" &amp; H1236, H1236), "")</f>
        <v>0</v>
      </c>
    </row>
    <row r="1237" spans="2:2">
      <c r="B1237" s="21">
        <f>IF(AND(C1237&lt;&gt;"", H1237&lt;&gt;""), HYPERLINK("#'" &amp; C1237 &amp; "'!" &amp; H1237, H1237), "")</f>
        <v>0</v>
      </c>
    </row>
    <row r="1238" spans="2:2">
      <c r="B1238" s="21">
        <f>IF(AND(C1238&lt;&gt;"", H1238&lt;&gt;""), HYPERLINK("#'" &amp; C1238 &amp; "'!" &amp; H1238, H1238), "")</f>
        <v>0</v>
      </c>
    </row>
    <row r="1239" spans="2:2">
      <c r="B1239" s="21">
        <f>IF(AND(C1239&lt;&gt;"", H1239&lt;&gt;""), HYPERLINK("#'" &amp; C1239 &amp; "'!" &amp; H1239, H1239), "")</f>
        <v>0</v>
      </c>
    </row>
    <row r="1240" spans="2:2">
      <c r="B1240" s="21">
        <f>IF(AND(C1240&lt;&gt;"", H1240&lt;&gt;""), HYPERLINK("#'" &amp; C1240 &amp; "'!" &amp; H1240, H1240), "")</f>
        <v>0</v>
      </c>
    </row>
    <row r="1241" spans="2:2">
      <c r="B1241" s="21">
        <f>IF(AND(C1241&lt;&gt;"", H1241&lt;&gt;""), HYPERLINK("#'" &amp; C1241 &amp; "'!" &amp; H1241, H1241), "")</f>
        <v>0</v>
      </c>
    </row>
    <row r="1242" spans="2:2">
      <c r="B1242" s="21">
        <f>IF(AND(C1242&lt;&gt;"", H1242&lt;&gt;""), HYPERLINK("#'" &amp; C1242 &amp; "'!" &amp; H1242, H1242), "")</f>
        <v>0</v>
      </c>
    </row>
    <row r="1243" spans="2:2">
      <c r="B1243" s="21">
        <f>IF(AND(C1243&lt;&gt;"", H1243&lt;&gt;""), HYPERLINK("#'" &amp; C1243 &amp; "'!" &amp; H1243, H1243), "")</f>
        <v>0</v>
      </c>
    </row>
    <row r="1244" spans="2:2">
      <c r="B1244" s="21">
        <f>IF(AND(C1244&lt;&gt;"", H1244&lt;&gt;""), HYPERLINK("#'" &amp; C1244 &amp; "'!" &amp; H1244, H1244), "")</f>
        <v>0</v>
      </c>
    </row>
    <row r="1245" spans="2:2">
      <c r="B1245" s="21">
        <f>IF(AND(C1245&lt;&gt;"", H1245&lt;&gt;""), HYPERLINK("#'" &amp; C1245 &amp; "'!" &amp; H1245, H1245), "")</f>
        <v>0</v>
      </c>
    </row>
    <row r="1246" spans="2:2">
      <c r="B1246" s="21">
        <f>IF(AND(C1246&lt;&gt;"", H1246&lt;&gt;""), HYPERLINK("#'" &amp; C1246 &amp; "'!" &amp; H1246, H1246), "")</f>
        <v>0</v>
      </c>
    </row>
    <row r="1247" spans="2:2">
      <c r="B1247" s="21">
        <f>IF(AND(C1247&lt;&gt;"", H1247&lt;&gt;""), HYPERLINK("#'" &amp; C1247 &amp; "'!" &amp; H1247, H1247), "")</f>
        <v>0</v>
      </c>
    </row>
    <row r="1248" spans="2:2">
      <c r="B1248" s="21">
        <f>IF(AND(C1248&lt;&gt;"", H1248&lt;&gt;""), HYPERLINK("#'" &amp; C1248 &amp; "'!" &amp; H1248, H1248), "")</f>
        <v>0</v>
      </c>
    </row>
    <row r="1249" spans="2:2">
      <c r="B1249" s="21">
        <f>IF(AND(C1249&lt;&gt;"", H1249&lt;&gt;""), HYPERLINK("#'" &amp; C1249 &amp; "'!" &amp; H1249, H1249), "")</f>
        <v>0</v>
      </c>
    </row>
    <row r="1250" spans="2:2">
      <c r="B1250" s="21">
        <f>IF(AND(C1250&lt;&gt;"", H1250&lt;&gt;""), HYPERLINK("#'" &amp; C1250 &amp; "'!" &amp; H1250, H1250), "")</f>
        <v>0</v>
      </c>
    </row>
    <row r="1251" spans="2:2">
      <c r="B1251" s="21">
        <f>IF(AND(C1251&lt;&gt;"", H1251&lt;&gt;""), HYPERLINK("#'" &amp; C1251 &amp; "'!" &amp; H1251, H1251), "")</f>
        <v>0</v>
      </c>
    </row>
    <row r="1252" spans="2:2">
      <c r="B1252" s="21">
        <f>IF(AND(C1252&lt;&gt;"", H1252&lt;&gt;""), HYPERLINK("#'" &amp; C1252 &amp; "'!" &amp; H1252, H1252), "")</f>
        <v>0</v>
      </c>
    </row>
    <row r="1253" spans="2:2">
      <c r="B1253" s="21">
        <f>IF(AND(C1253&lt;&gt;"", H1253&lt;&gt;""), HYPERLINK("#'" &amp; C1253 &amp; "'!" &amp; H1253, H1253), "")</f>
        <v>0</v>
      </c>
    </row>
    <row r="1254" spans="2:2">
      <c r="B1254" s="21">
        <f>IF(AND(C1254&lt;&gt;"", H1254&lt;&gt;""), HYPERLINK("#'" &amp; C1254 &amp; "'!" &amp; H1254, H1254), "")</f>
        <v>0</v>
      </c>
    </row>
    <row r="1255" spans="2:2">
      <c r="B1255" s="21">
        <f>IF(AND(C1255&lt;&gt;"", H1255&lt;&gt;""), HYPERLINK("#'" &amp; C1255 &amp; "'!" &amp; H1255, H1255), "")</f>
        <v>0</v>
      </c>
    </row>
    <row r="1256" spans="2:2">
      <c r="B1256" s="21">
        <f>IF(AND(C1256&lt;&gt;"", H1256&lt;&gt;""), HYPERLINK("#'" &amp; C1256 &amp; "'!" &amp; H1256, H1256), "")</f>
        <v>0</v>
      </c>
    </row>
    <row r="1257" spans="2:2">
      <c r="B1257" s="21">
        <f>IF(AND(C1257&lt;&gt;"", H1257&lt;&gt;""), HYPERLINK("#'" &amp; C1257 &amp; "'!" &amp; H1257, H1257), "")</f>
        <v>0</v>
      </c>
    </row>
    <row r="1258" spans="2:2">
      <c r="B1258" s="21">
        <f>IF(AND(C1258&lt;&gt;"", H1258&lt;&gt;""), HYPERLINK("#'" &amp; C1258 &amp; "'!" &amp; H1258, H1258), "")</f>
        <v>0</v>
      </c>
    </row>
    <row r="1259" spans="2:2">
      <c r="B1259" s="21">
        <f>IF(AND(C1259&lt;&gt;"", H1259&lt;&gt;""), HYPERLINK("#'" &amp; C1259 &amp; "'!" &amp; H1259, H1259), "")</f>
        <v>0</v>
      </c>
    </row>
    <row r="1260" spans="2:2">
      <c r="B1260" s="21">
        <f>IF(AND(C1260&lt;&gt;"", H1260&lt;&gt;""), HYPERLINK("#'" &amp; C1260 &amp; "'!" &amp; H1260, H1260), "")</f>
        <v>0</v>
      </c>
    </row>
    <row r="1261" spans="2:2">
      <c r="B1261" s="21">
        <f>IF(AND(C1261&lt;&gt;"", H1261&lt;&gt;""), HYPERLINK("#'" &amp; C1261 &amp; "'!" &amp; H1261, H1261), "")</f>
        <v>0</v>
      </c>
    </row>
    <row r="1262" spans="2:2">
      <c r="B1262" s="21">
        <f>IF(AND(C1262&lt;&gt;"", H1262&lt;&gt;""), HYPERLINK("#'" &amp; C1262 &amp; "'!" &amp; H1262, H1262), "")</f>
        <v>0</v>
      </c>
    </row>
    <row r="1263" spans="2:2">
      <c r="B1263" s="21">
        <f>IF(AND(C1263&lt;&gt;"", H1263&lt;&gt;""), HYPERLINK("#'" &amp; C1263 &amp; "'!" &amp; H1263, H1263), "")</f>
        <v>0</v>
      </c>
    </row>
    <row r="1264" spans="2:2">
      <c r="B1264" s="21">
        <f>IF(AND(C1264&lt;&gt;"", H1264&lt;&gt;""), HYPERLINK("#'" &amp; C1264 &amp; "'!" &amp; H1264, H1264), "")</f>
        <v>0</v>
      </c>
    </row>
    <row r="1265" spans="2:2">
      <c r="B1265" s="21">
        <f>IF(AND(C1265&lt;&gt;"", H1265&lt;&gt;""), HYPERLINK("#'" &amp; C1265 &amp; "'!" &amp; H1265, H1265), "")</f>
        <v>0</v>
      </c>
    </row>
    <row r="1266" spans="2:2">
      <c r="B1266" s="21">
        <f>IF(AND(C1266&lt;&gt;"", H1266&lt;&gt;""), HYPERLINK("#'" &amp; C1266 &amp; "'!" &amp; H1266, H1266), "")</f>
        <v>0</v>
      </c>
    </row>
    <row r="1267" spans="2:2">
      <c r="B1267" s="21">
        <f>IF(AND(C1267&lt;&gt;"", H1267&lt;&gt;""), HYPERLINK("#'" &amp; C1267 &amp; "'!" &amp; H1267, H1267), "")</f>
        <v>0</v>
      </c>
    </row>
    <row r="1268" spans="2:2">
      <c r="B1268" s="21">
        <f>IF(AND(C1268&lt;&gt;"", H1268&lt;&gt;""), HYPERLINK("#'" &amp; C1268 &amp; "'!" &amp; H1268, H1268), "")</f>
        <v>0</v>
      </c>
    </row>
    <row r="1269" spans="2:2">
      <c r="B1269" s="21">
        <f>IF(AND(C1269&lt;&gt;"", H1269&lt;&gt;""), HYPERLINK("#'" &amp; C1269 &amp; "'!" &amp; H1269, H1269), "")</f>
        <v>0</v>
      </c>
    </row>
    <row r="1270" spans="2:2">
      <c r="B1270" s="21">
        <f>IF(AND(C1270&lt;&gt;"", H1270&lt;&gt;""), HYPERLINK("#'" &amp; C1270 &amp; "'!" &amp; H1270, H1270), "")</f>
        <v>0</v>
      </c>
    </row>
    <row r="1271" spans="2:2">
      <c r="B1271" s="21">
        <f>IF(AND(C1271&lt;&gt;"", H1271&lt;&gt;""), HYPERLINK("#'" &amp; C1271 &amp; "'!" &amp; H1271, H1271), "")</f>
        <v>0</v>
      </c>
    </row>
    <row r="1272" spans="2:2">
      <c r="B1272" s="21">
        <f>IF(AND(C1272&lt;&gt;"", H1272&lt;&gt;""), HYPERLINK("#'" &amp; C1272 &amp; "'!" &amp; H1272, H1272), "")</f>
        <v>0</v>
      </c>
    </row>
    <row r="1273" spans="2:2">
      <c r="B1273" s="21">
        <f>IF(AND(C1273&lt;&gt;"", H1273&lt;&gt;""), HYPERLINK("#'" &amp; C1273 &amp; "'!" &amp; H1273, H1273), "")</f>
        <v>0</v>
      </c>
    </row>
    <row r="1274" spans="2:2">
      <c r="B1274" s="21">
        <f>IF(AND(C1274&lt;&gt;"", H1274&lt;&gt;""), HYPERLINK("#'" &amp; C1274 &amp; "'!" &amp; H1274, H1274), "")</f>
        <v>0</v>
      </c>
    </row>
    <row r="1275" spans="2:2">
      <c r="B1275" s="21">
        <f>IF(AND(C1275&lt;&gt;"", H1275&lt;&gt;""), HYPERLINK("#'" &amp; C1275 &amp; "'!" &amp; H1275, H1275), "")</f>
        <v>0</v>
      </c>
    </row>
    <row r="1276" spans="2:2">
      <c r="B1276" s="21">
        <f>IF(AND(C1276&lt;&gt;"", H1276&lt;&gt;""), HYPERLINK("#'" &amp; C1276 &amp; "'!" &amp; H1276, H1276), "")</f>
        <v>0</v>
      </c>
    </row>
    <row r="1277" spans="2:2">
      <c r="B1277" s="21">
        <f>IF(AND(C1277&lt;&gt;"", H1277&lt;&gt;""), HYPERLINK("#'" &amp; C1277 &amp; "'!" &amp; H1277, H1277), "")</f>
        <v>0</v>
      </c>
    </row>
    <row r="1278" spans="2:2">
      <c r="B1278" s="21">
        <f>IF(AND(C1278&lt;&gt;"", H1278&lt;&gt;""), HYPERLINK("#'" &amp; C1278 &amp; "'!" &amp; H1278, H1278), "")</f>
        <v>0</v>
      </c>
    </row>
    <row r="1279" spans="2:2">
      <c r="B1279" s="21">
        <f>IF(AND(C1279&lt;&gt;"", H1279&lt;&gt;""), HYPERLINK("#'" &amp; C1279 &amp; "'!" &amp; H1279, H1279), "")</f>
        <v>0</v>
      </c>
    </row>
    <row r="1280" spans="2:2">
      <c r="B1280" s="21">
        <f>IF(AND(C1280&lt;&gt;"", H1280&lt;&gt;""), HYPERLINK("#'" &amp; C1280 &amp; "'!" &amp; H1280, H1280), "")</f>
        <v>0</v>
      </c>
    </row>
    <row r="1281" spans="2:2">
      <c r="B1281" s="21">
        <f>IF(AND(C1281&lt;&gt;"", H1281&lt;&gt;""), HYPERLINK("#'" &amp; C1281 &amp; "'!" &amp; H1281, H1281), "")</f>
        <v>0</v>
      </c>
    </row>
    <row r="1282" spans="2:2">
      <c r="B1282" s="21">
        <f>IF(AND(C1282&lt;&gt;"", H1282&lt;&gt;""), HYPERLINK("#'" &amp; C1282 &amp; "'!" &amp; H1282, H1282), "")</f>
        <v>0</v>
      </c>
    </row>
    <row r="1283" spans="2:2">
      <c r="B1283" s="21">
        <f>IF(AND(C1283&lt;&gt;"", H1283&lt;&gt;""), HYPERLINK("#'" &amp; C1283 &amp; "'!" &amp; H1283, H1283), "")</f>
        <v>0</v>
      </c>
    </row>
    <row r="1284" spans="2:2">
      <c r="B1284" s="21">
        <f>IF(AND(C1284&lt;&gt;"", H1284&lt;&gt;""), HYPERLINK("#'" &amp; C1284 &amp; "'!" &amp; H1284, H1284), "")</f>
        <v>0</v>
      </c>
    </row>
    <row r="1285" spans="2:2">
      <c r="B1285" s="21">
        <f>IF(AND(C1285&lt;&gt;"", H1285&lt;&gt;""), HYPERLINK("#'" &amp; C1285 &amp; "'!" &amp; H1285, H1285), "")</f>
        <v>0</v>
      </c>
    </row>
    <row r="1286" spans="2:2">
      <c r="B1286" s="21">
        <f>IF(AND(C1286&lt;&gt;"", H1286&lt;&gt;""), HYPERLINK("#'" &amp; C1286 &amp; "'!" &amp; H1286, H1286), "")</f>
        <v>0</v>
      </c>
    </row>
    <row r="1287" spans="2:2">
      <c r="B1287" s="21">
        <f>IF(AND(C1287&lt;&gt;"", H1287&lt;&gt;""), HYPERLINK("#'" &amp; C1287 &amp; "'!" &amp; H1287, H1287), "")</f>
        <v>0</v>
      </c>
    </row>
    <row r="1288" spans="2:2">
      <c r="B1288" s="21">
        <f>IF(AND(C1288&lt;&gt;"", H1288&lt;&gt;""), HYPERLINK("#'" &amp; C1288 &amp; "'!" &amp; H1288, H1288), "")</f>
        <v>0</v>
      </c>
    </row>
    <row r="1289" spans="2:2">
      <c r="B1289" s="21">
        <f>IF(AND(C1289&lt;&gt;"", H1289&lt;&gt;""), HYPERLINK("#'" &amp; C1289 &amp; "'!" &amp; H1289, H1289), "")</f>
        <v>0</v>
      </c>
    </row>
    <row r="1290" spans="2:2">
      <c r="B1290" s="21">
        <f>IF(AND(C1290&lt;&gt;"", H1290&lt;&gt;""), HYPERLINK("#'" &amp; C1290 &amp; "'!" &amp; H1290, H1290), "")</f>
        <v>0</v>
      </c>
    </row>
    <row r="1291" spans="2:2">
      <c r="B1291" s="21">
        <f>IF(AND(C1291&lt;&gt;"", H1291&lt;&gt;""), HYPERLINK("#'" &amp; C1291 &amp; "'!" &amp; H1291, H1291), "")</f>
        <v>0</v>
      </c>
    </row>
    <row r="1292" spans="2:2">
      <c r="B1292" s="21">
        <f>IF(AND(C1292&lt;&gt;"", H1292&lt;&gt;""), HYPERLINK("#'" &amp; C1292 &amp; "'!" &amp; H1292, H1292), "")</f>
        <v>0</v>
      </c>
    </row>
    <row r="1293" spans="2:2">
      <c r="B1293" s="21">
        <f>IF(AND(C1293&lt;&gt;"", H1293&lt;&gt;""), HYPERLINK("#'" &amp; C1293 &amp; "'!" &amp; H1293, H1293), "")</f>
        <v>0</v>
      </c>
    </row>
    <row r="1294" spans="2:2">
      <c r="B1294" s="21">
        <f>IF(AND(C1294&lt;&gt;"", H1294&lt;&gt;""), HYPERLINK("#'" &amp; C1294 &amp; "'!" &amp; H1294, H1294), "")</f>
        <v>0</v>
      </c>
    </row>
    <row r="1295" spans="2:2">
      <c r="B1295" s="21">
        <f>IF(AND(C1295&lt;&gt;"", H1295&lt;&gt;""), HYPERLINK("#'" &amp; C1295 &amp; "'!" &amp; H1295, H1295), "")</f>
        <v>0</v>
      </c>
    </row>
    <row r="1296" spans="2:2">
      <c r="B1296" s="21">
        <f>IF(AND(C1296&lt;&gt;"", H1296&lt;&gt;""), HYPERLINK("#'" &amp; C1296 &amp; "'!" &amp; H1296, H1296), "")</f>
        <v>0</v>
      </c>
    </row>
    <row r="1297" spans="2:2">
      <c r="B1297" s="21">
        <f>IF(AND(C1297&lt;&gt;"", H1297&lt;&gt;""), HYPERLINK("#'" &amp; C1297 &amp; "'!" &amp; H1297, H1297), "")</f>
        <v>0</v>
      </c>
    </row>
    <row r="1298" spans="2:2">
      <c r="B1298" s="21">
        <f>IF(AND(C1298&lt;&gt;"", H1298&lt;&gt;""), HYPERLINK("#'" &amp; C1298 &amp; "'!" &amp; H1298, H1298), "")</f>
        <v>0</v>
      </c>
    </row>
    <row r="1299" spans="2:2">
      <c r="B1299" s="21">
        <f>IF(AND(C1299&lt;&gt;"", H1299&lt;&gt;""), HYPERLINK("#'" &amp; C1299 &amp; "'!" &amp; H1299, H1299), "")</f>
        <v>0</v>
      </c>
    </row>
    <row r="1300" spans="2:2">
      <c r="B1300" s="21">
        <f>IF(AND(C1300&lt;&gt;"", H1300&lt;&gt;""), HYPERLINK("#'" &amp; C1300 &amp; "'!" &amp; H1300, H1300), "")</f>
        <v>0</v>
      </c>
    </row>
    <row r="1301" spans="2:2">
      <c r="B1301" s="21">
        <f>IF(AND(C1301&lt;&gt;"", H1301&lt;&gt;""), HYPERLINK("#'" &amp; C1301 &amp; "'!" &amp; H1301, H1301), "")</f>
        <v>0</v>
      </c>
    </row>
    <row r="1302" spans="2:2">
      <c r="B1302" s="21">
        <f>IF(AND(C1302&lt;&gt;"", H1302&lt;&gt;""), HYPERLINK("#'" &amp; C1302 &amp; "'!" &amp; H1302, H1302), "")</f>
        <v>0</v>
      </c>
    </row>
    <row r="1303" spans="2:2">
      <c r="B1303" s="21">
        <f>IF(AND(C1303&lt;&gt;"", H1303&lt;&gt;""), HYPERLINK("#'" &amp; C1303 &amp; "'!" &amp; H1303, H1303), "")</f>
        <v>0</v>
      </c>
    </row>
    <row r="1304" spans="2:2">
      <c r="B1304" s="21">
        <f>IF(AND(C1304&lt;&gt;"", H1304&lt;&gt;""), HYPERLINK("#'" &amp; C1304 &amp; "'!" &amp; H1304, H1304), "")</f>
        <v>0</v>
      </c>
    </row>
    <row r="1305" spans="2:2">
      <c r="B1305" s="21">
        <f>IF(AND(C1305&lt;&gt;"", H1305&lt;&gt;""), HYPERLINK("#'" &amp; C1305 &amp; "'!" &amp; H1305, H1305), "")</f>
        <v>0</v>
      </c>
    </row>
    <row r="1306" spans="2:2">
      <c r="B1306" s="21">
        <f>IF(AND(C1306&lt;&gt;"", H1306&lt;&gt;""), HYPERLINK("#'" &amp; C1306 &amp; "'!" &amp; H1306, H1306), "")</f>
        <v>0</v>
      </c>
    </row>
    <row r="1307" spans="2:2">
      <c r="B1307" s="21">
        <f>IF(AND(C1307&lt;&gt;"", H1307&lt;&gt;""), HYPERLINK("#'" &amp; C1307 &amp; "'!" &amp; H1307, H1307), "")</f>
        <v>0</v>
      </c>
    </row>
    <row r="1308" spans="2:2">
      <c r="B1308" s="21">
        <f>IF(AND(C1308&lt;&gt;"", H1308&lt;&gt;""), HYPERLINK("#'" &amp; C1308 &amp; "'!" &amp; H1308, H1308), "")</f>
        <v>0</v>
      </c>
    </row>
    <row r="1309" spans="2:2">
      <c r="B1309" s="21">
        <f>IF(AND(C1309&lt;&gt;"", H1309&lt;&gt;""), HYPERLINK("#'" &amp; C1309 &amp; "'!" &amp; H1309, H1309), "")</f>
        <v>0</v>
      </c>
    </row>
    <row r="1310" spans="2:2">
      <c r="B1310" s="21">
        <f>IF(AND(C1310&lt;&gt;"", H1310&lt;&gt;""), HYPERLINK("#'" &amp; C1310 &amp; "'!" &amp; H1310, H1310), "")</f>
        <v>0</v>
      </c>
    </row>
    <row r="1311" spans="2:2">
      <c r="B1311" s="21">
        <f>IF(AND(C1311&lt;&gt;"", H1311&lt;&gt;""), HYPERLINK("#'" &amp; C1311 &amp; "'!" &amp; H1311, H1311), "")</f>
        <v>0</v>
      </c>
    </row>
    <row r="1312" spans="2:2">
      <c r="B1312" s="21">
        <f>IF(AND(C1312&lt;&gt;"", H1312&lt;&gt;""), HYPERLINK("#'" &amp; C1312 &amp; "'!" &amp; H1312, H1312), "")</f>
        <v>0</v>
      </c>
    </row>
    <row r="1313" spans="2:2">
      <c r="B1313" s="21">
        <f>IF(AND(C1313&lt;&gt;"", H1313&lt;&gt;""), HYPERLINK("#'" &amp; C1313 &amp; "'!" &amp; H1313, H1313), "")</f>
        <v>0</v>
      </c>
    </row>
    <row r="1314" spans="2:2">
      <c r="B1314" s="21">
        <f>IF(AND(C1314&lt;&gt;"", H1314&lt;&gt;""), HYPERLINK("#'" &amp; C1314 &amp; "'!" &amp; H1314, H1314), "")</f>
        <v>0</v>
      </c>
    </row>
    <row r="1315" spans="2:2">
      <c r="B1315" s="21">
        <f>IF(AND(C1315&lt;&gt;"", H1315&lt;&gt;""), HYPERLINK("#'" &amp; C1315 &amp; "'!" &amp; H1315, H1315), "")</f>
        <v>0</v>
      </c>
    </row>
    <row r="1316" spans="2:2">
      <c r="B1316" s="21">
        <f>IF(AND(C1316&lt;&gt;"", H1316&lt;&gt;""), HYPERLINK("#'" &amp; C1316 &amp; "'!" &amp; H1316, H1316), "")</f>
        <v>0</v>
      </c>
    </row>
    <row r="1317" spans="2:2">
      <c r="B1317" s="21">
        <f>IF(AND(C1317&lt;&gt;"", H1317&lt;&gt;""), HYPERLINK("#'" &amp; C1317 &amp; "'!" &amp; H1317, H1317), "")</f>
        <v>0</v>
      </c>
    </row>
    <row r="1318" spans="2:2">
      <c r="B1318" s="21">
        <f>IF(AND(C1318&lt;&gt;"", H1318&lt;&gt;""), HYPERLINK("#'" &amp; C1318 &amp; "'!" &amp; H1318, H1318), "")</f>
        <v>0</v>
      </c>
    </row>
    <row r="1319" spans="2:2">
      <c r="B1319" s="21">
        <f>IF(AND(C1319&lt;&gt;"", H1319&lt;&gt;""), HYPERLINK("#'" &amp; C1319 &amp; "'!" &amp; H1319, H1319), "")</f>
        <v>0</v>
      </c>
    </row>
    <row r="1320" spans="2:2">
      <c r="B1320" s="21">
        <f>IF(AND(C1320&lt;&gt;"", H1320&lt;&gt;""), HYPERLINK("#'" &amp; C1320 &amp; "'!" &amp; H1320, H1320), "")</f>
        <v>0</v>
      </c>
    </row>
    <row r="1321" spans="2:2">
      <c r="B1321" s="21">
        <f>IF(AND(C1321&lt;&gt;"", H1321&lt;&gt;""), HYPERLINK("#'" &amp; C1321 &amp; "'!" &amp; H1321, H1321), "")</f>
        <v>0</v>
      </c>
    </row>
    <row r="1322" spans="2:2">
      <c r="B1322" s="21">
        <f>IF(AND(C1322&lt;&gt;"", H1322&lt;&gt;""), HYPERLINK("#'" &amp; C1322 &amp; "'!" &amp; H1322, H1322), "")</f>
        <v>0</v>
      </c>
    </row>
    <row r="1323" spans="2:2">
      <c r="B1323" s="21">
        <f>IF(AND(C1323&lt;&gt;"", H1323&lt;&gt;""), HYPERLINK("#'" &amp; C1323 &amp; "'!" &amp; H1323, H1323), "")</f>
        <v>0</v>
      </c>
    </row>
    <row r="1324" spans="2:2">
      <c r="B1324" s="21">
        <f>IF(AND(C1324&lt;&gt;"", H1324&lt;&gt;""), HYPERLINK("#'" &amp; C1324 &amp; "'!" &amp; H1324, H1324), "")</f>
        <v>0</v>
      </c>
    </row>
    <row r="1325" spans="2:2">
      <c r="B1325" s="21">
        <f>IF(AND(C1325&lt;&gt;"", H1325&lt;&gt;""), HYPERLINK("#'" &amp; C1325 &amp; "'!" &amp; H1325, H1325), "")</f>
        <v>0</v>
      </c>
    </row>
    <row r="1326" spans="2:2">
      <c r="B1326" s="21">
        <f>IF(AND(C1326&lt;&gt;"", H1326&lt;&gt;""), HYPERLINK("#'" &amp; C1326 &amp; "'!" &amp; H1326, H1326), "")</f>
        <v>0</v>
      </c>
    </row>
    <row r="1327" spans="2:2">
      <c r="B1327" s="21">
        <f>IF(AND(C1327&lt;&gt;"", H1327&lt;&gt;""), HYPERLINK("#'" &amp; C1327 &amp; "'!" &amp; H1327, H1327), "")</f>
        <v>0</v>
      </c>
    </row>
    <row r="1328" spans="2:2">
      <c r="B1328" s="21">
        <f>IF(AND(C1328&lt;&gt;"", H1328&lt;&gt;""), HYPERLINK("#'" &amp; C1328 &amp; "'!" &amp; H1328, H1328), "")</f>
        <v>0</v>
      </c>
    </row>
    <row r="1329" spans="2:2">
      <c r="B1329" s="21">
        <f>IF(AND(C1329&lt;&gt;"", H1329&lt;&gt;""), HYPERLINK("#'" &amp; C1329 &amp; "'!" &amp; H1329, H1329), "")</f>
        <v>0</v>
      </c>
    </row>
    <row r="1330" spans="2:2">
      <c r="B1330" s="21">
        <f>IF(AND(C1330&lt;&gt;"", H1330&lt;&gt;""), HYPERLINK("#'" &amp; C1330 &amp; "'!" &amp; H1330, H1330), "")</f>
        <v>0</v>
      </c>
    </row>
    <row r="1331" spans="2:2">
      <c r="B1331" s="21">
        <f>IF(AND(C1331&lt;&gt;"", H1331&lt;&gt;""), HYPERLINK("#'" &amp; C1331 &amp; "'!" &amp; H1331, H1331), "")</f>
        <v>0</v>
      </c>
    </row>
    <row r="1332" spans="2:2">
      <c r="B1332" s="21">
        <f>IF(AND(C1332&lt;&gt;"", H1332&lt;&gt;""), HYPERLINK("#'" &amp; C1332 &amp; "'!" &amp; H1332, H1332), "")</f>
        <v>0</v>
      </c>
    </row>
    <row r="1333" spans="2:2">
      <c r="B1333" s="21">
        <f>IF(AND(C1333&lt;&gt;"", H1333&lt;&gt;""), HYPERLINK("#'" &amp; C1333 &amp; "'!" &amp; H1333, H1333), "")</f>
        <v>0</v>
      </c>
    </row>
    <row r="1334" spans="2:2">
      <c r="B1334" s="21">
        <f>IF(AND(C1334&lt;&gt;"", H1334&lt;&gt;""), HYPERLINK("#'" &amp; C1334 &amp; "'!" &amp; H1334, H1334), "")</f>
        <v>0</v>
      </c>
    </row>
    <row r="1335" spans="2:2">
      <c r="B1335" s="21">
        <f>IF(AND(C1335&lt;&gt;"", H1335&lt;&gt;""), HYPERLINK("#'" &amp; C1335 &amp; "'!" &amp; H1335, H1335), "")</f>
        <v>0</v>
      </c>
    </row>
    <row r="1336" spans="2:2">
      <c r="B1336" s="21">
        <f>IF(AND(C1336&lt;&gt;"", H1336&lt;&gt;""), HYPERLINK("#'" &amp; C1336 &amp; "'!" &amp; H1336, H1336), "")</f>
        <v>0</v>
      </c>
    </row>
    <row r="1337" spans="2:2">
      <c r="B1337" s="21">
        <f>IF(AND(C1337&lt;&gt;"", H1337&lt;&gt;""), HYPERLINK("#'" &amp; C1337 &amp; "'!" &amp; H1337, H1337), "")</f>
        <v>0</v>
      </c>
    </row>
    <row r="1338" spans="2:2">
      <c r="B1338" s="21">
        <f>IF(AND(C1338&lt;&gt;"", H1338&lt;&gt;""), HYPERLINK("#'" &amp; C1338 &amp; "'!" &amp; H1338, H1338), "")</f>
        <v>0</v>
      </c>
    </row>
    <row r="1339" spans="2:2">
      <c r="B1339" s="21">
        <f>IF(AND(C1339&lt;&gt;"", H1339&lt;&gt;""), HYPERLINK("#'" &amp; C1339 &amp; "'!" &amp; H1339, H1339), "")</f>
        <v>0</v>
      </c>
    </row>
    <row r="1340" spans="2:2">
      <c r="B1340" s="21">
        <f>IF(AND(C1340&lt;&gt;"", H1340&lt;&gt;""), HYPERLINK("#'" &amp; C1340 &amp; "'!" &amp; H1340, H1340), "")</f>
        <v>0</v>
      </c>
    </row>
    <row r="1341" spans="2:2">
      <c r="B1341" s="21">
        <f>IF(AND(C1341&lt;&gt;"", H1341&lt;&gt;""), HYPERLINK("#'" &amp; C1341 &amp; "'!" &amp; H1341, H1341), "")</f>
        <v>0</v>
      </c>
    </row>
    <row r="1342" spans="2:2">
      <c r="B1342" s="21">
        <f>IF(AND(C1342&lt;&gt;"", H1342&lt;&gt;""), HYPERLINK("#'" &amp; C1342 &amp; "'!" &amp; H1342, H1342), "")</f>
        <v>0</v>
      </c>
    </row>
    <row r="1343" spans="2:2">
      <c r="B1343" s="21">
        <f>IF(AND(C1343&lt;&gt;"", H1343&lt;&gt;""), HYPERLINK("#'" &amp; C1343 &amp; "'!" &amp; H1343, H1343), "")</f>
        <v>0</v>
      </c>
    </row>
    <row r="1344" spans="2:2">
      <c r="B1344" s="21">
        <f>IF(AND(C1344&lt;&gt;"", H1344&lt;&gt;""), HYPERLINK("#'" &amp; C1344 &amp; "'!" &amp; H1344, H1344), "")</f>
        <v>0</v>
      </c>
    </row>
    <row r="1345" spans="2:2">
      <c r="B1345" s="21">
        <f>IF(AND(C1345&lt;&gt;"", H1345&lt;&gt;""), HYPERLINK("#'" &amp; C1345 &amp; "'!" &amp; H1345, H1345), "")</f>
        <v>0</v>
      </c>
    </row>
    <row r="1346" spans="2:2">
      <c r="B1346" s="21">
        <f>IF(AND(C1346&lt;&gt;"", H1346&lt;&gt;""), HYPERLINK("#'" &amp; C1346 &amp; "'!" &amp; H1346, H1346), "")</f>
        <v>0</v>
      </c>
    </row>
    <row r="1347" spans="2:2">
      <c r="B1347" s="21">
        <f>IF(AND(C1347&lt;&gt;"", H1347&lt;&gt;""), HYPERLINK("#'" &amp; C1347 &amp; "'!" &amp; H1347, H1347), "")</f>
        <v>0</v>
      </c>
    </row>
    <row r="1348" spans="2:2">
      <c r="B1348" s="21">
        <f>IF(AND(C1348&lt;&gt;"", H1348&lt;&gt;""), HYPERLINK("#'" &amp; C1348 &amp; "'!" &amp; H1348, H1348), "")</f>
        <v>0</v>
      </c>
    </row>
    <row r="1349" spans="2:2">
      <c r="B1349" s="21">
        <f>IF(AND(C1349&lt;&gt;"", H1349&lt;&gt;""), HYPERLINK("#'" &amp; C1349 &amp; "'!" &amp; H1349, H1349), "")</f>
        <v>0</v>
      </c>
    </row>
    <row r="1350" spans="2:2">
      <c r="B1350" s="21">
        <f>IF(AND(C1350&lt;&gt;"", H1350&lt;&gt;""), HYPERLINK("#'" &amp; C1350 &amp; "'!" &amp; H1350, H1350), "")</f>
        <v>0</v>
      </c>
    </row>
    <row r="1351" spans="2:2">
      <c r="B1351" s="21">
        <f>IF(AND(C1351&lt;&gt;"", H1351&lt;&gt;""), HYPERLINK("#'" &amp; C1351 &amp; "'!" &amp; H1351, H1351), "")</f>
        <v>0</v>
      </c>
    </row>
    <row r="1352" spans="2:2">
      <c r="B1352" s="21">
        <f>IF(AND(C1352&lt;&gt;"", H1352&lt;&gt;""), HYPERLINK("#'" &amp; C1352 &amp; "'!" &amp; H1352, H1352), "")</f>
        <v>0</v>
      </c>
    </row>
    <row r="1353" spans="2:2">
      <c r="B1353" s="21">
        <f>IF(AND(C1353&lt;&gt;"", H1353&lt;&gt;""), HYPERLINK("#'" &amp; C1353 &amp; "'!" &amp; H1353, H1353), "")</f>
        <v>0</v>
      </c>
    </row>
    <row r="1354" spans="2:2">
      <c r="B1354" s="21">
        <f>IF(AND(C1354&lt;&gt;"", H1354&lt;&gt;""), HYPERLINK("#'" &amp; C1354 &amp; "'!" &amp; H1354, H1354), "")</f>
        <v>0</v>
      </c>
    </row>
    <row r="1355" spans="2:2">
      <c r="B1355" s="21">
        <f>IF(AND(C1355&lt;&gt;"", H1355&lt;&gt;""), HYPERLINK("#'" &amp; C1355 &amp; "'!" &amp; H1355, H1355), "")</f>
        <v>0</v>
      </c>
    </row>
    <row r="1356" spans="2:2">
      <c r="B1356" s="21">
        <f>IF(AND(C1356&lt;&gt;"", H1356&lt;&gt;""), HYPERLINK("#'" &amp; C1356 &amp; "'!" &amp; H1356, H1356), "")</f>
        <v>0</v>
      </c>
    </row>
    <row r="1357" spans="2:2">
      <c r="B1357" s="21">
        <f>IF(AND(C1357&lt;&gt;"", H1357&lt;&gt;""), HYPERLINK("#'" &amp; C1357 &amp; "'!" &amp; H1357, H1357), "")</f>
        <v>0</v>
      </c>
    </row>
    <row r="1358" spans="2:2">
      <c r="B1358" s="21">
        <f>IF(AND(C1358&lt;&gt;"", H1358&lt;&gt;""), HYPERLINK("#'" &amp; C1358 &amp; "'!" &amp; H1358, H1358), "")</f>
        <v>0</v>
      </c>
    </row>
    <row r="1359" spans="2:2">
      <c r="B1359" s="21">
        <f>IF(AND(C1359&lt;&gt;"", H1359&lt;&gt;""), HYPERLINK("#'" &amp; C1359 &amp; "'!" &amp; H1359, H1359), "")</f>
        <v>0</v>
      </c>
    </row>
    <row r="1360" spans="2:2">
      <c r="B1360" s="21">
        <f>IF(AND(C1360&lt;&gt;"", H1360&lt;&gt;""), HYPERLINK("#'" &amp; C1360 &amp; "'!" &amp; H1360, H1360), "")</f>
        <v>0</v>
      </c>
    </row>
    <row r="1361" spans="2:2">
      <c r="B1361" s="21">
        <f>IF(AND(C1361&lt;&gt;"", H1361&lt;&gt;""), HYPERLINK("#'" &amp; C1361 &amp; "'!" &amp; H1361, H1361), "")</f>
        <v>0</v>
      </c>
    </row>
    <row r="1362" spans="2:2">
      <c r="B1362" s="21">
        <f>IF(AND(C1362&lt;&gt;"", H1362&lt;&gt;""), HYPERLINK("#'" &amp; C1362 &amp; "'!" &amp; H1362, H1362), "")</f>
        <v>0</v>
      </c>
    </row>
    <row r="1363" spans="2:2">
      <c r="B1363" s="21">
        <f>IF(AND(C1363&lt;&gt;"", H1363&lt;&gt;""), HYPERLINK("#'" &amp; C1363 &amp; "'!" &amp; H1363, H1363), "")</f>
        <v>0</v>
      </c>
    </row>
    <row r="1364" spans="2:2">
      <c r="B1364" s="21">
        <f>IF(AND(C1364&lt;&gt;"", H1364&lt;&gt;""), HYPERLINK("#'" &amp; C1364 &amp; "'!" &amp; H1364, H1364), "")</f>
        <v>0</v>
      </c>
    </row>
    <row r="1365" spans="2:2">
      <c r="B1365" s="21">
        <f>IF(AND(C1365&lt;&gt;"", H1365&lt;&gt;""), HYPERLINK("#'" &amp; C1365 &amp; "'!" &amp; H1365, H1365), "")</f>
        <v>0</v>
      </c>
    </row>
    <row r="1366" spans="2:2">
      <c r="B1366" s="21">
        <f>IF(AND(C1366&lt;&gt;"", H1366&lt;&gt;""), HYPERLINK("#'" &amp; C1366 &amp; "'!" &amp; H1366, H1366), "")</f>
        <v>0</v>
      </c>
    </row>
    <row r="1367" spans="2:2">
      <c r="B1367" s="21">
        <f>IF(AND(C1367&lt;&gt;"", H1367&lt;&gt;""), HYPERLINK("#'" &amp; C1367 &amp; "'!" &amp; H1367, H1367), "")</f>
        <v>0</v>
      </c>
    </row>
    <row r="1368" spans="2:2">
      <c r="B1368" s="21">
        <f>IF(AND(C1368&lt;&gt;"", H1368&lt;&gt;""), HYPERLINK("#'" &amp; C1368 &amp; "'!" &amp; H1368, H1368), "")</f>
        <v>0</v>
      </c>
    </row>
    <row r="1369" spans="2:2">
      <c r="B1369" s="21">
        <f>IF(AND(C1369&lt;&gt;"", H1369&lt;&gt;""), HYPERLINK("#'" &amp; C1369 &amp; "'!" &amp; H1369, H1369), "")</f>
        <v>0</v>
      </c>
    </row>
    <row r="1370" spans="2:2">
      <c r="B1370" s="21">
        <f>IF(AND(C1370&lt;&gt;"", H1370&lt;&gt;""), HYPERLINK("#'" &amp; C1370 &amp; "'!" &amp; H1370, H1370), "")</f>
        <v>0</v>
      </c>
    </row>
    <row r="1371" spans="2:2">
      <c r="B1371" s="21">
        <f>IF(AND(C1371&lt;&gt;"", H1371&lt;&gt;""), HYPERLINK("#'" &amp; C1371 &amp; "'!" &amp; H1371, H1371), "")</f>
        <v>0</v>
      </c>
    </row>
    <row r="1372" spans="2:2">
      <c r="B1372" s="21">
        <f>IF(AND(C1372&lt;&gt;"", H1372&lt;&gt;""), HYPERLINK("#'" &amp; C1372 &amp; "'!" &amp; H1372, H1372), "")</f>
        <v>0</v>
      </c>
    </row>
    <row r="1373" spans="2:2">
      <c r="B1373" s="21">
        <f>IF(AND(C1373&lt;&gt;"", H1373&lt;&gt;""), HYPERLINK("#'" &amp; C1373 &amp; "'!" &amp; H1373, H1373), "")</f>
        <v>0</v>
      </c>
    </row>
    <row r="1374" spans="2:2">
      <c r="B1374" s="21">
        <f>IF(AND(C1374&lt;&gt;"", H1374&lt;&gt;""), HYPERLINK("#'" &amp; C1374 &amp; "'!" &amp; H1374, H1374), "")</f>
        <v>0</v>
      </c>
    </row>
    <row r="1375" spans="2:2">
      <c r="B1375" s="21">
        <f>IF(AND(C1375&lt;&gt;"", H1375&lt;&gt;""), HYPERLINK("#'" &amp; C1375 &amp; "'!" &amp; H1375, H1375), "")</f>
        <v>0</v>
      </c>
    </row>
    <row r="1376" spans="2:2">
      <c r="B1376" s="21">
        <f>IF(AND(C1376&lt;&gt;"", H1376&lt;&gt;""), HYPERLINK("#'" &amp; C1376 &amp; "'!" &amp; H1376, H1376), "")</f>
        <v>0</v>
      </c>
    </row>
    <row r="1377" spans="2:2">
      <c r="B1377" s="21">
        <f>IF(AND(C1377&lt;&gt;"", H1377&lt;&gt;""), HYPERLINK("#'" &amp; C1377 &amp; "'!" &amp; H1377, H1377), "")</f>
        <v>0</v>
      </c>
    </row>
    <row r="1378" spans="2:2">
      <c r="B1378" s="21">
        <f>IF(AND(C1378&lt;&gt;"", H1378&lt;&gt;""), HYPERLINK("#'" &amp; C1378 &amp; "'!" &amp; H1378, H1378), "")</f>
        <v>0</v>
      </c>
    </row>
    <row r="1379" spans="2:2">
      <c r="B1379" s="21">
        <f>IF(AND(C1379&lt;&gt;"", H1379&lt;&gt;""), HYPERLINK("#'" &amp; C1379 &amp; "'!" &amp; H1379, H1379), "")</f>
        <v>0</v>
      </c>
    </row>
    <row r="1380" spans="2:2">
      <c r="B1380" s="21">
        <f>IF(AND(C1380&lt;&gt;"", H1380&lt;&gt;""), HYPERLINK("#'" &amp; C1380 &amp; "'!" &amp; H1380, H1380), "")</f>
        <v>0</v>
      </c>
    </row>
    <row r="1381" spans="2:2">
      <c r="B1381" s="21">
        <f>IF(AND(C1381&lt;&gt;"", H1381&lt;&gt;""), HYPERLINK("#'" &amp; C1381 &amp; "'!" &amp; H1381, H1381), "")</f>
        <v>0</v>
      </c>
    </row>
    <row r="1382" spans="2:2">
      <c r="B1382" s="21">
        <f>IF(AND(C1382&lt;&gt;"", H1382&lt;&gt;""), HYPERLINK("#'" &amp; C1382 &amp; "'!" &amp; H1382, H1382), "")</f>
        <v>0</v>
      </c>
    </row>
    <row r="1383" spans="2:2">
      <c r="B1383" s="21">
        <f>IF(AND(C1383&lt;&gt;"", H1383&lt;&gt;""), HYPERLINK("#'" &amp; C1383 &amp; "'!" &amp; H1383, H1383), "")</f>
        <v>0</v>
      </c>
    </row>
    <row r="1384" spans="2:2">
      <c r="B1384" s="21">
        <f>IF(AND(C1384&lt;&gt;"", H1384&lt;&gt;""), HYPERLINK("#'" &amp; C1384 &amp; "'!" &amp; H1384, H1384), "")</f>
        <v>0</v>
      </c>
    </row>
    <row r="1385" spans="2:2">
      <c r="B1385" s="21">
        <f>IF(AND(C1385&lt;&gt;"", H1385&lt;&gt;""), HYPERLINK("#'" &amp; C1385 &amp; "'!" &amp; H1385, H1385), "")</f>
        <v>0</v>
      </c>
    </row>
    <row r="1386" spans="2:2">
      <c r="B1386" s="21">
        <f>IF(AND(C1386&lt;&gt;"", H1386&lt;&gt;""), HYPERLINK("#'" &amp; C1386 &amp; "'!" &amp; H1386, H1386), "")</f>
        <v>0</v>
      </c>
    </row>
    <row r="1387" spans="2:2">
      <c r="B1387" s="21">
        <f>IF(AND(C1387&lt;&gt;"", H1387&lt;&gt;""), HYPERLINK("#'" &amp; C1387 &amp; "'!" &amp; H1387, H1387), "")</f>
        <v>0</v>
      </c>
    </row>
    <row r="1388" spans="2:2">
      <c r="B1388" s="21">
        <f>IF(AND(C1388&lt;&gt;"", H1388&lt;&gt;""), HYPERLINK("#'" &amp; C1388 &amp; "'!" &amp; H1388, H1388), "")</f>
        <v>0</v>
      </c>
    </row>
    <row r="1389" spans="2:2">
      <c r="B1389" s="21">
        <f>IF(AND(C1389&lt;&gt;"", H1389&lt;&gt;""), HYPERLINK("#'" &amp; C1389 &amp; "'!" &amp; H1389, H1389), "")</f>
        <v>0</v>
      </c>
    </row>
    <row r="1390" spans="2:2">
      <c r="B1390" s="21">
        <f>IF(AND(C1390&lt;&gt;"", H1390&lt;&gt;""), HYPERLINK("#'" &amp; C1390 &amp; "'!" &amp; H1390, H1390), "")</f>
        <v>0</v>
      </c>
    </row>
    <row r="1391" spans="2:2">
      <c r="B1391" s="21">
        <f>IF(AND(C1391&lt;&gt;"", H1391&lt;&gt;""), HYPERLINK("#'" &amp; C1391 &amp; "'!" &amp; H1391, H1391), "")</f>
        <v>0</v>
      </c>
    </row>
    <row r="1392" spans="2:2">
      <c r="B1392" s="21">
        <f>IF(AND(C1392&lt;&gt;"", H1392&lt;&gt;""), HYPERLINK("#'" &amp; C1392 &amp; "'!" &amp; H1392, H1392), "")</f>
        <v>0</v>
      </c>
    </row>
    <row r="1393" spans="2:2">
      <c r="B1393" s="21">
        <f>IF(AND(C1393&lt;&gt;"", H1393&lt;&gt;""), HYPERLINK("#'" &amp; C1393 &amp; "'!" &amp; H1393, H1393), "")</f>
        <v>0</v>
      </c>
    </row>
    <row r="1394" spans="2:2">
      <c r="B1394" s="21">
        <f>IF(AND(C1394&lt;&gt;"", H1394&lt;&gt;""), HYPERLINK("#'" &amp; C1394 &amp; "'!" &amp; H1394, H1394), "")</f>
        <v>0</v>
      </c>
    </row>
    <row r="1395" spans="2:2">
      <c r="B1395" s="21">
        <f>IF(AND(C1395&lt;&gt;"", H1395&lt;&gt;""), HYPERLINK("#'" &amp; C1395 &amp; "'!" &amp; H1395, H1395), "")</f>
        <v>0</v>
      </c>
    </row>
    <row r="1396" spans="2:2">
      <c r="B1396" s="21">
        <f>IF(AND(C1396&lt;&gt;"", H1396&lt;&gt;""), HYPERLINK("#'" &amp; C1396 &amp; "'!" &amp; H1396, H1396), "")</f>
        <v>0</v>
      </c>
    </row>
    <row r="1397" spans="2:2">
      <c r="B1397" s="21">
        <f>IF(AND(C1397&lt;&gt;"", H1397&lt;&gt;""), HYPERLINK("#'" &amp; C1397 &amp; "'!" &amp; H1397, H1397), "")</f>
        <v>0</v>
      </c>
    </row>
    <row r="1398" spans="2:2">
      <c r="B1398" s="21">
        <f>IF(AND(C1398&lt;&gt;"", H1398&lt;&gt;""), HYPERLINK("#'" &amp; C1398 &amp; "'!" &amp; H1398, H1398), "")</f>
        <v>0</v>
      </c>
    </row>
    <row r="1399" spans="2:2">
      <c r="B1399" s="21">
        <f>IF(AND(C1399&lt;&gt;"", H1399&lt;&gt;""), HYPERLINK("#'" &amp; C1399 &amp; "'!" &amp; H1399, H1399), "")</f>
        <v>0</v>
      </c>
    </row>
    <row r="1400" spans="2:2">
      <c r="B1400" s="21">
        <f>IF(AND(C1400&lt;&gt;"", H1400&lt;&gt;""), HYPERLINK("#'" &amp; C1400 &amp; "'!" &amp; H1400, H1400), "")</f>
        <v>0</v>
      </c>
    </row>
    <row r="1401" spans="2:2">
      <c r="B1401" s="21">
        <f>IF(AND(C1401&lt;&gt;"", H1401&lt;&gt;""), HYPERLINK("#'" &amp; C1401 &amp; "'!" &amp; H1401, H1401), "")</f>
        <v>0</v>
      </c>
    </row>
    <row r="1402" spans="2:2">
      <c r="B1402" s="21">
        <f>IF(AND(C1402&lt;&gt;"", H1402&lt;&gt;""), HYPERLINK("#'" &amp; C1402 &amp; "'!" &amp; H1402, H1402), "")</f>
        <v>0</v>
      </c>
    </row>
    <row r="1403" spans="2:2">
      <c r="B1403" s="21">
        <f>IF(AND(C1403&lt;&gt;"", H1403&lt;&gt;""), HYPERLINK("#'" &amp; C1403 &amp; "'!" &amp; H1403, H1403), "")</f>
        <v>0</v>
      </c>
    </row>
    <row r="1404" spans="2:2">
      <c r="B1404" s="21">
        <f>IF(AND(C1404&lt;&gt;"", H1404&lt;&gt;""), HYPERLINK("#'" &amp; C1404 &amp; "'!" &amp; H1404, H1404), "")</f>
        <v>0</v>
      </c>
    </row>
    <row r="1405" spans="2:2">
      <c r="B1405" s="21">
        <f>IF(AND(C1405&lt;&gt;"", H1405&lt;&gt;""), HYPERLINK("#'" &amp; C1405 &amp; "'!" &amp; H1405, H1405), "")</f>
        <v>0</v>
      </c>
    </row>
    <row r="1406" spans="2:2">
      <c r="B1406" s="21">
        <f>IF(AND(C1406&lt;&gt;"", H1406&lt;&gt;""), HYPERLINK("#'" &amp; C1406 &amp; "'!" &amp; H1406, H1406), "")</f>
        <v>0</v>
      </c>
    </row>
    <row r="1407" spans="2:2">
      <c r="B1407" s="21">
        <f>IF(AND(C1407&lt;&gt;"", H1407&lt;&gt;""), HYPERLINK("#'" &amp; C1407 &amp; "'!" &amp; H1407, H1407), "")</f>
        <v>0</v>
      </c>
    </row>
    <row r="1408" spans="2:2">
      <c r="B1408" s="21">
        <f>IF(AND(C1408&lt;&gt;"", H1408&lt;&gt;""), HYPERLINK("#'" &amp; C1408 &amp; "'!" &amp; H1408, H1408), "")</f>
        <v>0</v>
      </c>
    </row>
    <row r="1409" spans="2:2">
      <c r="B1409" s="21">
        <f>IF(AND(C1409&lt;&gt;"", H1409&lt;&gt;""), HYPERLINK("#'" &amp; C1409 &amp; "'!" &amp; H1409, H1409), "")</f>
        <v>0</v>
      </c>
    </row>
    <row r="1410" spans="2:2">
      <c r="B1410" s="21">
        <f>IF(AND(C1410&lt;&gt;"", H1410&lt;&gt;""), HYPERLINK("#'" &amp; C1410 &amp; "'!" &amp; H1410, H1410), "")</f>
        <v>0</v>
      </c>
    </row>
    <row r="1411" spans="2:2">
      <c r="B1411" s="21">
        <f>IF(AND(C1411&lt;&gt;"", H1411&lt;&gt;""), HYPERLINK("#'" &amp; C1411 &amp; "'!" &amp; H1411, H1411), "")</f>
        <v>0</v>
      </c>
    </row>
    <row r="1412" spans="2:2">
      <c r="B1412" s="21">
        <f>IF(AND(C1412&lt;&gt;"", H1412&lt;&gt;""), HYPERLINK("#'" &amp; C1412 &amp; "'!" &amp; H1412, H1412), "")</f>
        <v>0</v>
      </c>
    </row>
    <row r="1413" spans="2:2">
      <c r="B1413" s="21">
        <f>IF(AND(C1413&lt;&gt;"", H1413&lt;&gt;""), HYPERLINK("#'" &amp; C1413 &amp; "'!" &amp; H1413, H1413), "")</f>
        <v>0</v>
      </c>
    </row>
    <row r="1414" spans="2:2">
      <c r="B1414" s="21">
        <f>IF(AND(C1414&lt;&gt;"", H1414&lt;&gt;""), HYPERLINK("#'" &amp; C1414 &amp; "'!" &amp; H1414, H1414), "")</f>
        <v>0</v>
      </c>
    </row>
    <row r="1415" spans="2:2">
      <c r="B1415" s="21">
        <f>IF(AND(C1415&lt;&gt;"", H1415&lt;&gt;""), HYPERLINK("#'" &amp; C1415 &amp; "'!" &amp; H1415, H1415), "")</f>
        <v>0</v>
      </c>
    </row>
    <row r="1416" spans="2:2">
      <c r="B1416" s="21">
        <f>IF(AND(C1416&lt;&gt;"", H1416&lt;&gt;""), HYPERLINK("#'" &amp; C1416 &amp; "'!" &amp; H1416, H1416), "")</f>
        <v>0</v>
      </c>
    </row>
    <row r="1417" spans="2:2">
      <c r="B1417" s="21">
        <f>IF(AND(C1417&lt;&gt;"", H1417&lt;&gt;""), HYPERLINK("#'" &amp; C1417 &amp; "'!" &amp; H1417, H1417), "")</f>
        <v>0</v>
      </c>
    </row>
    <row r="1418" spans="2:2">
      <c r="B1418" s="21">
        <f>IF(AND(C1418&lt;&gt;"", H1418&lt;&gt;""), HYPERLINK("#'" &amp; C1418 &amp; "'!" &amp; H1418, H1418), "")</f>
        <v>0</v>
      </c>
    </row>
    <row r="1419" spans="2:2">
      <c r="B1419" s="21">
        <f>IF(AND(C1419&lt;&gt;"", H1419&lt;&gt;""), HYPERLINK("#'" &amp; C1419 &amp; "'!" &amp; H1419, H1419), "")</f>
        <v>0</v>
      </c>
    </row>
    <row r="1420" spans="2:2">
      <c r="B1420" s="21">
        <f>IF(AND(C1420&lt;&gt;"", H1420&lt;&gt;""), HYPERLINK("#'" &amp; C1420 &amp; "'!" &amp; H1420, H1420), "")</f>
        <v>0</v>
      </c>
    </row>
    <row r="1421" spans="2:2">
      <c r="B1421" s="21">
        <f>IF(AND(C1421&lt;&gt;"", H1421&lt;&gt;""), HYPERLINK("#'" &amp; C1421 &amp; "'!" &amp; H1421, H1421), "")</f>
        <v>0</v>
      </c>
    </row>
    <row r="1422" spans="2:2">
      <c r="B1422" s="21">
        <f>IF(AND(C1422&lt;&gt;"", H1422&lt;&gt;""), HYPERLINK("#'" &amp; C1422 &amp; "'!" &amp; H1422, H1422), "")</f>
        <v>0</v>
      </c>
    </row>
    <row r="1423" spans="2:2">
      <c r="B1423" s="21">
        <f>IF(AND(C1423&lt;&gt;"", H1423&lt;&gt;""), HYPERLINK("#'" &amp; C1423 &amp; "'!" &amp; H1423, H1423), "")</f>
        <v>0</v>
      </c>
    </row>
    <row r="1424" spans="2:2">
      <c r="B1424" s="21">
        <f>IF(AND(C1424&lt;&gt;"", H1424&lt;&gt;""), HYPERLINK("#'" &amp; C1424 &amp; "'!" &amp; H1424, H1424), "")</f>
        <v>0</v>
      </c>
    </row>
    <row r="1425" spans="2:2">
      <c r="B1425" s="21">
        <f>IF(AND(C1425&lt;&gt;"", H1425&lt;&gt;""), HYPERLINK("#'" &amp; C1425 &amp; "'!" &amp; H1425, H1425), "")</f>
        <v>0</v>
      </c>
    </row>
    <row r="1426" spans="2:2">
      <c r="B1426" s="21">
        <f>IF(AND(C1426&lt;&gt;"", H1426&lt;&gt;""), HYPERLINK("#'" &amp; C1426 &amp; "'!" &amp; H1426, H1426), "")</f>
        <v>0</v>
      </c>
    </row>
    <row r="1427" spans="2:2">
      <c r="B1427" s="21">
        <f>IF(AND(C1427&lt;&gt;"", H1427&lt;&gt;""), HYPERLINK("#'" &amp; C1427 &amp; "'!" &amp; H1427, H1427), "")</f>
        <v>0</v>
      </c>
    </row>
    <row r="1428" spans="2:2">
      <c r="B1428" s="21">
        <f>IF(AND(C1428&lt;&gt;"", H1428&lt;&gt;""), HYPERLINK("#'" &amp; C1428 &amp; "'!" &amp; H1428, H1428), "")</f>
        <v>0</v>
      </c>
    </row>
    <row r="1429" spans="2:2">
      <c r="B1429" s="21">
        <f>IF(AND(C1429&lt;&gt;"", H1429&lt;&gt;""), HYPERLINK("#'" &amp; C1429 &amp; "'!" &amp; H1429, H1429), "")</f>
        <v>0</v>
      </c>
    </row>
    <row r="1430" spans="2:2">
      <c r="B1430" s="21">
        <f>IF(AND(C1430&lt;&gt;"", H1430&lt;&gt;""), HYPERLINK("#'" &amp; C1430 &amp; "'!" &amp; H1430, H1430), "")</f>
        <v>0</v>
      </c>
    </row>
    <row r="1431" spans="2:2">
      <c r="B1431" s="21">
        <f>IF(AND(C1431&lt;&gt;"", H1431&lt;&gt;""), HYPERLINK("#'" &amp; C1431 &amp; "'!" &amp; H1431, H1431), "")</f>
        <v>0</v>
      </c>
    </row>
    <row r="1432" spans="2:2">
      <c r="B1432" s="21">
        <f>IF(AND(C1432&lt;&gt;"", H1432&lt;&gt;""), HYPERLINK("#'" &amp; C1432 &amp; "'!" &amp; H1432, H1432), "")</f>
        <v>0</v>
      </c>
    </row>
    <row r="1433" spans="2:2">
      <c r="B1433" s="21">
        <f>IF(AND(C1433&lt;&gt;"", H1433&lt;&gt;""), HYPERLINK("#'" &amp; C1433 &amp; "'!" &amp; H1433, H1433), "")</f>
        <v>0</v>
      </c>
    </row>
    <row r="1434" spans="2:2">
      <c r="B1434" s="21">
        <f>IF(AND(C1434&lt;&gt;"", H1434&lt;&gt;""), HYPERLINK("#'" &amp; C1434 &amp; "'!" &amp; H1434, H1434), "")</f>
        <v>0</v>
      </c>
    </row>
    <row r="1435" spans="2:2">
      <c r="B1435" s="21">
        <f>IF(AND(C1435&lt;&gt;"", H1435&lt;&gt;""), HYPERLINK("#'" &amp; C1435 &amp; "'!" &amp; H1435, H1435), "")</f>
        <v>0</v>
      </c>
    </row>
    <row r="1436" spans="2:2">
      <c r="B1436" s="21">
        <f>IF(AND(C1436&lt;&gt;"", H1436&lt;&gt;""), HYPERLINK("#'" &amp; C1436 &amp; "'!" &amp; H1436, H1436), "")</f>
        <v>0</v>
      </c>
    </row>
    <row r="1437" spans="2:2">
      <c r="B1437" s="21">
        <f>IF(AND(C1437&lt;&gt;"", H1437&lt;&gt;""), HYPERLINK("#'" &amp; C1437 &amp; "'!" &amp; H1437, H1437), "")</f>
        <v>0</v>
      </c>
    </row>
    <row r="1438" spans="2:2">
      <c r="B1438" s="21">
        <f>IF(AND(C1438&lt;&gt;"", H1438&lt;&gt;""), HYPERLINK("#'" &amp; C1438 &amp; "'!" &amp; H1438, H1438), "")</f>
        <v>0</v>
      </c>
    </row>
    <row r="1439" spans="2:2">
      <c r="B1439" s="21">
        <f>IF(AND(C1439&lt;&gt;"", H1439&lt;&gt;""), HYPERLINK("#'" &amp; C1439 &amp; "'!" &amp; H1439, H1439), "")</f>
        <v>0</v>
      </c>
    </row>
    <row r="1440" spans="2:2">
      <c r="B1440" s="21">
        <f>IF(AND(C1440&lt;&gt;"", H1440&lt;&gt;""), HYPERLINK("#'" &amp; C1440 &amp; "'!" &amp; H1440, H1440), "")</f>
        <v>0</v>
      </c>
    </row>
    <row r="1441" spans="2:2">
      <c r="B1441" s="21">
        <f>IF(AND(C1441&lt;&gt;"", H1441&lt;&gt;""), HYPERLINK("#'" &amp; C1441 &amp; "'!" &amp; H1441, H1441), "")</f>
        <v>0</v>
      </c>
    </row>
    <row r="1442" spans="2:2">
      <c r="B1442" s="21">
        <f>IF(AND(C1442&lt;&gt;"", H1442&lt;&gt;""), HYPERLINK("#'" &amp; C1442 &amp; "'!" &amp; H1442, H1442), "")</f>
        <v>0</v>
      </c>
    </row>
    <row r="1443" spans="2:2">
      <c r="B1443" s="21">
        <f>IF(AND(C1443&lt;&gt;"", H1443&lt;&gt;""), HYPERLINK("#'" &amp; C1443 &amp; "'!" &amp; H1443, H1443), "")</f>
        <v>0</v>
      </c>
    </row>
    <row r="1444" spans="2:2">
      <c r="B1444" s="21">
        <f>IF(AND(C1444&lt;&gt;"", H1444&lt;&gt;""), HYPERLINK("#'" &amp; C1444 &amp; "'!" &amp; H1444, H1444), "")</f>
        <v>0</v>
      </c>
    </row>
    <row r="1445" spans="2:2">
      <c r="B1445" s="21">
        <f>IF(AND(C1445&lt;&gt;"", H1445&lt;&gt;""), HYPERLINK("#'" &amp; C1445 &amp; "'!" &amp; H1445, H1445), "")</f>
        <v>0</v>
      </c>
    </row>
    <row r="1446" spans="2:2">
      <c r="B1446" s="21">
        <f>IF(AND(C1446&lt;&gt;"", H1446&lt;&gt;""), HYPERLINK("#'" &amp; C1446 &amp; "'!" &amp; H1446, H1446), "")</f>
        <v>0</v>
      </c>
    </row>
    <row r="1447" spans="2:2">
      <c r="B1447" s="21">
        <f>IF(AND(C1447&lt;&gt;"", H1447&lt;&gt;""), HYPERLINK("#'" &amp; C1447 &amp; "'!" &amp; H1447, H1447), "")</f>
        <v>0</v>
      </c>
    </row>
    <row r="1448" spans="2:2">
      <c r="B1448" s="21">
        <f>IF(AND(C1448&lt;&gt;"", H1448&lt;&gt;""), HYPERLINK("#'" &amp; C1448 &amp; "'!" &amp; H1448, H1448), "")</f>
        <v>0</v>
      </c>
    </row>
    <row r="1449" spans="2:2">
      <c r="B1449" s="21">
        <f>IF(AND(C1449&lt;&gt;"", H1449&lt;&gt;""), HYPERLINK("#'" &amp; C1449 &amp; "'!" &amp; H1449, H1449), "")</f>
        <v>0</v>
      </c>
    </row>
    <row r="1450" spans="2:2">
      <c r="B1450" s="21">
        <f>IF(AND(C1450&lt;&gt;"", H1450&lt;&gt;""), HYPERLINK("#'" &amp; C1450 &amp; "'!" &amp; H1450, H1450), "")</f>
        <v>0</v>
      </c>
    </row>
    <row r="1451" spans="2:2">
      <c r="B1451" s="21">
        <f>IF(AND(C1451&lt;&gt;"", H1451&lt;&gt;""), HYPERLINK("#'" &amp; C1451 &amp; "'!" &amp; H1451, H1451), "")</f>
        <v>0</v>
      </c>
    </row>
    <row r="1452" spans="2:2">
      <c r="B1452" s="21">
        <f>IF(AND(C1452&lt;&gt;"", H1452&lt;&gt;""), HYPERLINK("#'" &amp; C1452 &amp; "'!" &amp; H1452, H1452), "")</f>
        <v>0</v>
      </c>
    </row>
    <row r="1453" spans="2:2">
      <c r="B1453" s="21">
        <f>IF(AND(C1453&lt;&gt;"", H1453&lt;&gt;""), HYPERLINK("#'" &amp; C1453 &amp; "'!" &amp; H1453, H1453), "")</f>
        <v>0</v>
      </c>
    </row>
    <row r="1454" spans="2:2">
      <c r="B1454" s="21">
        <f>IF(AND(C1454&lt;&gt;"", H1454&lt;&gt;""), HYPERLINK("#'" &amp; C1454 &amp; "'!" &amp; H1454, H1454), "")</f>
        <v>0</v>
      </c>
    </row>
    <row r="1455" spans="2:2">
      <c r="B1455" s="21">
        <f>IF(AND(C1455&lt;&gt;"", H1455&lt;&gt;""), HYPERLINK("#'" &amp; C1455 &amp; "'!" &amp; H1455, H1455), "")</f>
        <v>0</v>
      </c>
    </row>
    <row r="1456" spans="2:2">
      <c r="B1456" s="21">
        <f>IF(AND(C1456&lt;&gt;"", H1456&lt;&gt;""), HYPERLINK("#'" &amp; C1456 &amp; "'!" &amp; H1456, H1456), "")</f>
        <v>0</v>
      </c>
    </row>
    <row r="1457" spans="2:2">
      <c r="B1457" s="21">
        <f>IF(AND(C1457&lt;&gt;"", H1457&lt;&gt;""), HYPERLINK("#'" &amp; C1457 &amp; "'!" &amp; H1457, H1457), "")</f>
        <v>0</v>
      </c>
    </row>
    <row r="1458" spans="2:2">
      <c r="B1458" s="21">
        <f>IF(AND(C1458&lt;&gt;"", H1458&lt;&gt;""), HYPERLINK("#'" &amp; C1458 &amp; "'!" &amp; H1458, H1458), "")</f>
        <v>0</v>
      </c>
    </row>
    <row r="1459" spans="2:2">
      <c r="B1459" s="21">
        <f>IF(AND(C1459&lt;&gt;"", H1459&lt;&gt;""), HYPERLINK("#'" &amp; C1459 &amp; "'!" &amp; H1459, H1459), "")</f>
        <v>0</v>
      </c>
    </row>
    <row r="1460" spans="2:2">
      <c r="B1460" s="21">
        <f>IF(AND(C1460&lt;&gt;"", H1460&lt;&gt;""), HYPERLINK("#'" &amp; C1460 &amp; "'!" &amp; H1460, H1460), "")</f>
        <v>0</v>
      </c>
    </row>
    <row r="1461" spans="2:2">
      <c r="B1461" s="21">
        <f>IF(AND(C1461&lt;&gt;"", H1461&lt;&gt;""), HYPERLINK("#'" &amp; C1461 &amp; "'!" &amp; H1461, H1461), "")</f>
        <v>0</v>
      </c>
    </row>
    <row r="1462" spans="2:2">
      <c r="B1462" s="21">
        <f>IF(AND(C1462&lt;&gt;"", H1462&lt;&gt;""), HYPERLINK("#'" &amp; C1462 &amp; "'!" &amp; H1462, H1462), "")</f>
        <v>0</v>
      </c>
    </row>
    <row r="1463" spans="2:2">
      <c r="B1463" s="21">
        <f>IF(AND(C1463&lt;&gt;"", H1463&lt;&gt;""), HYPERLINK("#'" &amp; C1463 &amp; "'!" &amp; H1463, H1463), "")</f>
        <v>0</v>
      </c>
    </row>
    <row r="1464" spans="2:2">
      <c r="B1464" s="21">
        <f>IF(AND(C1464&lt;&gt;"", H1464&lt;&gt;""), HYPERLINK("#'" &amp; C1464 &amp; "'!" &amp; H1464, H1464), "")</f>
        <v>0</v>
      </c>
    </row>
    <row r="1465" spans="2:2">
      <c r="B1465" s="21">
        <f>IF(AND(C1465&lt;&gt;"", H1465&lt;&gt;""), HYPERLINK("#'" &amp; C1465 &amp; "'!" &amp; H1465, H1465), "")</f>
        <v>0</v>
      </c>
    </row>
    <row r="1466" spans="2:2">
      <c r="B1466" s="21">
        <f>IF(AND(C1466&lt;&gt;"", H1466&lt;&gt;""), HYPERLINK("#'" &amp; C1466 &amp; "'!" &amp; H1466, H1466), "")</f>
        <v>0</v>
      </c>
    </row>
    <row r="1467" spans="2:2">
      <c r="B1467" s="21">
        <f>IF(AND(C1467&lt;&gt;"", H1467&lt;&gt;""), HYPERLINK("#'" &amp; C1467 &amp; "'!" &amp; H1467, H1467), "")</f>
        <v>0</v>
      </c>
    </row>
    <row r="1468" spans="2:2">
      <c r="B1468" s="21">
        <f>IF(AND(C1468&lt;&gt;"", H1468&lt;&gt;""), HYPERLINK("#'" &amp; C1468 &amp; "'!" &amp; H1468, H1468), "")</f>
        <v>0</v>
      </c>
    </row>
    <row r="1469" spans="2:2">
      <c r="B1469" s="21">
        <f>IF(AND(C1469&lt;&gt;"", H1469&lt;&gt;""), HYPERLINK("#'" &amp; C1469 &amp; "'!" &amp; H1469, H1469), "")</f>
        <v>0</v>
      </c>
    </row>
    <row r="1470" spans="2:2">
      <c r="B1470" s="21">
        <f>IF(AND(C1470&lt;&gt;"", H1470&lt;&gt;""), HYPERLINK("#'" &amp; C1470 &amp; "'!" &amp; H1470, H1470), "")</f>
        <v>0</v>
      </c>
    </row>
    <row r="1471" spans="2:2">
      <c r="B1471" s="21">
        <f>IF(AND(C1471&lt;&gt;"", H1471&lt;&gt;""), HYPERLINK("#'" &amp; C1471 &amp; "'!" &amp; H1471, H1471), "")</f>
        <v>0</v>
      </c>
    </row>
    <row r="1472" spans="2:2">
      <c r="B1472" s="21">
        <f>IF(AND(C1472&lt;&gt;"", H1472&lt;&gt;""), HYPERLINK("#'" &amp; C1472 &amp; "'!" &amp; H1472, H1472), "")</f>
        <v>0</v>
      </c>
    </row>
    <row r="1473" spans="2:2">
      <c r="B1473" s="21">
        <f>IF(AND(C1473&lt;&gt;"", H1473&lt;&gt;""), HYPERLINK("#'" &amp; C1473 &amp; "'!" &amp; H1473, H1473), "")</f>
        <v>0</v>
      </c>
    </row>
    <row r="1474" spans="2:2">
      <c r="B1474" s="21">
        <f>IF(AND(C1474&lt;&gt;"", H1474&lt;&gt;""), HYPERLINK("#'" &amp; C1474 &amp; "'!" &amp; H1474, H1474), "")</f>
        <v>0</v>
      </c>
    </row>
    <row r="1475" spans="2:2">
      <c r="B1475" s="21">
        <f>IF(AND(C1475&lt;&gt;"", H1475&lt;&gt;""), HYPERLINK("#'" &amp; C1475 &amp; "'!" &amp; H1475, H1475), "")</f>
        <v>0</v>
      </c>
    </row>
    <row r="1476" spans="2:2">
      <c r="B1476" s="21">
        <f>IF(AND(C1476&lt;&gt;"", H1476&lt;&gt;""), HYPERLINK("#'" &amp; C1476 &amp; "'!" &amp; H1476, H1476), "")</f>
        <v>0</v>
      </c>
    </row>
    <row r="1477" spans="2:2">
      <c r="B1477" s="21">
        <f>IF(AND(C1477&lt;&gt;"", H1477&lt;&gt;""), HYPERLINK("#'" &amp; C1477 &amp; "'!" &amp; H1477, H1477), "")</f>
        <v>0</v>
      </c>
    </row>
    <row r="1478" spans="2:2">
      <c r="B1478" s="21">
        <f>IF(AND(C1478&lt;&gt;"", H1478&lt;&gt;""), HYPERLINK("#'" &amp; C1478 &amp; "'!" &amp; H1478, H1478), "")</f>
        <v>0</v>
      </c>
    </row>
    <row r="1479" spans="2:2">
      <c r="B1479" s="21">
        <f>IF(AND(C1479&lt;&gt;"", H1479&lt;&gt;""), HYPERLINK("#'" &amp; C1479 &amp; "'!" &amp; H1479, H1479), "")</f>
        <v>0</v>
      </c>
    </row>
    <row r="1480" spans="2:2">
      <c r="B1480" s="21">
        <f>IF(AND(C1480&lt;&gt;"", H1480&lt;&gt;""), HYPERLINK("#'" &amp; C1480 &amp; "'!" &amp; H1480, H1480), "")</f>
        <v>0</v>
      </c>
    </row>
    <row r="1481" spans="2:2">
      <c r="B1481" s="21">
        <f>IF(AND(C1481&lt;&gt;"", H1481&lt;&gt;""), HYPERLINK("#'" &amp; C1481 &amp; "'!" &amp; H1481, H1481), "")</f>
        <v>0</v>
      </c>
    </row>
    <row r="1482" spans="2:2">
      <c r="B1482" s="21">
        <f>IF(AND(C1482&lt;&gt;"", H1482&lt;&gt;""), HYPERLINK("#'" &amp; C1482 &amp; "'!" &amp; H1482, H1482), "")</f>
        <v>0</v>
      </c>
    </row>
    <row r="1483" spans="2:2">
      <c r="B1483" s="21">
        <f>IF(AND(C1483&lt;&gt;"", H1483&lt;&gt;""), HYPERLINK("#'" &amp; C1483 &amp; "'!" &amp; H1483, H1483), "")</f>
        <v>0</v>
      </c>
    </row>
    <row r="1484" spans="2:2">
      <c r="B1484" s="21">
        <f>IF(AND(C1484&lt;&gt;"", H1484&lt;&gt;""), HYPERLINK("#'" &amp; C1484 &amp; "'!" &amp; H1484, H1484), "")</f>
        <v>0</v>
      </c>
    </row>
    <row r="1485" spans="2:2">
      <c r="B1485" s="21">
        <f>IF(AND(C1485&lt;&gt;"", H1485&lt;&gt;""), HYPERLINK("#'" &amp; C1485 &amp; "'!" &amp; H1485, H1485), "")</f>
        <v>0</v>
      </c>
    </row>
    <row r="1486" spans="2:2">
      <c r="B1486" s="21">
        <f>IF(AND(C1486&lt;&gt;"", H1486&lt;&gt;""), HYPERLINK("#'" &amp; C1486 &amp; "'!" &amp; H1486, H1486), "")</f>
        <v>0</v>
      </c>
    </row>
    <row r="1487" spans="2:2">
      <c r="B1487" s="21">
        <f>IF(AND(C1487&lt;&gt;"", H1487&lt;&gt;""), HYPERLINK("#'" &amp; C1487 &amp; "'!" &amp; H1487, H1487), "")</f>
        <v>0</v>
      </c>
    </row>
    <row r="1488" spans="2:2">
      <c r="B1488" s="21">
        <f>IF(AND(C1488&lt;&gt;"", H1488&lt;&gt;""), HYPERLINK("#'" &amp; C1488 &amp; "'!" &amp; H1488, H1488), "")</f>
        <v>0</v>
      </c>
    </row>
    <row r="1489" spans="2:2">
      <c r="B1489" s="21">
        <f>IF(AND(C1489&lt;&gt;"", H1489&lt;&gt;""), HYPERLINK("#'" &amp; C1489 &amp; "'!" &amp; H1489, H1489), "")</f>
        <v>0</v>
      </c>
    </row>
    <row r="1490" spans="2:2">
      <c r="B1490" s="21">
        <f>IF(AND(C1490&lt;&gt;"", H1490&lt;&gt;""), HYPERLINK("#'" &amp; C1490 &amp; "'!" &amp; H1490, H1490), "")</f>
        <v>0</v>
      </c>
    </row>
    <row r="1491" spans="2:2">
      <c r="B1491" s="21">
        <f>IF(AND(C1491&lt;&gt;"", H1491&lt;&gt;""), HYPERLINK("#'" &amp; C1491 &amp; "'!" &amp; H1491, H1491), "")</f>
        <v>0</v>
      </c>
    </row>
    <row r="1492" spans="2:2">
      <c r="B1492" s="21">
        <f>IF(AND(C1492&lt;&gt;"", H1492&lt;&gt;""), HYPERLINK("#'" &amp; C1492 &amp; "'!" &amp; H1492, H1492), "")</f>
        <v>0</v>
      </c>
    </row>
    <row r="1493" spans="2:2">
      <c r="B1493" s="21">
        <f>IF(AND(C1493&lt;&gt;"", H1493&lt;&gt;""), HYPERLINK("#'" &amp; C1493 &amp; "'!" &amp; H1493, H1493), "")</f>
        <v>0</v>
      </c>
    </row>
    <row r="1494" spans="2:2">
      <c r="B1494" s="21">
        <f>IF(AND(C1494&lt;&gt;"", H1494&lt;&gt;""), HYPERLINK("#'" &amp; C1494 &amp; "'!" &amp; H1494, H1494), "")</f>
        <v>0</v>
      </c>
    </row>
    <row r="1495" spans="2:2">
      <c r="B1495" s="21">
        <f>IF(AND(C1495&lt;&gt;"", H1495&lt;&gt;""), HYPERLINK("#'" &amp; C1495 &amp; "'!" &amp; H1495, H1495), "")</f>
        <v>0</v>
      </c>
    </row>
    <row r="1496" spans="2:2">
      <c r="B1496" s="21">
        <f>IF(AND(C1496&lt;&gt;"", H1496&lt;&gt;""), HYPERLINK("#'" &amp; C1496 &amp; "'!" &amp; H1496, H1496), "")</f>
        <v>0</v>
      </c>
    </row>
    <row r="1497" spans="2:2">
      <c r="B1497" s="21">
        <f>IF(AND(C1497&lt;&gt;"", H1497&lt;&gt;""), HYPERLINK("#'" &amp; C1497 &amp; "'!" &amp; H1497, H1497), "")</f>
        <v>0</v>
      </c>
    </row>
    <row r="1498" spans="2:2">
      <c r="B1498" s="21">
        <f>IF(AND(C1498&lt;&gt;"", H1498&lt;&gt;""), HYPERLINK("#'" &amp; C1498 &amp; "'!" &amp; H1498, H1498), "")</f>
        <v>0</v>
      </c>
    </row>
    <row r="1499" spans="2:2">
      <c r="B1499" s="21">
        <f>IF(AND(C1499&lt;&gt;"", H1499&lt;&gt;""), HYPERLINK("#'" &amp; C1499 &amp; "'!" &amp; H1499, H1499), "")</f>
        <v>0</v>
      </c>
    </row>
    <row r="1500" spans="2:2">
      <c r="B1500" s="21">
        <f>IF(AND(C1500&lt;&gt;"", H1500&lt;&gt;""), HYPERLINK("#'" &amp; C1500 &amp; "'!" &amp; H1500, H1500), "")</f>
        <v>0</v>
      </c>
    </row>
    <row r="1501" spans="2:2">
      <c r="B1501" s="21">
        <f>IF(AND(C1501&lt;&gt;"", H1501&lt;&gt;""), HYPERLINK("#'" &amp; C1501 &amp; "'!" &amp; H1501, H1501), "")</f>
        <v>0</v>
      </c>
    </row>
    <row r="1502" spans="2:2">
      <c r="B1502" s="21">
        <f>IF(AND(C1502&lt;&gt;"", H1502&lt;&gt;""), HYPERLINK("#'" &amp; C1502 &amp; "'!" &amp; H1502, H1502), "")</f>
        <v>0</v>
      </c>
    </row>
    <row r="1503" spans="2:2">
      <c r="B1503" s="21">
        <f>IF(AND(C1503&lt;&gt;"", H1503&lt;&gt;""), HYPERLINK("#'" &amp; C1503 &amp; "'!" &amp; H1503, H1503), "")</f>
        <v>0</v>
      </c>
    </row>
    <row r="1504" spans="2:2">
      <c r="B1504" s="21">
        <f>IF(AND(C1504&lt;&gt;"", H1504&lt;&gt;""), HYPERLINK("#'" &amp; C1504 &amp; "'!" &amp; H1504, H1504), "")</f>
        <v>0</v>
      </c>
    </row>
    <row r="1505" spans="2:2">
      <c r="B1505" s="21">
        <f>IF(AND(C1505&lt;&gt;"", H1505&lt;&gt;""), HYPERLINK("#'" &amp; C1505 &amp; "'!" &amp; H1505, H1505), "")</f>
        <v>0</v>
      </c>
    </row>
    <row r="1506" spans="2:2">
      <c r="B1506" s="21">
        <f>IF(AND(C1506&lt;&gt;"", H1506&lt;&gt;""), HYPERLINK("#'" &amp; C1506 &amp; "'!" &amp; H1506, H1506), "")</f>
        <v>0</v>
      </c>
    </row>
    <row r="1507" spans="2:2">
      <c r="B1507" s="21">
        <f>IF(AND(C1507&lt;&gt;"", H1507&lt;&gt;""), HYPERLINK("#'" &amp; C1507 &amp; "'!" &amp; H1507, H1507), "")</f>
        <v>0</v>
      </c>
    </row>
    <row r="1508" spans="2:2">
      <c r="B1508" s="21">
        <f>IF(AND(C1508&lt;&gt;"", H1508&lt;&gt;""), HYPERLINK("#'" &amp; C1508 &amp; "'!" &amp; H1508, H1508), "")</f>
        <v>0</v>
      </c>
    </row>
    <row r="1509" spans="2:2">
      <c r="B1509" s="21">
        <f>IF(AND(C1509&lt;&gt;"", H1509&lt;&gt;""), HYPERLINK("#'" &amp; C1509 &amp; "'!" &amp; H1509, H1509), "")</f>
        <v>0</v>
      </c>
    </row>
    <row r="1510" spans="2:2">
      <c r="B1510" s="21">
        <f>IF(AND(C1510&lt;&gt;"", H1510&lt;&gt;""), HYPERLINK("#'" &amp; C1510 &amp; "'!" &amp; H1510, H1510), "")</f>
        <v>0</v>
      </c>
    </row>
    <row r="1511" spans="2:2">
      <c r="B1511" s="21">
        <f>IF(AND(C1511&lt;&gt;"", H1511&lt;&gt;""), HYPERLINK("#'" &amp; C1511 &amp; "'!" &amp; H1511, H1511), "")</f>
        <v>0</v>
      </c>
    </row>
    <row r="1512" spans="2:2">
      <c r="B1512" s="21">
        <f>IF(AND(C1512&lt;&gt;"", H1512&lt;&gt;""), HYPERLINK("#'" &amp; C1512 &amp; "'!" &amp; H1512, H1512), "")</f>
        <v>0</v>
      </c>
    </row>
    <row r="1513" spans="2:2">
      <c r="B1513" s="21">
        <f>IF(AND(C1513&lt;&gt;"", H1513&lt;&gt;""), HYPERLINK("#'" &amp; C1513 &amp; "'!" &amp; H1513, H1513), "")</f>
        <v>0</v>
      </c>
    </row>
    <row r="1514" spans="2:2">
      <c r="B1514" s="21">
        <f>IF(AND(C1514&lt;&gt;"", H1514&lt;&gt;""), HYPERLINK("#'" &amp; C1514 &amp; "'!" &amp; H1514, H1514), "")</f>
        <v>0</v>
      </c>
    </row>
    <row r="1515" spans="2:2">
      <c r="B1515" s="21">
        <f>IF(AND(C1515&lt;&gt;"", H1515&lt;&gt;""), HYPERLINK("#'" &amp; C1515 &amp; "'!" &amp; H1515, H1515), "")</f>
        <v>0</v>
      </c>
    </row>
    <row r="1516" spans="2:2">
      <c r="B1516" s="21">
        <f>IF(AND(C1516&lt;&gt;"", H1516&lt;&gt;""), HYPERLINK("#'" &amp; C1516 &amp; "'!" &amp; H1516, H1516), "")</f>
        <v>0</v>
      </c>
    </row>
    <row r="1517" spans="2:2">
      <c r="B1517" s="21">
        <f>IF(AND(C1517&lt;&gt;"", H1517&lt;&gt;""), HYPERLINK("#'" &amp; C1517 &amp; "'!" &amp; H1517, H1517), "")</f>
        <v>0</v>
      </c>
    </row>
    <row r="1518" spans="2:2">
      <c r="B1518" s="21">
        <f>IF(AND(C1518&lt;&gt;"", H1518&lt;&gt;""), HYPERLINK("#'" &amp; C1518 &amp; "'!" &amp; H1518, H1518), "")</f>
        <v>0</v>
      </c>
    </row>
    <row r="1519" spans="2:2">
      <c r="B1519" s="21">
        <f>IF(AND(C1519&lt;&gt;"", H1519&lt;&gt;""), HYPERLINK("#'" &amp; C1519 &amp; "'!" &amp; H1519, H1519), "")</f>
        <v>0</v>
      </c>
    </row>
    <row r="1520" spans="2:2">
      <c r="B1520" s="21">
        <f>IF(AND(C1520&lt;&gt;"", H1520&lt;&gt;""), HYPERLINK("#'" &amp; C1520 &amp; "'!" &amp; H1520, H1520), "")</f>
        <v>0</v>
      </c>
    </row>
    <row r="1521" spans="2:2">
      <c r="B1521" s="21">
        <f>IF(AND(C1521&lt;&gt;"", H1521&lt;&gt;""), HYPERLINK("#'" &amp; C1521 &amp; "'!" &amp; H1521, H1521), "")</f>
        <v>0</v>
      </c>
    </row>
    <row r="1522" spans="2:2">
      <c r="B1522" s="21">
        <f>IF(AND(C1522&lt;&gt;"", H1522&lt;&gt;""), HYPERLINK("#'" &amp; C1522 &amp; "'!" &amp; H1522, H1522), "")</f>
        <v>0</v>
      </c>
    </row>
    <row r="1523" spans="2:2">
      <c r="B1523" s="21">
        <f>IF(AND(C1523&lt;&gt;"", H1523&lt;&gt;""), HYPERLINK("#'" &amp; C1523 &amp; "'!" &amp; H1523, H1523), "")</f>
        <v>0</v>
      </c>
    </row>
    <row r="1524" spans="2:2">
      <c r="B1524" s="21">
        <f>IF(AND(C1524&lt;&gt;"", H1524&lt;&gt;""), HYPERLINK("#'" &amp; C1524 &amp; "'!" &amp; H1524, H1524), "")</f>
        <v>0</v>
      </c>
    </row>
    <row r="1525" spans="2:2">
      <c r="B1525" s="21">
        <f>IF(AND(C1525&lt;&gt;"", H1525&lt;&gt;""), HYPERLINK("#'" &amp; C1525 &amp; "'!" &amp; H1525, H1525), "")</f>
        <v>0</v>
      </c>
    </row>
    <row r="1526" spans="2:2">
      <c r="B1526" s="21">
        <f>IF(AND(C1526&lt;&gt;"", H1526&lt;&gt;""), HYPERLINK("#'" &amp; C1526 &amp; "'!" &amp; H1526, H1526), "")</f>
        <v>0</v>
      </c>
    </row>
    <row r="1527" spans="2:2">
      <c r="B1527" s="21">
        <f>IF(AND(C1527&lt;&gt;"", H1527&lt;&gt;""), HYPERLINK("#'" &amp; C1527 &amp; "'!" &amp; H1527, H1527), "")</f>
        <v>0</v>
      </c>
    </row>
    <row r="1528" spans="2:2">
      <c r="B1528" s="21">
        <f>IF(AND(C1528&lt;&gt;"", H1528&lt;&gt;""), HYPERLINK("#'" &amp; C1528 &amp; "'!" &amp; H1528, H1528), "")</f>
        <v>0</v>
      </c>
    </row>
    <row r="1529" spans="2:2">
      <c r="B1529" s="21">
        <f>IF(AND(C1529&lt;&gt;"", H1529&lt;&gt;""), HYPERLINK("#'" &amp; C1529 &amp; "'!" &amp; H1529, H1529), "")</f>
        <v>0</v>
      </c>
    </row>
    <row r="1530" spans="2:2">
      <c r="B1530" s="21">
        <f>IF(AND(C1530&lt;&gt;"", H1530&lt;&gt;""), HYPERLINK("#'" &amp; C1530 &amp; "'!" &amp; H1530, H1530), "")</f>
        <v>0</v>
      </c>
    </row>
    <row r="1531" spans="2:2">
      <c r="B1531" s="21">
        <f>IF(AND(C1531&lt;&gt;"", H1531&lt;&gt;""), HYPERLINK("#'" &amp; C1531 &amp; "'!" &amp; H1531, H1531), "")</f>
        <v>0</v>
      </c>
    </row>
    <row r="1532" spans="2:2">
      <c r="B1532" s="21">
        <f>IF(AND(C1532&lt;&gt;"", H1532&lt;&gt;""), HYPERLINK("#'" &amp; C1532 &amp; "'!" &amp; H1532, H1532), "")</f>
        <v>0</v>
      </c>
    </row>
    <row r="1533" spans="2:2">
      <c r="B1533" s="21">
        <f>IF(AND(C1533&lt;&gt;"", H1533&lt;&gt;""), HYPERLINK("#'" &amp; C1533 &amp; "'!" &amp; H1533, H1533), "")</f>
        <v>0</v>
      </c>
    </row>
    <row r="1534" spans="2:2">
      <c r="B1534" s="21">
        <f>IF(AND(C1534&lt;&gt;"", H1534&lt;&gt;""), HYPERLINK("#'" &amp; C1534 &amp; "'!" &amp; H1534, H1534), "")</f>
        <v>0</v>
      </c>
    </row>
    <row r="1535" spans="2:2">
      <c r="B1535" s="21">
        <f>IF(AND(C1535&lt;&gt;"", H1535&lt;&gt;""), HYPERLINK("#'" &amp; C1535 &amp; "'!" &amp; H1535, H1535), "")</f>
        <v>0</v>
      </c>
    </row>
    <row r="1536" spans="2:2">
      <c r="B1536" s="21">
        <f>IF(AND(C1536&lt;&gt;"", H1536&lt;&gt;""), HYPERLINK("#'" &amp; C1536 &amp; "'!" &amp; H1536, H1536), "")</f>
        <v>0</v>
      </c>
    </row>
    <row r="1537" spans="2:2">
      <c r="B1537" s="21">
        <f>IF(AND(C1537&lt;&gt;"", H1537&lt;&gt;""), HYPERLINK("#'" &amp; C1537 &amp; "'!" &amp; H1537, H1537), "")</f>
        <v>0</v>
      </c>
    </row>
    <row r="1538" spans="2:2">
      <c r="B1538" s="21">
        <f>IF(AND(C1538&lt;&gt;"", H1538&lt;&gt;""), HYPERLINK("#'" &amp; C1538 &amp; "'!" &amp; H1538, H1538), "")</f>
        <v>0</v>
      </c>
    </row>
    <row r="1539" spans="2:2">
      <c r="B1539" s="21">
        <f>IF(AND(C1539&lt;&gt;"", H1539&lt;&gt;""), HYPERLINK("#'" &amp; C1539 &amp; "'!" &amp; H1539, H1539), "")</f>
        <v>0</v>
      </c>
    </row>
    <row r="1540" spans="2:2">
      <c r="B1540" s="21">
        <f>IF(AND(C1540&lt;&gt;"", H1540&lt;&gt;""), HYPERLINK("#'" &amp; C1540 &amp; "'!" &amp; H1540, H1540), "")</f>
        <v>0</v>
      </c>
    </row>
    <row r="1541" spans="2:2">
      <c r="B1541" s="21">
        <f>IF(AND(C1541&lt;&gt;"", H1541&lt;&gt;""), HYPERLINK("#'" &amp; C1541 &amp; "'!" &amp; H1541, H1541), "")</f>
        <v>0</v>
      </c>
    </row>
    <row r="1542" spans="2:2">
      <c r="B1542" s="21">
        <f>IF(AND(C1542&lt;&gt;"", H1542&lt;&gt;""), HYPERLINK("#'" &amp; C1542 &amp; "'!" &amp; H1542, H1542), "")</f>
        <v>0</v>
      </c>
    </row>
    <row r="1543" spans="2:2">
      <c r="B1543" s="21">
        <f>IF(AND(C1543&lt;&gt;"", H1543&lt;&gt;""), HYPERLINK("#'" &amp; C1543 &amp; "'!" &amp; H1543, H1543), "")</f>
        <v>0</v>
      </c>
    </row>
    <row r="1544" spans="2:2">
      <c r="B1544" s="21">
        <f>IF(AND(C1544&lt;&gt;"", H1544&lt;&gt;""), HYPERLINK("#'" &amp; C1544 &amp; "'!" &amp; H1544, H1544), "")</f>
        <v>0</v>
      </c>
    </row>
    <row r="1545" spans="2:2">
      <c r="B1545" s="21">
        <f>IF(AND(C1545&lt;&gt;"", H1545&lt;&gt;""), HYPERLINK("#'" &amp; C1545 &amp; "'!" &amp; H1545, H1545), "")</f>
        <v>0</v>
      </c>
    </row>
    <row r="1546" spans="2:2">
      <c r="B1546" s="21">
        <f>IF(AND(C1546&lt;&gt;"", H1546&lt;&gt;""), HYPERLINK("#'" &amp; C1546 &amp; "'!" &amp; H1546, H1546), "")</f>
        <v>0</v>
      </c>
    </row>
    <row r="1547" spans="2:2">
      <c r="B1547" s="21">
        <f>IF(AND(C1547&lt;&gt;"", H1547&lt;&gt;""), HYPERLINK("#'" &amp; C1547 &amp; "'!" &amp; H1547, H1547), "")</f>
        <v>0</v>
      </c>
    </row>
    <row r="1548" spans="2:2">
      <c r="B1548" s="21">
        <f>IF(AND(C1548&lt;&gt;"", H1548&lt;&gt;""), HYPERLINK("#'" &amp; C1548 &amp; "'!" &amp; H1548, H1548), "")</f>
        <v>0</v>
      </c>
    </row>
    <row r="1549" spans="2:2">
      <c r="B1549" s="21">
        <f>IF(AND(C1549&lt;&gt;"", H1549&lt;&gt;""), HYPERLINK("#'" &amp; C1549 &amp; "'!" &amp; H1549, H1549), "")</f>
        <v>0</v>
      </c>
    </row>
    <row r="1550" spans="2:2">
      <c r="B1550" s="21">
        <f>IF(AND(C1550&lt;&gt;"", H1550&lt;&gt;""), HYPERLINK("#'" &amp; C1550 &amp; "'!" &amp; H1550, H1550), "")</f>
        <v>0</v>
      </c>
    </row>
    <row r="1551" spans="2:2">
      <c r="B1551" s="21">
        <f>IF(AND(C1551&lt;&gt;"", H1551&lt;&gt;""), HYPERLINK("#'" &amp; C1551 &amp; "'!" &amp; H1551, H1551), "")</f>
        <v>0</v>
      </c>
    </row>
    <row r="1552" spans="2:2">
      <c r="B1552" s="21">
        <f>IF(AND(C1552&lt;&gt;"", H1552&lt;&gt;""), HYPERLINK("#'" &amp; C1552 &amp; "'!" &amp; H1552, H1552), "")</f>
        <v>0</v>
      </c>
    </row>
    <row r="1553" spans="2:2">
      <c r="B1553" s="21">
        <f>IF(AND(C1553&lt;&gt;"", H1553&lt;&gt;""), HYPERLINK("#'" &amp; C1553 &amp; "'!" &amp; H1553, H1553), "")</f>
        <v>0</v>
      </c>
    </row>
    <row r="1554" spans="2:2">
      <c r="B1554" s="21">
        <f>IF(AND(C1554&lt;&gt;"", H1554&lt;&gt;""), HYPERLINK("#'" &amp; C1554 &amp; "'!" &amp; H1554, H1554), "")</f>
        <v>0</v>
      </c>
    </row>
    <row r="1555" spans="2:2">
      <c r="B1555" s="21">
        <f>IF(AND(C1555&lt;&gt;"", H1555&lt;&gt;""), HYPERLINK("#'" &amp; C1555 &amp; "'!" &amp; H1555, H1555), "")</f>
        <v>0</v>
      </c>
    </row>
    <row r="1556" spans="2:2">
      <c r="B1556" s="21">
        <f>IF(AND(C1556&lt;&gt;"", H1556&lt;&gt;""), HYPERLINK("#'" &amp; C1556 &amp; "'!" &amp; H1556, H1556), "")</f>
        <v>0</v>
      </c>
    </row>
    <row r="1557" spans="2:2">
      <c r="B1557" s="21">
        <f>IF(AND(C1557&lt;&gt;"", H1557&lt;&gt;""), HYPERLINK("#'" &amp; C1557 &amp; "'!" &amp; H1557, H1557), "")</f>
        <v>0</v>
      </c>
    </row>
    <row r="1558" spans="2:2">
      <c r="B1558" s="21">
        <f>IF(AND(C1558&lt;&gt;"", H1558&lt;&gt;""), HYPERLINK("#'" &amp; C1558 &amp; "'!" &amp; H1558, H1558), "")</f>
        <v>0</v>
      </c>
    </row>
    <row r="1559" spans="2:2">
      <c r="B1559" s="21">
        <f>IF(AND(C1559&lt;&gt;"", H1559&lt;&gt;""), HYPERLINK("#'" &amp; C1559 &amp; "'!" &amp; H1559, H1559), "")</f>
        <v>0</v>
      </c>
    </row>
    <row r="1560" spans="2:2">
      <c r="B1560" s="21">
        <f>IF(AND(C1560&lt;&gt;"", H1560&lt;&gt;""), HYPERLINK("#'" &amp; C1560 &amp; "'!" &amp; H1560, H1560), "")</f>
        <v>0</v>
      </c>
    </row>
    <row r="1561" spans="2:2">
      <c r="B1561" s="21">
        <f>IF(AND(C1561&lt;&gt;"", H1561&lt;&gt;""), HYPERLINK("#'" &amp; C1561 &amp; "'!" &amp; H1561, H1561), "")</f>
        <v>0</v>
      </c>
    </row>
    <row r="1562" spans="2:2">
      <c r="B1562" s="21">
        <f>IF(AND(C1562&lt;&gt;"", H1562&lt;&gt;""), HYPERLINK("#'" &amp; C1562 &amp; "'!" &amp; H1562, H1562), "")</f>
        <v>0</v>
      </c>
    </row>
    <row r="1563" spans="2:2">
      <c r="B1563" s="21">
        <f>IF(AND(C1563&lt;&gt;"", H1563&lt;&gt;""), HYPERLINK("#'" &amp; C1563 &amp; "'!" &amp; H1563, H1563), "")</f>
        <v>0</v>
      </c>
    </row>
    <row r="1564" spans="2:2">
      <c r="B1564" s="21">
        <f>IF(AND(C1564&lt;&gt;"", H1564&lt;&gt;""), HYPERLINK("#'" &amp; C1564 &amp; "'!" &amp; H1564, H1564), "")</f>
        <v>0</v>
      </c>
    </row>
    <row r="1565" spans="2:2">
      <c r="B1565" s="21">
        <f>IF(AND(C1565&lt;&gt;"", H1565&lt;&gt;""), HYPERLINK("#'" &amp; C1565 &amp; "'!" &amp; H1565, H1565), "")</f>
        <v>0</v>
      </c>
    </row>
    <row r="1566" spans="2:2">
      <c r="B1566" s="21">
        <f>IF(AND(C1566&lt;&gt;"", H1566&lt;&gt;""), HYPERLINK("#'" &amp; C1566 &amp; "'!" &amp; H1566, H1566), "")</f>
        <v>0</v>
      </c>
    </row>
    <row r="1567" spans="2:2">
      <c r="B1567" s="21">
        <f>IF(AND(C1567&lt;&gt;"", H1567&lt;&gt;""), HYPERLINK("#'" &amp; C1567 &amp; "'!" &amp; H1567, H1567), "")</f>
        <v>0</v>
      </c>
    </row>
    <row r="1568" spans="2:2">
      <c r="B1568" s="21">
        <f>IF(AND(C1568&lt;&gt;"", H1568&lt;&gt;""), HYPERLINK("#'" &amp; C1568 &amp; "'!" &amp; H1568, H1568), "")</f>
        <v>0</v>
      </c>
    </row>
    <row r="1569" spans="2:2">
      <c r="B1569" s="21">
        <f>IF(AND(C1569&lt;&gt;"", H1569&lt;&gt;""), HYPERLINK("#'" &amp; C1569 &amp; "'!" &amp; H1569, H1569), "")</f>
        <v>0</v>
      </c>
    </row>
    <row r="1570" spans="2:2">
      <c r="B1570" s="21">
        <f>IF(AND(C1570&lt;&gt;"", H1570&lt;&gt;""), HYPERLINK("#'" &amp; C1570 &amp; "'!" &amp; H1570, H1570), "")</f>
        <v>0</v>
      </c>
    </row>
    <row r="1571" spans="2:2">
      <c r="B1571" s="21">
        <f>IF(AND(C1571&lt;&gt;"", H1571&lt;&gt;""), HYPERLINK("#'" &amp; C1571 &amp; "'!" &amp; H1571, H1571), "")</f>
        <v>0</v>
      </c>
    </row>
    <row r="1572" spans="2:2">
      <c r="B1572" s="21">
        <f>IF(AND(C1572&lt;&gt;"", H1572&lt;&gt;""), HYPERLINK("#'" &amp; C1572 &amp; "'!" &amp; H1572, H1572), "")</f>
        <v>0</v>
      </c>
    </row>
    <row r="1573" spans="2:2">
      <c r="B1573" s="21">
        <f>IF(AND(C1573&lt;&gt;"", H1573&lt;&gt;""), HYPERLINK("#'" &amp; C1573 &amp; "'!" &amp; H1573, H1573), "")</f>
        <v>0</v>
      </c>
    </row>
    <row r="1574" spans="2:2">
      <c r="B1574" s="21">
        <f>IF(AND(C1574&lt;&gt;"", H1574&lt;&gt;""), HYPERLINK("#'" &amp; C1574 &amp; "'!" &amp; H1574, H1574), "")</f>
        <v>0</v>
      </c>
    </row>
    <row r="1575" spans="2:2">
      <c r="B1575" s="21">
        <f>IF(AND(C1575&lt;&gt;"", H1575&lt;&gt;""), HYPERLINK("#'" &amp; C1575 &amp; "'!" &amp; H1575, H1575), "")</f>
        <v>0</v>
      </c>
    </row>
    <row r="1576" spans="2:2">
      <c r="B1576" s="21">
        <f>IF(AND(C1576&lt;&gt;"", H1576&lt;&gt;""), HYPERLINK("#'" &amp; C1576 &amp; "'!" &amp; H1576, H1576), "")</f>
        <v>0</v>
      </c>
    </row>
    <row r="1577" spans="2:2">
      <c r="B1577" s="21">
        <f>IF(AND(C1577&lt;&gt;"", H1577&lt;&gt;""), HYPERLINK("#'" &amp; C1577 &amp; "'!" &amp; H1577, H1577), "")</f>
        <v>0</v>
      </c>
    </row>
    <row r="1578" spans="2:2">
      <c r="B1578" s="21">
        <f>IF(AND(C1578&lt;&gt;"", H1578&lt;&gt;""), HYPERLINK("#'" &amp; C1578 &amp; "'!" &amp; H1578, H1578), "")</f>
        <v>0</v>
      </c>
    </row>
    <row r="1579" spans="2:2">
      <c r="B1579" s="21">
        <f>IF(AND(C1579&lt;&gt;"", H1579&lt;&gt;""), HYPERLINK("#'" &amp; C1579 &amp; "'!" &amp; H1579, H1579), "")</f>
        <v>0</v>
      </c>
    </row>
    <row r="1580" spans="2:2">
      <c r="B1580" s="21">
        <f>IF(AND(C1580&lt;&gt;"", H1580&lt;&gt;""), HYPERLINK("#'" &amp; C1580 &amp; "'!" &amp; H1580, H1580), "")</f>
        <v>0</v>
      </c>
    </row>
    <row r="1581" spans="2:2">
      <c r="B1581" s="21">
        <f>IF(AND(C1581&lt;&gt;"", H1581&lt;&gt;""), HYPERLINK("#'" &amp; C1581 &amp; "'!" &amp; H1581, H1581), "")</f>
        <v>0</v>
      </c>
    </row>
    <row r="1582" spans="2:2">
      <c r="B1582" s="21">
        <f>IF(AND(C1582&lt;&gt;"", H1582&lt;&gt;""), HYPERLINK("#'" &amp; C1582 &amp; "'!" &amp; H1582, H1582), "")</f>
        <v>0</v>
      </c>
    </row>
    <row r="1583" spans="2:2">
      <c r="B1583" s="21">
        <f>IF(AND(C1583&lt;&gt;"", H1583&lt;&gt;""), HYPERLINK("#'" &amp; C1583 &amp; "'!" &amp; H1583, H1583), "")</f>
        <v>0</v>
      </c>
    </row>
    <row r="1584" spans="2:2">
      <c r="B1584" s="21">
        <f>IF(AND(C1584&lt;&gt;"", H1584&lt;&gt;""), HYPERLINK("#'" &amp; C1584 &amp; "'!" &amp; H1584, H1584), "")</f>
        <v>0</v>
      </c>
    </row>
    <row r="1585" spans="2:2">
      <c r="B1585" s="21">
        <f>IF(AND(C1585&lt;&gt;"", H1585&lt;&gt;""), HYPERLINK("#'" &amp; C1585 &amp; "'!" &amp; H1585, H1585), "")</f>
        <v>0</v>
      </c>
    </row>
    <row r="1586" spans="2:2">
      <c r="B1586" s="21">
        <f>IF(AND(C1586&lt;&gt;"", H1586&lt;&gt;""), HYPERLINK("#'" &amp; C1586 &amp; "'!" &amp; H1586, H1586), "")</f>
        <v>0</v>
      </c>
    </row>
    <row r="1587" spans="2:2">
      <c r="B1587" s="21">
        <f>IF(AND(C1587&lt;&gt;"", H1587&lt;&gt;""), HYPERLINK("#'" &amp; C1587 &amp; "'!" &amp; H1587, H1587), "")</f>
        <v>0</v>
      </c>
    </row>
    <row r="1588" spans="2:2">
      <c r="B1588" s="21">
        <f>IF(AND(C1588&lt;&gt;"", H1588&lt;&gt;""), HYPERLINK("#'" &amp; C1588 &amp; "'!" &amp; H1588, H1588), "")</f>
        <v>0</v>
      </c>
    </row>
    <row r="1589" spans="2:2">
      <c r="B1589" s="21">
        <f>IF(AND(C1589&lt;&gt;"", H1589&lt;&gt;""), HYPERLINK("#'" &amp; C1589 &amp; "'!" &amp; H1589, H1589), "")</f>
        <v>0</v>
      </c>
    </row>
    <row r="1590" spans="2:2">
      <c r="B1590" s="21">
        <f>IF(AND(C1590&lt;&gt;"", H1590&lt;&gt;""), HYPERLINK("#'" &amp; C1590 &amp; "'!" &amp; H1590, H1590), "")</f>
        <v>0</v>
      </c>
    </row>
    <row r="1591" spans="2:2">
      <c r="B1591" s="21">
        <f>IF(AND(C1591&lt;&gt;"", H1591&lt;&gt;""), HYPERLINK("#'" &amp; C1591 &amp; "'!" &amp; H1591, H1591), "")</f>
        <v>0</v>
      </c>
    </row>
    <row r="1592" spans="2:2">
      <c r="B1592" s="21">
        <f>IF(AND(C1592&lt;&gt;"", H1592&lt;&gt;""), HYPERLINK("#'" &amp; C1592 &amp; "'!" &amp; H1592, H1592), "")</f>
        <v>0</v>
      </c>
    </row>
    <row r="1593" spans="2:2">
      <c r="B1593" s="21">
        <f>IF(AND(C1593&lt;&gt;"", H1593&lt;&gt;""), HYPERLINK("#'" &amp; C1593 &amp; "'!" &amp; H1593, H1593), "")</f>
        <v>0</v>
      </c>
    </row>
    <row r="1594" spans="2:2">
      <c r="B1594" s="21">
        <f>IF(AND(C1594&lt;&gt;"", H1594&lt;&gt;""), HYPERLINK("#'" &amp; C1594 &amp; "'!" &amp; H1594, H1594), "")</f>
        <v>0</v>
      </c>
    </row>
    <row r="1595" spans="2:2">
      <c r="B1595" s="21">
        <f>IF(AND(C1595&lt;&gt;"", H1595&lt;&gt;""), HYPERLINK("#'" &amp; C1595 &amp; "'!" &amp; H1595, H1595), "")</f>
        <v>0</v>
      </c>
    </row>
    <row r="1596" spans="2:2">
      <c r="B1596" s="21">
        <f>IF(AND(C1596&lt;&gt;"", H1596&lt;&gt;""), HYPERLINK("#'" &amp; C1596 &amp; "'!" &amp; H1596, H1596), "")</f>
        <v>0</v>
      </c>
    </row>
    <row r="1597" spans="2:2">
      <c r="B1597" s="21">
        <f>IF(AND(C1597&lt;&gt;"", H1597&lt;&gt;""), HYPERLINK("#'" &amp; C1597 &amp; "'!" &amp; H1597, H1597), "")</f>
        <v>0</v>
      </c>
    </row>
    <row r="1598" spans="2:2">
      <c r="B1598" s="21">
        <f>IF(AND(C1598&lt;&gt;"", H1598&lt;&gt;""), HYPERLINK("#'" &amp; C1598 &amp; "'!" &amp; H1598, H1598), "")</f>
        <v>0</v>
      </c>
    </row>
    <row r="1599" spans="2:2">
      <c r="B1599" s="21">
        <f>IF(AND(C1599&lt;&gt;"", H1599&lt;&gt;""), HYPERLINK("#'" &amp; C1599 &amp; "'!" &amp; H1599, H1599), "")</f>
        <v>0</v>
      </c>
    </row>
    <row r="1600" spans="2:2">
      <c r="B1600" s="21">
        <f>IF(AND(C1600&lt;&gt;"", H1600&lt;&gt;""), HYPERLINK("#'" &amp; C1600 &amp; "'!" &amp; H1600, H1600), "")</f>
        <v>0</v>
      </c>
    </row>
    <row r="1601" spans="2:2">
      <c r="B1601" s="21">
        <f>IF(AND(C1601&lt;&gt;"", H1601&lt;&gt;""), HYPERLINK("#'" &amp; C1601 &amp; "'!" &amp; H1601, H1601), "")</f>
        <v>0</v>
      </c>
    </row>
    <row r="1602" spans="2:2">
      <c r="B1602" s="21">
        <f>IF(AND(C1602&lt;&gt;"", H1602&lt;&gt;""), HYPERLINK("#'" &amp; C1602 &amp; "'!" &amp; H1602, H1602), "")</f>
        <v>0</v>
      </c>
    </row>
    <row r="1603" spans="2:2">
      <c r="B1603" s="21">
        <f>IF(AND(C1603&lt;&gt;"", H1603&lt;&gt;""), HYPERLINK("#'" &amp; C1603 &amp; "'!" &amp; H1603, H1603), "")</f>
        <v>0</v>
      </c>
    </row>
    <row r="1604" spans="2:2">
      <c r="B1604" s="21">
        <f>IF(AND(C1604&lt;&gt;"", H1604&lt;&gt;""), HYPERLINK("#'" &amp; C1604 &amp; "'!" &amp; H1604, H1604), "")</f>
        <v>0</v>
      </c>
    </row>
    <row r="1605" spans="2:2">
      <c r="B1605" s="21">
        <f>IF(AND(C1605&lt;&gt;"", H1605&lt;&gt;""), HYPERLINK("#'" &amp; C1605 &amp; "'!" &amp; H1605, H1605), "")</f>
        <v>0</v>
      </c>
    </row>
    <row r="1606" spans="2:2">
      <c r="B1606" s="21">
        <f>IF(AND(C1606&lt;&gt;"", H1606&lt;&gt;""), HYPERLINK("#'" &amp; C1606 &amp; "'!" &amp; H1606, H1606), "")</f>
        <v>0</v>
      </c>
    </row>
    <row r="1607" spans="2:2">
      <c r="B1607" s="21">
        <f>IF(AND(C1607&lt;&gt;"", H1607&lt;&gt;""), HYPERLINK("#'" &amp; C1607 &amp; "'!" &amp; H1607, H1607), "")</f>
        <v>0</v>
      </c>
    </row>
    <row r="1608" spans="2:2">
      <c r="B1608" s="21">
        <f>IF(AND(C1608&lt;&gt;"", H1608&lt;&gt;""), HYPERLINK("#'" &amp; C1608 &amp; "'!" &amp; H1608, H1608), "")</f>
        <v>0</v>
      </c>
    </row>
    <row r="1609" spans="2:2">
      <c r="B1609" s="21">
        <f>IF(AND(C1609&lt;&gt;"", H1609&lt;&gt;""), HYPERLINK("#'" &amp; C1609 &amp; "'!" &amp; H1609, H1609), "")</f>
        <v>0</v>
      </c>
    </row>
    <row r="1610" spans="2:2">
      <c r="B1610" s="21">
        <f>IF(AND(C1610&lt;&gt;"", H1610&lt;&gt;""), HYPERLINK("#'" &amp; C1610 &amp; "'!" &amp; H1610, H1610), "")</f>
        <v>0</v>
      </c>
    </row>
    <row r="1611" spans="2:2">
      <c r="B1611" s="21">
        <f>IF(AND(C1611&lt;&gt;"", H1611&lt;&gt;""), HYPERLINK("#'" &amp; C1611 &amp; "'!" &amp; H1611, H1611), "")</f>
        <v>0</v>
      </c>
    </row>
    <row r="1612" spans="2:2">
      <c r="B1612" s="21">
        <f>IF(AND(C1612&lt;&gt;"", H1612&lt;&gt;""), HYPERLINK("#'" &amp; C1612 &amp; "'!" &amp; H1612, H1612), "")</f>
        <v>0</v>
      </c>
    </row>
    <row r="1613" spans="2:2">
      <c r="B1613" s="21">
        <f>IF(AND(C1613&lt;&gt;"", H1613&lt;&gt;""), HYPERLINK("#'" &amp; C1613 &amp; "'!" &amp; H1613, H1613), "")</f>
        <v>0</v>
      </c>
    </row>
    <row r="1614" spans="2:2">
      <c r="B1614" s="21">
        <f>IF(AND(C1614&lt;&gt;"", H1614&lt;&gt;""), HYPERLINK("#'" &amp; C1614 &amp; "'!" &amp; H1614, H1614), "")</f>
        <v>0</v>
      </c>
    </row>
    <row r="1615" spans="2:2">
      <c r="B1615" s="21">
        <f>IF(AND(C1615&lt;&gt;"", H1615&lt;&gt;""), HYPERLINK("#'" &amp; C1615 &amp; "'!" &amp; H1615, H1615), "")</f>
        <v>0</v>
      </c>
    </row>
    <row r="1616" spans="2:2">
      <c r="B1616" s="21">
        <f>IF(AND(C1616&lt;&gt;"", H1616&lt;&gt;""), HYPERLINK("#'" &amp; C1616 &amp; "'!" &amp; H1616, H1616), "")</f>
        <v>0</v>
      </c>
    </row>
    <row r="1617" spans="2:2">
      <c r="B1617" s="21">
        <f>IF(AND(C1617&lt;&gt;"", H1617&lt;&gt;""), HYPERLINK("#'" &amp; C1617 &amp; "'!" &amp; H1617, H1617), "")</f>
        <v>0</v>
      </c>
    </row>
    <row r="1618" spans="2:2">
      <c r="B1618" s="21">
        <f>IF(AND(C1618&lt;&gt;"", H1618&lt;&gt;""), HYPERLINK("#'" &amp; C1618 &amp; "'!" &amp; H1618, H1618), "")</f>
        <v>0</v>
      </c>
    </row>
    <row r="1619" spans="2:2">
      <c r="B1619" s="21">
        <f>IF(AND(C1619&lt;&gt;"", H1619&lt;&gt;""), HYPERLINK("#'" &amp; C1619 &amp; "'!" &amp; H1619, H1619), "")</f>
        <v>0</v>
      </c>
    </row>
    <row r="1620" spans="2:2">
      <c r="B1620" s="21">
        <f>IF(AND(C1620&lt;&gt;"", H1620&lt;&gt;""), HYPERLINK("#'" &amp; C1620 &amp; "'!" &amp; H1620, H1620), "")</f>
        <v>0</v>
      </c>
    </row>
    <row r="1621" spans="2:2">
      <c r="B1621" s="21">
        <f>IF(AND(C1621&lt;&gt;"", H1621&lt;&gt;""), HYPERLINK("#'" &amp; C1621 &amp; "'!" &amp; H1621, H1621), "")</f>
        <v>0</v>
      </c>
    </row>
    <row r="1622" spans="2:2">
      <c r="B1622" s="21">
        <f>IF(AND(C1622&lt;&gt;"", H1622&lt;&gt;""), HYPERLINK("#'" &amp; C1622 &amp; "'!" &amp; H1622, H1622), "")</f>
        <v>0</v>
      </c>
    </row>
    <row r="1623" spans="2:2">
      <c r="B1623" s="21">
        <f>IF(AND(C1623&lt;&gt;"", H1623&lt;&gt;""), HYPERLINK("#'" &amp; C1623 &amp; "'!" &amp; H1623, H1623), "")</f>
        <v>0</v>
      </c>
    </row>
    <row r="1624" spans="2:2">
      <c r="B1624" s="21">
        <f>IF(AND(C1624&lt;&gt;"", H1624&lt;&gt;""), HYPERLINK("#'" &amp; C1624 &amp; "'!" &amp; H1624, H1624), "")</f>
        <v>0</v>
      </c>
    </row>
    <row r="1625" spans="2:2">
      <c r="B1625" s="21">
        <f>IF(AND(C1625&lt;&gt;"", H1625&lt;&gt;""), HYPERLINK("#'" &amp; C1625 &amp; "'!" &amp; H1625, H1625), "")</f>
        <v>0</v>
      </c>
    </row>
    <row r="1626" spans="2:2">
      <c r="B1626" s="21">
        <f>IF(AND(C1626&lt;&gt;"", H1626&lt;&gt;""), HYPERLINK("#'" &amp; C1626 &amp; "'!" &amp; H1626, H1626), "")</f>
        <v>0</v>
      </c>
    </row>
    <row r="1627" spans="2:2">
      <c r="B1627" s="21">
        <f>IF(AND(C1627&lt;&gt;"", H1627&lt;&gt;""), HYPERLINK("#'" &amp; C1627 &amp; "'!" &amp; H1627, H1627), "")</f>
        <v>0</v>
      </c>
    </row>
    <row r="1628" spans="2:2">
      <c r="B1628" s="21">
        <f>IF(AND(C1628&lt;&gt;"", H1628&lt;&gt;""), HYPERLINK("#'" &amp; C1628 &amp; "'!" &amp; H1628, H1628), "")</f>
        <v>0</v>
      </c>
    </row>
    <row r="1629" spans="2:2">
      <c r="B1629" s="21">
        <f>IF(AND(C1629&lt;&gt;"", H1629&lt;&gt;""), HYPERLINK("#'" &amp; C1629 &amp; "'!" &amp; H1629, H1629), "")</f>
        <v>0</v>
      </c>
    </row>
    <row r="1630" spans="2:2">
      <c r="B1630" s="21">
        <f>IF(AND(C1630&lt;&gt;"", H1630&lt;&gt;""), HYPERLINK("#'" &amp; C1630 &amp; "'!" &amp; H1630, H1630), "")</f>
        <v>0</v>
      </c>
    </row>
    <row r="1631" spans="2:2">
      <c r="B1631" s="21">
        <f>IF(AND(C1631&lt;&gt;"", H1631&lt;&gt;""), HYPERLINK("#'" &amp; C1631 &amp; "'!" &amp; H1631, H1631), "")</f>
        <v>0</v>
      </c>
    </row>
    <row r="1632" spans="2:2">
      <c r="B1632" s="21">
        <f>IF(AND(C1632&lt;&gt;"", H1632&lt;&gt;""), HYPERLINK("#'" &amp; C1632 &amp; "'!" &amp; H1632, H1632), "")</f>
        <v>0</v>
      </c>
    </row>
    <row r="1633" spans="2:2">
      <c r="B1633" s="21">
        <f>IF(AND(C1633&lt;&gt;"", H1633&lt;&gt;""), HYPERLINK("#'" &amp; C1633 &amp; "'!" &amp; H1633, H1633), "")</f>
        <v>0</v>
      </c>
    </row>
    <row r="1634" spans="2:2">
      <c r="B1634" s="21">
        <f>IF(AND(C1634&lt;&gt;"", H1634&lt;&gt;""), HYPERLINK("#'" &amp; C1634 &amp; "'!" &amp; H1634, H1634), "")</f>
        <v>0</v>
      </c>
    </row>
    <row r="1635" spans="2:2">
      <c r="B1635" s="21">
        <f>IF(AND(C1635&lt;&gt;"", H1635&lt;&gt;""), HYPERLINK("#'" &amp; C1635 &amp; "'!" &amp; H1635, H1635), "")</f>
        <v>0</v>
      </c>
    </row>
    <row r="1636" spans="2:2">
      <c r="B1636" s="21">
        <f>IF(AND(C1636&lt;&gt;"", H1636&lt;&gt;""), HYPERLINK("#'" &amp; C1636 &amp; "'!" &amp; H1636, H1636), "")</f>
        <v>0</v>
      </c>
    </row>
    <row r="1637" spans="2:2">
      <c r="B1637" s="21">
        <f>IF(AND(C1637&lt;&gt;"", H1637&lt;&gt;""), HYPERLINK("#'" &amp; C1637 &amp; "'!" &amp; H1637, H1637), "")</f>
        <v>0</v>
      </c>
    </row>
    <row r="1638" spans="2:2">
      <c r="B1638" s="21">
        <f>IF(AND(C1638&lt;&gt;"", H1638&lt;&gt;""), HYPERLINK("#'" &amp; C1638 &amp; "'!" &amp; H1638, H1638), "")</f>
        <v>0</v>
      </c>
    </row>
    <row r="1639" spans="2:2">
      <c r="B1639" s="21">
        <f>IF(AND(C1639&lt;&gt;"", H1639&lt;&gt;""), HYPERLINK("#'" &amp; C1639 &amp; "'!" &amp; H1639, H1639), "")</f>
        <v>0</v>
      </c>
    </row>
    <row r="1640" spans="2:2">
      <c r="B1640" s="21">
        <f>IF(AND(C1640&lt;&gt;"", H1640&lt;&gt;""), HYPERLINK("#'" &amp; C1640 &amp; "'!" &amp; H1640, H1640), "")</f>
        <v>0</v>
      </c>
    </row>
    <row r="1641" spans="2:2">
      <c r="B1641" s="21">
        <f>IF(AND(C1641&lt;&gt;"", H1641&lt;&gt;""), HYPERLINK("#'" &amp; C1641 &amp; "'!" &amp; H1641, H1641), "")</f>
        <v>0</v>
      </c>
    </row>
    <row r="1642" spans="2:2">
      <c r="B1642" s="21">
        <f>IF(AND(C1642&lt;&gt;"", H1642&lt;&gt;""), HYPERLINK("#'" &amp; C1642 &amp; "'!" &amp; H1642, H1642), "")</f>
        <v>0</v>
      </c>
    </row>
    <row r="1643" spans="2:2">
      <c r="B1643" s="21">
        <f>IF(AND(C1643&lt;&gt;"", H1643&lt;&gt;""), HYPERLINK("#'" &amp; C1643 &amp; "'!" &amp; H1643, H1643), "")</f>
        <v>0</v>
      </c>
    </row>
    <row r="1644" spans="2:2">
      <c r="B1644" s="21">
        <f>IF(AND(C1644&lt;&gt;"", H1644&lt;&gt;""), HYPERLINK("#'" &amp; C1644 &amp; "'!" &amp; H1644, H1644), "")</f>
        <v>0</v>
      </c>
    </row>
    <row r="1645" spans="2:2">
      <c r="B1645" s="21">
        <f>IF(AND(C1645&lt;&gt;"", H1645&lt;&gt;""), HYPERLINK("#'" &amp; C1645 &amp; "'!" &amp; H1645, H1645), "")</f>
        <v>0</v>
      </c>
    </row>
    <row r="1646" spans="2:2">
      <c r="B1646" s="21">
        <f>IF(AND(C1646&lt;&gt;"", H1646&lt;&gt;""), HYPERLINK("#'" &amp; C1646 &amp; "'!" &amp; H1646, H1646), "")</f>
        <v>0</v>
      </c>
    </row>
    <row r="1647" spans="2:2">
      <c r="B1647" s="21">
        <f>IF(AND(C1647&lt;&gt;"", H1647&lt;&gt;""), HYPERLINK("#'" &amp; C1647 &amp; "'!" &amp; H1647, H1647), "")</f>
        <v>0</v>
      </c>
    </row>
    <row r="1648" spans="2:2">
      <c r="B1648" s="21">
        <f>IF(AND(C1648&lt;&gt;"", H1648&lt;&gt;""), HYPERLINK("#'" &amp; C1648 &amp; "'!" &amp; H1648, H1648), "")</f>
        <v>0</v>
      </c>
    </row>
    <row r="1649" spans="2:2">
      <c r="B1649" s="21">
        <f>IF(AND(C1649&lt;&gt;"", H1649&lt;&gt;""), HYPERLINK("#'" &amp; C1649 &amp; "'!" &amp; H1649, H1649), "")</f>
        <v>0</v>
      </c>
    </row>
    <row r="1650" spans="2:2">
      <c r="B1650" s="21">
        <f>IF(AND(C1650&lt;&gt;"", H1650&lt;&gt;""), HYPERLINK("#'" &amp; C1650 &amp; "'!" &amp; H1650, H1650), "")</f>
        <v>0</v>
      </c>
    </row>
    <row r="1651" spans="2:2">
      <c r="B1651" s="21">
        <f>IF(AND(C1651&lt;&gt;"", H1651&lt;&gt;""), HYPERLINK("#'" &amp; C1651 &amp; "'!" &amp; H1651, H1651), "")</f>
        <v>0</v>
      </c>
    </row>
    <row r="1652" spans="2:2">
      <c r="B1652" s="21">
        <f>IF(AND(C1652&lt;&gt;"", H1652&lt;&gt;""), HYPERLINK("#'" &amp; C1652 &amp; "'!" &amp; H1652, H1652), "")</f>
        <v>0</v>
      </c>
    </row>
    <row r="1653" spans="2:2">
      <c r="B1653" s="21">
        <f>IF(AND(C1653&lt;&gt;"", H1653&lt;&gt;""), HYPERLINK("#'" &amp; C1653 &amp; "'!" &amp; H1653, H1653), "")</f>
        <v>0</v>
      </c>
    </row>
    <row r="1654" spans="2:2">
      <c r="B1654" s="21">
        <f>IF(AND(C1654&lt;&gt;"", H1654&lt;&gt;""), HYPERLINK("#'" &amp; C1654 &amp; "'!" &amp; H1654, H1654), "")</f>
        <v>0</v>
      </c>
    </row>
    <row r="1655" spans="2:2">
      <c r="B1655" s="21">
        <f>IF(AND(C1655&lt;&gt;"", H1655&lt;&gt;""), HYPERLINK("#'" &amp; C1655 &amp; "'!" &amp; H1655, H1655), "")</f>
        <v>0</v>
      </c>
    </row>
    <row r="1656" spans="2:2">
      <c r="B1656" s="21">
        <f>IF(AND(C1656&lt;&gt;"", H1656&lt;&gt;""), HYPERLINK("#'" &amp; C1656 &amp; "'!" &amp; H1656, H1656), "")</f>
        <v>0</v>
      </c>
    </row>
    <row r="1657" spans="2:2">
      <c r="B1657" s="21">
        <f>IF(AND(C1657&lt;&gt;"", H1657&lt;&gt;""), HYPERLINK("#'" &amp; C1657 &amp; "'!" &amp; H1657, H1657), "")</f>
        <v>0</v>
      </c>
    </row>
    <row r="1658" spans="2:2">
      <c r="B1658" s="21">
        <f>IF(AND(C1658&lt;&gt;"", H1658&lt;&gt;""), HYPERLINK("#'" &amp; C1658 &amp; "'!" &amp; H1658, H1658), "")</f>
        <v>0</v>
      </c>
    </row>
    <row r="1659" spans="2:2">
      <c r="B1659" s="21">
        <f>IF(AND(C1659&lt;&gt;"", H1659&lt;&gt;""), HYPERLINK("#'" &amp; C1659 &amp; "'!" &amp; H1659, H1659), "")</f>
        <v>0</v>
      </c>
    </row>
    <row r="1660" spans="2:2">
      <c r="B1660" s="21">
        <f>IF(AND(C1660&lt;&gt;"", H1660&lt;&gt;""), HYPERLINK("#'" &amp; C1660 &amp; "'!" &amp; H1660, H1660), "")</f>
        <v>0</v>
      </c>
    </row>
    <row r="1661" spans="2:2">
      <c r="B1661" s="21">
        <f>IF(AND(C1661&lt;&gt;"", H1661&lt;&gt;""), HYPERLINK("#'" &amp; C1661 &amp; "'!" &amp; H1661, H1661), "")</f>
        <v>0</v>
      </c>
    </row>
    <row r="1662" spans="2:2">
      <c r="B1662" s="21">
        <f>IF(AND(C1662&lt;&gt;"", H1662&lt;&gt;""), HYPERLINK("#'" &amp; C1662 &amp; "'!" &amp; H1662, H1662), "")</f>
        <v>0</v>
      </c>
    </row>
    <row r="1663" spans="2:2">
      <c r="B1663" s="21">
        <f>IF(AND(C1663&lt;&gt;"", H1663&lt;&gt;""), HYPERLINK("#'" &amp; C1663 &amp; "'!" &amp; H1663, H1663), "")</f>
        <v>0</v>
      </c>
    </row>
    <row r="1664" spans="2:2">
      <c r="B1664" s="21">
        <f>IF(AND(C1664&lt;&gt;"", H1664&lt;&gt;""), HYPERLINK("#'" &amp; C1664 &amp; "'!" &amp; H1664, H1664), "")</f>
        <v>0</v>
      </c>
    </row>
    <row r="1665" spans="2:2">
      <c r="B1665" s="21">
        <f>IF(AND(C1665&lt;&gt;"", H1665&lt;&gt;""), HYPERLINK("#'" &amp; C1665 &amp; "'!" &amp; H1665, H1665), "")</f>
        <v>0</v>
      </c>
    </row>
    <row r="1666" spans="2:2">
      <c r="B1666" s="21">
        <f>IF(AND(C1666&lt;&gt;"", H1666&lt;&gt;""), HYPERLINK("#'" &amp; C1666 &amp; "'!" &amp; H1666, H1666), "")</f>
        <v>0</v>
      </c>
    </row>
    <row r="1667" spans="2:2">
      <c r="B1667" s="21">
        <f>IF(AND(C1667&lt;&gt;"", H1667&lt;&gt;""), HYPERLINK("#'" &amp; C1667 &amp; "'!" &amp; H1667, H1667), "")</f>
        <v>0</v>
      </c>
    </row>
    <row r="1668" spans="2:2">
      <c r="B1668" s="21">
        <f>IF(AND(C1668&lt;&gt;"", H1668&lt;&gt;""), HYPERLINK("#'" &amp; C1668 &amp; "'!" &amp; H1668, H1668), "")</f>
        <v>0</v>
      </c>
    </row>
    <row r="1669" spans="2:2">
      <c r="B1669" s="21">
        <f>IF(AND(C1669&lt;&gt;"", H1669&lt;&gt;""), HYPERLINK("#'" &amp; C1669 &amp; "'!" &amp; H1669, H1669), "")</f>
        <v>0</v>
      </c>
    </row>
    <row r="1670" spans="2:2">
      <c r="B1670" s="21">
        <f>IF(AND(C1670&lt;&gt;"", H1670&lt;&gt;""), HYPERLINK("#'" &amp; C1670 &amp; "'!" &amp; H1670, H1670), "")</f>
        <v>0</v>
      </c>
    </row>
    <row r="1671" spans="2:2">
      <c r="B1671" s="21">
        <f>IF(AND(C1671&lt;&gt;"", H1671&lt;&gt;""), HYPERLINK("#'" &amp; C1671 &amp; "'!" &amp; H1671, H1671), "")</f>
        <v>0</v>
      </c>
    </row>
    <row r="1672" spans="2:2">
      <c r="B1672" s="21">
        <f>IF(AND(C1672&lt;&gt;"", H1672&lt;&gt;""), HYPERLINK("#'" &amp; C1672 &amp; "'!" &amp; H1672, H1672), "")</f>
        <v>0</v>
      </c>
    </row>
    <row r="1673" spans="2:2">
      <c r="B1673" s="21">
        <f>IF(AND(C1673&lt;&gt;"", H1673&lt;&gt;""), HYPERLINK("#'" &amp; C1673 &amp; "'!" &amp; H1673, H1673), "")</f>
        <v>0</v>
      </c>
    </row>
    <row r="1674" spans="2:2">
      <c r="B1674" s="21">
        <f>IF(AND(C1674&lt;&gt;"", H1674&lt;&gt;""), HYPERLINK("#'" &amp; C1674 &amp; "'!" &amp; H1674, H1674), "")</f>
        <v>0</v>
      </c>
    </row>
    <row r="1675" spans="2:2">
      <c r="B1675" s="21">
        <f>IF(AND(C1675&lt;&gt;"", H1675&lt;&gt;""), HYPERLINK("#'" &amp; C1675 &amp; "'!" &amp; H1675, H1675), "")</f>
        <v>0</v>
      </c>
    </row>
    <row r="1676" spans="2:2">
      <c r="B1676" s="21">
        <f>IF(AND(C1676&lt;&gt;"", H1676&lt;&gt;""), HYPERLINK("#'" &amp; C1676 &amp; "'!" &amp; H1676, H1676), "")</f>
        <v>0</v>
      </c>
    </row>
    <row r="1677" spans="2:2">
      <c r="B1677" s="21">
        <f>IF(AND(C1677&lt;&gt;"", H1677&lt;&gt;""), HYPERLINK("#'" &amp; C1677 &amp; "'!" &amp; H1677, H1677), "")</f>
        <v>0</v>
      </c>
    </row>
    <row r="1678" spans="2:2">
      <c r="B1678" s="21">
        <f>IF(AND(C1678&lt;&gt;"", H1678&lt;&gt;""), HYPERLINK("#'" &amp; C1678 &amp; "'!" &amp; H1678, H1678), "")</f>
        <v>0</v>
      </c>
    </row>
    <row r="1679" spans="2:2">
      <c r="B1679" s="21">
        <f>IF(AND(C1679&lt;&gt;"", H1679&lt;&gt;""), HYPERLINK("#'" &amp; C1679 &amp; "'!" &amp; H1679, H1679), "")</f>
        <v>0</v>
      </c>
    </row>
    <row r="1680" spans="2:2">
      <c r="B1680" s="21">
        <f>IF(AND(C1680&lt;&gt;"", H1680&lt;&gt;""), HYPERLINK("#'" &amp; C1680 &amp; "'!" &amp; H1680, H1680), "")</f>
        <v>0</v>
      </c>
    </row>
    <row r="1681" spans="2:2">
      <c r="B1681" s="21">
        <f>IF(AND(C1681&lt;&gt;"", H1681&lt;&gt;""), HYPERLINK("#'" &amp; C1681 &amp; "'!" &amp; H1681, H1681), "")</f>
        <v>0</v>
      </c>
    </row>
    <row r="1682" spans="2:2">
      <c r="B1682" s="21">
        <f>IF(AND(C1682&lt;&gt;"", H1682&lt;&gt;""), HYPERLINK("#'" &amp; C1682 &amp; "'!" &amp; H1682, H1682), "")</f>
        <v>0</v>
      </c>
    </row>
    <row r="1683" spans="2:2">
      <c r="B1683" s="21">
        <f>IF(AND(C1683&lt;&gt;"", H1683&lt;&gt;""), HYPERLINK("#'" &amp; C1683 &amp; "'!" &amp; H1683, H1683), "")</f>
        <v>0</v>
      </c>
    </row>
    <row r="1684" spans="2:2">
      <c r="B1684" s="21">
        <f>IF(AND(C1684&lt;&gt;"", H1684&lt;&gt;""), HYPERLINK("#'" &amp; C1684 &amp; "'!" &amp; H1684, H1684), "")</f>
        <v>0</v>
      </c>
    </row>
    <row r="1685" spans="2:2">
      <c r="B1685" s="21">
        <f>IF(AND(C1685&lt;&gt;"", H1685&lt;&gt;""), HYPERLINK("#'" &amp; C1685 &amp; "'!" &amp; H1685, H1685), "")</f>
        <v>0</v>
      </c>
    </row>
    <row r="1686" spans="2:2">
      <c r="B1686" s="21">
        <f>IF(AND(C1686&lt;&gt;"", H1686&lt;&gt;""), HYPERLINK("#'" &amp; C1686 &amp; "'!" &amp; H1686, H1686), "")</f>
        <v>0</v>
      </c>
    </row>
    <row r="1687" spans="2:2">
      <c r="B1687" s="21">
        <f>IF(AND(C1687&lt;&gt;"", H1687&lt;&gt;""), HYPERLINK("#'" &amp; C1687 &amp; "'!" &amp; H1687, H1687), "")</f>
        <v>0</v>
      </c>
    </row>
    <row r="1688" spans="2:2">
      <c r="B1688" s="21">
        <f>IF(AND(C1688&lt;&gt;"", H1688&lt;&gt;""), HYPERLINK("#'" &amp; C1688 &amp; "'!" &amp; H1688, H1688), "")</f>
        <v>0</v>
      </c>
    </row>
    <row r="1689" spans="2:2">
      <c r="B1689" s="21">
        <f>IF(AND(C1689&lt;&gt;"", H1689&lt;&gt;""), HYPERLINK("#'" &amp; C1689 &amp; "'!" &amp; H1689, H1689), "")</f>
        <v>0</v>
      </c>
    </row>
    <row r="1690" spans="2:2">
      <c r="B1690" s="21">
        <f>IF(AND(C1690&lt;&gt;"", H1690&lt;&gt;""), HYPERLINK("#'" &amp; C1690 &amp; "'!" &amp; H1690, H1690), "")</f>
        <v>0</v>
      </c>
    </row>
    <row r="1691" spans="2:2">
      <c r="B1691" s="21">
        <f>IF(AND(C1691&lt;&gt;"", H1691&lt;&gt;""), HYPERLINK("#'" &amp; C1691 &amp; "'!" &amp; H1691, H1691), "")</f>
        <v>0</v>
      </c>
    </row>
    <row r="1692" spans="2:2">
      <c r="B1692" s="21">
        <f>IF(AND(C1692&lt;&gt;"", H1692&lt;&gt;""), HYPERLINK("#'" &amp; C1692 &amp; "'!" &amp; H1692, H1692), "")</f>
        <v>0</v>
      </c>
    </row>
    <row r="1693" spans="2:2">
      <c r="B1693" s="21">
        <f>IF(AND(C1693&lt;&gt;"", H1693&lt;&gt;""), HYPERLINK("#'" &amp; C1693 &amp; "'!" &amp; H1693, H1693), "")</f>
        <v>0</v>
      </c>
    </row>
    <row r="1694" spans="2:2">
      <c r="B1694" s="21">
        <f>IF(AND(C1694&lt;&gt;"", H1694&lt;&gt;""), HYPERLINK("#'" &amp; C1694 &amp; "'!" &amp; H1694, H1694), "")</f>
        <v>0</v>
      </c>
    </row>
    <row r="1695" spans="2:2">
      <c r="B1695" s="21">
        <f>IF(AND(C1695&lt;&gt;"", H1695&lt;&gt;""), HYPERLINK("#'" &amp; C1695 &amp; "'!" &amp; H1695, H1695), "")</f>
        <v>0</v>
      </c>
    </row>
    <row r="1696" spans="2:2">
      <c r="B1696" s="21">
        <f>IF(AND(C1696&lt;&gt;"", H1696&lt;&gt;""), HYPERLINK("#'" &amp; C1696 &amp; "'!" &amp; H1696, H1696), "")</f>
        <v>0</v>
      </c>
    </row>
    <row r="1697" spans="2:2">
      <c r="B1697" s="21">
        <f>IF(AND(C1697&lt;&gt;"", H1697&lt;&gt;""), HYPERLINK("#'" &amp; C1697 &amp; "'!" &amp; H1697, H1697), "")</f>
        <v>0</v>
      </c>
    </row>
    <row r="1698" spans="2:2">
      <c r="B1698" s="21">
        <f>IF(AND(C1698&lt;&gt;"", H1698&lt;&gt;""), HYPERLINK("#'" &amp; C1698 &amp; "'!" &amp; H1698, H1698), "")</f>
        <v>0</v>
      </c>
    </row>
    <row r="1699" spans="2:2">
      <c r="B1699" s="21">
        <f>IF(AND(C1699&lt;&gt;"", H1699&lt;&gt;""), HYPERLINK("#'" &amp; C1699 &amp; "'!" &amp; H1699, H1699), "")</f>
        <v>0</v>
      </c>
    </row>
    <row r="1700" spans="2:2">
      <c r="B1700" s="21">
        <f>IF(AND(C1700&lt;&gt;"", H1700&lt;&gt;""), HYPERLINK("#'" &amp; C1700 &amp; "'!" &amp; H1700, H1700), "")</f>
        <v>0</v>
      </c>
    </row>
    <row r="1701" spans="2:2">
      <c r="B1701" s="21">
        <f>IF(AND(C1701&lt;&gt;"", H1701&lt;&gt;""), HYPERLINK("#'" &amp; C1701 &amp; "'!" &amp; H1701, H1701), "")</f>
        <v>0</v>
      </c>
    </row>
    <row r="1702" spans="2:2">
      <c r="B1702" s="21">
        <f>IF(AND(C1702&lt;&gt;"", H1702&lt;&gt;""), HYPERLINK("#'" &amp; C1702 &amp; "'!" &amp; H1702, H1702), "")</f>
        <v>0</v>
      </c>
    </row>
    <row r="1703" spans="2:2">
      <c r="B1703" s="21">
        <f>IF(AND(C1703&lt;&gt;"", H1703&lt;&gt;""), HYPERLINK("#'" &amp; C1703 &amp; "'!" &amp; H1703, H1703), "")</f>
        <v>0</v>
      </c>
    </row>
    <row r="1704" spans="2:2">
      <c r="B1704" s="21">
        <f>IF(AND(C1704&lt;&gt;"", H1704&lt;&gt;""), HYPERLINK("#'" &amp; C1704 &amp; "'!" &amp; H1704, H1704), "")</f>
        <v>0</v>
      </c>
    </row>
    <row r="1705" spans="2:2">
      <c r="B1705" s="21">
        <f>IF(AND(C1705&lt;&gt;"", H1705&lt;&gt;""), HYPERLINK("#'" &amp; C1705 &amp; "'!" &amp; H1705, H1705), "")</f>
        <v>0</v>
      </c>
    </row>
    <row r="1706" spans="2:2">
      <c r="B1706" s="21">
        <f>IF(AND(C1706&lt;&gt;"", H1706&lt;&gt;""), HYPERLINK("#'" &amp; C1706 &amp; "'!" &amp; H1706, H1706), "")</f>
        <v>0</v>
      </c>
    </row>
    <row r="1707" spans="2:2">
      <c r="B1707" s="21">
        <f>IF(AND(C1707&lt;&gt;"", H1707&lt;&gt;""), HYPERLINK("#'" &amp; C1707 &amp; "'!" &amp; H1707, H1707), "")</f>
        <v>0</v>
      </c>
    </row>
    <row r="1708" spans="2:2">
      <c r="B1708" s="21">
        <f>IF(AND(C1708&lt;&gt;"", H1708&lt;&gt;""), HYPERLINK("#'" &amp; C1708 &amp; "'!" &amp; H1708, H1708), "")</f>
        <v>0</v>
      </c>
    </row>
    <row r="1709" spans="2:2">
      <c r="B1709" s="21">
        <f>IF(AND(C1709&lt;&gt;"", H1709&lt;&gt;""), HYPERLINK("#'" &amp; C1709 &amp; "'!" &amp; H1709, H1709), "")</f>
        <v>0</v>
      </c>
    </row>
    <row r="1710" spans="2:2">
      <c r="B1710" s="21">
        <f>IF(AND(C1710&lt;&gt;"", H1710&lt;&gt;""), HYPERLINK("#'" &amp; C1710 &amp; "'!" &amp; H1710, H1710), "")</f>
        <v>0</v>
      </c>
    </row>
    <row r="1711" spans="2:2">
      <c r="B1711" s="21">
        <f>IF(AND(C1711&lt;&gt;"", H1711&lt;&gt;""), HYPERLINK("#'" &amp; C1711 &amp; "'!" &amp; H1711, H1711), "")</f>
        <v>0</v>
      </c>
    </row>
    <row r="1712" spans="2:2">
      <c r="B1712" s="21">
        <f>IF(AND(C1712&lt;&gt;"", H1712&lt;&gt;""), HYPERLINK("#'" &amp; C1712 &amp; "'!" &amp; H1712, H1712), "")</f>
        <v>0</v>
      </c>
    </row>
    <row r="1713" spans="2:2">
      <c r="B1713" s="21">
        <f>IF(AND(C1713&lt;&gt;"", H1713&lt;&gt;""), HYPERLINK("#'" &amp; C1713 &amp; "'!" &amp; H1713, H1713), "")</f>
        <v>0</v>
      </c>
    </row>
    <row r="1714" spans="2:2">
      <c r="B1714" s="21">
        <f>IF(AND(C1714&lt;&gt;"", H1714&lt;&gt;""), HYPERLINK("#'" &amp; C1714 &amp; "'!" &amp; H1714, H1714), "")</f>
        <v>0</v>
      </c>
    </row>
    <row r="1715" spans="2:2">
      <c r="B1715" s="21">
        <f>IF(AND(C1715&lt;&gt;"", H1715&lt;&gt;""), HYPERLINK("#'" &amp; C1715 &amp; "'!" &amp; H1715, H1715), "")</f>
        <v>0</v>
      </c>
    </row>
    <row r="1716" spans="2:2">
      <c r="B1716" s="21">
        <f>IF(AND(C1716&lt;&gt;"", H1716&lt;&gt;""), HYPERLINK("#'" &amp; C1716 &amp; "'!" &amp; H1716, H1716), "")</f>
        <v>0</v>
      </c>
    </row>
    <row r="1717" spans="2:2">
      <c r="B1717" s="21">
        <f>IF(AND(C1717&lt;&gt;"", H1717&lt;&gt;""), HYPERLINK("#'" &amp; C1717 &amp; "'!" &amp; H1717, H1717), "")</f>
        <v>0</v>
      </c>
    </row>
    <row r="1718" spans="2:2">
      <c r="B1718" s="21">
        <f>IF(AND(C1718&lt;&gt;"", H1718&lt;&gt;""), HYPERLINK("#'" &amp; C1718 &amp; "'!" &amp; H1718, H1718), "")</f>
        <v>0</v>
      </c>
    </row>
    <row r="1719" spans="2:2">
      <c r="B1719" s="21">
        <f>IF(AND(C1719&lt;&gt;"", H1719&lt;&gt;""), HYPERLINK("#'" &amp; C1719 &amp; "'!" &amp; H1719, H1719), "")</f>
        <v>0</v>
      </c>
    </row>
    <row r="1720" spans="2:2">
      <c r="B1720" s="21">
        <f>IF(AND(C1720&lt;&gt;"", H1720&lt;&gt;""), HYPERLINK("#'" &amp; C1720 &amp; "'!" &amp; H1720, H1720), "")</f>
        <v>0</v>
      </c>
    </row>
    <row r="1721" spans="2:2">
      <c r="B1721" s="21">
        <f>IF(AND(C1721&lt;&gt;"", H1721&lt;&gt;""), HYPERLINK("#'" &amp; C1721 &amp; "'!" &amp; H1721, H1721), "")</f>
        <v>0</v>
      </c>
    </row>
    <row r="1722" spans="2:2">
      <c r="B1722" s="21">
        <f>IF(AND(C1722&lt;&gt;"", H1722&lt;&gt;""), HYPERLINK("#'" &amp; C1722 &amp; "'!" &amp; H1722, H1722), "")</f>
        <v>0</v>
      </c>
    </row>
    <row r="1723" spans="2:2">
      <c r="B1723" s="21">
        <f>IF(AND(C1723&lt;&gt;"", H1723&lt;&gt;""), HYPERLINK("#'" &amp; C1723 &amp; "'!" &amp; H1723, H1723), "")</f>
        <v>0</v>
      </c>
    </row>
    <row r="1724" spans="2:2">
      <c r="B1724" s="21">
        <f>IF(AND(C1724&lt;&gt;"", H1724&lt;&gt;""), HYPERLINK("#'" &amp; C1724 &amp; "'!" &amp; H1724, H1724), "")</f>
        <v>0</v>
      </c>
    </row>
    <row r="1725" spans="2:2">
      <c r="B1725" s="21">
        <f>IF(AND(C1725&lt;&gt;"", H1725&lt;&gt;""), HYPERLINK("#'" &amp; C1725 &amp; "'!" &amp; H1725, H1725), "")</f>
        <v>0</v>
      </c>
    </row>
    <row r="1726" spans="2:2">
      <c r="B1726" s="21">
        <f>IF(AND(C1726&lt;&gt;"", H1726&lt;&gt;""), HYPERLINK("#'" &amp; C1726 &amp; "'!" &amp; H1726, H1726), "")</f>
        <v>0</v>
      </c>
    </row>
    <row r="1727" spans="2:2">
      <c r="B1727" s="21">
        <f>IF(AND(C1727&lt;&gt;"", H1727&lt;&gt;""), HYPERLINK("#'" &amp; C1727 &amp; "'!" &amp; H1727, H1727), "")</f>
        <v>0</v>
      </c>
    </row>
    <row r="1728" spans="2:2">
      <c r="B1728" s="21">
        <f>IF(AND(C1728&lt;&gt;"", H1728&lt;&gt;""), HYPERLINK("#'" &amp; C1728 &amp; "'!" &amp; H1728, H1728), "")</f>
        <v>0</v>
      </c>
    </row>
    <row r="1729" spans="2:2">
      <c r="B1729" s="21">
        <f>IF(AND(C1729&lt;&gt;"", H1729&lt;&gt;""), HYPERLINK("#'" &amp; C1729 &amp; "'!" &amp; H1729, H1729), "")</f>
        <v>0</v>
      </c>
    </row>
    <row r="1730" spans="2:2">
      <c r="B1730" s="21">
        <f>IF(AND(C1730&lt;&gt;"", H1730&lt;&gt;""), HYPERLINK("#'" &amp; C1730 &amp; "'!" &amp; H1730, H1730), "")</f>
        <v>0</v>
      </c>
    </row>
    <row r="1731" spans="2:2">
      <c r="B1731" s="21">
        <f>IF(AND(C1731&lt;&gt;"", H1731&lt;&gt;""), HYPERLINK("#'" &amp; C1731 &amp; "'!" &amp; H1731, H1731), "")</f>
        <v>0</v>
      </c>
    </row>
    <row r="1732" spans="2:2">
      <c r="B1732" s="21">
        <f>IF(AND(C1732&lt;&gt;"", H1732&lt;&gt;""), HYPERLINK("#'" &amp; C1732 &amp; "'!" &amp; H1732, H1732), "")</f>
        <v>0</v>
      </c>
    </row>
    <row r="1733" spans="2:2">
      <c r="B1733" s="21">
        <f>IF(AND(C1733&lt;&gt;"", H1733&lt;&gt;""), HYPERLINK("#'" &amp; C1733 &amp; "'!" &amp; H1733, H1733), "")</f>
        <v>0</v>
      </c>
    </row>
    <row r="1734" spans="2:2">
      <c r="B1734" s="21">
        <f>IF(AND(C1734&lt;&gt;"", H1734&lt;&gt;""), HYPERLINK("#'" &amp; C1734 &amp; "'!" &amp; H1734, H1734), "")</f>
        <v>0</v>
      </c>
    </row>
    <row r="1735" spans="2:2">
      <c r="B1735" s="21">
        <f>IF(AND(C1735&lt;&gt;"", H1735&lt;&gt;""), HYPERLINK("#'" &amp; C1735 &amp; "'!" &amp; H1735, H1735), "")</f>
        <v>0</v>
      </c>
    </row>
    <row r="1736" spans="2:2">
      <c r="B1736" s="21">
        <f>IF(AND(C1736&lt;&gt;"", H1736&lt;&gt;""), HYPERLINK("#'" &amp; C1736 &amp; "'!" &amp; H1736, H1736), "")</f>
        <v>0</v>
      </c>
    </row>
    <row r="1737" spans="2:2">
      <c r="B1737" s="21">
        <f>IF(AND(C1737&lt;&gt;"", H1737&lt;&gt;""), HYPERLINK("#'" &amp; C1737 &amp; "'!" &amp; H1737, H1737), "")</f>
        <v>0</v>
      </c>
    </row>
    <row r="1738" spans="2:2">
      <c r="B1738" s="21">
        <f>IF(AND(C1738&lt;&gt;"", H1738&lt;&gt;""), HYPERLINK("#'" &amp; C1738 &amp; "'!" &amp; H1738, H1738), "")</f>
        <v>0</v>
      </c>
    </row>
    <row r="1739" spans="2:2">
      <c r="B1739" s="21">
        <f>IF(AND(C1739&lt;&gt;"", H1739&lt;&gt;""), HYPERLINK("#'" &amp; C1739 &amp; "'!" &amp; H1739, H1739), "")</f>
        <v>0</v>
      </c>
    </row>
    <row r="1740" spans="2:2">
      <c r="B1740" s="21">
        <f>IF(AND(C1740&lt;&gt;"", H1740&lt;&gt;""), HYPERLINK("#'" &amp; C1740 &amp; "'!" &amp; H1740, H1740), "")</f>
        <v>0</v>
      </c>
    </row>
    <row r="1741" spans="2:2">
      <c r="B1741" s="21">
        <f>IF(AND(C1741&lt;&gt;"", H1741&lt;&gt;""), HYPERLINK("#'" &amp; C1741 &amp; "'!" &amp; H1741, H1741), "")</f>
        <v>0</v>
      </c>
    </row>
    <row r="1742" spans="2:2">
      <c r="B1742" s="21">
        <f>IF(AND(C1742&lt;&gt;"", H1742&lt;&gt;""), HYPERLINK("#'" &amp; C1742 &amp; "'!" &amp; H1742, H1742), "")</f>
        <v>0</v>
      </c>
    </row>
    <row r="1743" spans="2:2">
      <c r="B1743" s="21">
        <f>IF(AND(C1743&lt;&gt;"", H1743&lt;&gt;""), HYPERLINK("#'" &amp; C1743 &amp; "'!" &amp; H1743, H1743), "")</f>
        <v>0</v>
      </c>
    </row>
    <row r="1744" spans="2:2">
      <c r="B1744" s="21">
        <f>IF(AND(C1744&lt;&gt;"", H1744&lt;&gt;""), HYPERLINK("#'" &amp; C1744 &amp; "'!" &amp; H1744, H1744), "")</f>
        <v>0</v>
      </c>
    </row>
    <row r="1745" spans="2:2">
      <c r="B1745" s="21">
        <f>IF(AND(C1745&lt;&gt;"", H1745&lt;&gt;""), HYPERLINK("#'" &amp; C1745 &amp; "'!" &amp; H1745, H1745), "")</f>
        <v>0</v>
      </c>
    </row>
    <row r="1746" spans="2:2">
      <c r="B1746" s="21">
        <f>IF(AND(C1746&lt;&gt;"", H1746&lt;&gt;""), HYPERLINK("#'" &amp; C1746 &amp; "'!" &amp; H1746, H1746), "")</f>
        <v>0</v>
      </c>
    </row>
    <row r="1747" spans="2:2">
      <c r="B1747" s="21">
        <f>IF(AND(C1747&lt;&gt;"", H1747&lt;&gt;""), HYPERLINK("#'" &amp; C1747 &amp; "'!" &amp; H1747, H1747), "")</f>
        <v>0</v>
      </c>
    </row>
    <row r="1748" spans="2:2">
      <c r="B1748" s="21">
        <f>IF(AND(C1748&lt;&gt;"", H1748&lt;&gt;""), HYPERLINK("#'" &amp; C1748 &amp; "'!" &amp; H1748, H1748), "")</f>
        <v>0</v>
      </c>
    </row>
    <row r="1749" spans="2:2">
      <c r="B1749" s="21">
        <f>IF(AND(C1749&lt;&gt;"", H1749&lt;&gt;""), HYPERLINK("#'" &amp; C1749 &amp; "'!" &amp; H1749, H1749), "")</f>
        <v>0</v>
      </c>
    </row>
    <row r="1750" spans="2:2">
      <c r="B1750" s="21">
        <f>IF(AND(C1750&lt;&gt;"", H1750&lt;&gt;""), HYPERLINK("#'" &amp; C1750 &amp; "'!" &amp; H1750, H1750), "")</f>
        <v>0</v>
      </c>
    </row>
    <row r="1751" spans="2:2">
      <c r="B1751" s="21">
        <f>IF(AND(C1751&lt;&gt;"", H1751&lt;&gt;""), HYPERLINK("#'" &amp; C1751 &amp; "'!" &amp; H1751, H1751), "")</f>
        <v>0</v>
      </c>
    </row>
    <row r="1752" spans="2:2">
      <c r="B1752" s="21">
        <f>IF(AND(C1752&lt;&gt;"", H1752&lt;&gt;""), HYPERLINK("#'" &amp; C1752 &amp; "'!" &amp; H1752, H1752), "")</f>
        <v>0</v>
      </c>
    </row>
    <row r="1753" spans="2:2">
      <c r="B1753" s="21">
        <f>IF(AND(C1753&lt;&gt;"", H1753&lt;&gt;""), HYPERLINK("#'" &amp; C1753 &amp; "'!" &amp; H1753, H1753), "")</f>
        <v>0</v>
      </c>
    </row>
    <row r="1754" spans="2:2">
      <c r="B1754" s="21">
        <f>IF(AND(C1754&lt;&gt;"", H1754&lt;&gt;""), HYPERLINK("#'" &amp; C1754 &amp; "'!" &amp; H1754, H1754), "")</f>
        <v>0</v>
      </c>
    </row>
    <row r="1755" spans="2:2">
      <c r="B1755" s="21">
        <f>IF(AND(C1755&lt;&gt;"", H1755&lt;&gt;""), HYPERLINK("#'" &amp; C1755 &amp; "'!" &amp; H1755, H1755), "")</f>
        <v>0</v>
      </c>
    </row>
    <row r="1756" spans="2:2">
      <c r="B1756" s="21">
        <f>IF(AND(C1756&lt;&gt;"", H1756&lt;&gt;""), HYPERLINK("#'" &amp; C1756 &amp; "'!" &amp; H1756, H1756), "")</f>
        <v>0</v>
      </c>
    </row>
    <row r="1757" spans="2:2">
      <c r="B1757" s="21">
        <f>IF(AND(C1757&lt;&gt;"", H1757&lt;&gt;""), HYPERLINK("#'" &amp; C1757 &amp; "'!" &amp; H1757, H1757), "")</f>
        <v>0</v>
      </c>
    </row>
    <row r="1758" spans="2:2">
      <c r="B1758" s="21">
        <f>IF(AND(C1758&lt;&gt;"", H1758&lt;&gt;""), HYPERLINK("#'" &amp; C1758 &amp; "'!" &amp; H1758, H1758), "")</f>
        <v>0</v>
      </c>
    </row>
    <row r="1759" spans="2:2">
      <c r="B1759" s="21">
        <f>IF(AND(C1759&lt;&gt;"", H1759&lt;&gt;""), HYPERLINK("#'" &amp; C1759 &amp; "'!" &amp; H1759, H1759), "")</f>
        <v>0</v>
      </c>
    </row>
    <row r="1760" spans="2:2">
      <c r="B1760" s="21">
        <f>IF(AND(C1760&lt;&gt;"", H1760&lt;&gt;""), HYPERLINK("#'" &amp; C1760 &amp; "'!" &amp; H1760, H1760), "")</f>
        <v>0</v>
      </c>
    </row>
    <row r="1761" spans="2:2">
      <c r="B1761" s="21">
        <f>IF(AND(C1761&lt;&gt;"", H1761&lt;&gt;""), HYPERLINK("#'" &amp; C1761 &amp; "'!" &amp; H1761, H1761), "")</f>
        <v>0</v>
      </c>
    </row>
    <row r="1762" spans="2:2">
      <c r="B1762" s="21">
        <f>IF(AND(C1762&lt;&gt;"", H1762&lt;&gt;""), HYPERLINK("#'" &amp; C1762 &amp; "'!" &amp; H1762, H1762), "")</f>
        <v>0</v>
      </c>
    </row>
    <row r="1763" spans="2:2">
      <c r="B1763" s="21">
        <f>IF(AND(C1763&lt;&gt;"", H1763&lt;&gt;""), HYPERLINK("#'" &amp; C1763 &amp; "'!" &amp; H1763, H1763), "")</f>
        <v>0</v>
      </c>
    </row>
    <row r="1764" spans="2:2">
      <c r="B1764" s="21">
        <f>IF(AND(C1764&lt;&gt;"", H1764&lt;&gt;""), HYPERLINK("#'" &amp; C1764 &amp; "'!" &amp; H1764, H1764), "")</f>
        <v>0</v>
      </c>
    </row>
    <row r="1765" spans="2:2">
      <c r="B1765" s="21">
        <f>IF(AND(C1765&lt;&gt;"", H1765&lt;&gt;""), HYPERLINK("#'" &amp; C1765 &amp; "'!" &amp; H1765, H1765), "")</f>
        <v>0</v>
      </c>
    </row>
    <row r="1766" spans="2:2">
      <c r="B1766" s="21">
        <f>IF(AND(C1766&lt;&gt;"", H1766&lt;&gt;""), HYPERLINK("#'" &amp; C1766 &amp; "'!" &amp; H1766, H1766), "")</f>
        <v>0</v>
      </c>
    </row>
    <row r="1767" spans="2:2">
      <c r="B1767" s="21">
        <f>IF(AND(C1767&lt;&gt;"", H1767&lt;&gt;""), HYPERLINK("#'" &amp; C1767 &amp; "'!" &amp; H1767, H1767), "")</f>
        <v>0</v>
      </c>
    </row>
    <row r="1768" spans="2:2">
      <c r="B1768" s="21">
        <f>IF(AND(C1768&lt;&gt;"", H1768&lt;&gt;""), HYPERLINK("#'" &amp; C1768 &amp; "'!" &amp; H1768, H1768), "")</f>
        <v>0</v>
      </c>
    </row>
    <row r="1769" spans="2:2">
      <c r="B1769" s="21">
        <f>IF(AND(C1769&lt;&gt;"", H1769&lt;&gt;""), HYPERLINK("#'" &amp; C1769 &amp; "'!" &amp; H1769, H1769), "")</f>
        <v>0</v>
      </c>
    </row>
    <row r="1770" spans="2:2">
      <c r="B1770" s="21">
        <f>IF(AND(C1770&lt;&gt;"", H1770&lt;&gt;""), HYPERLINK("#'" &amp; C1770 &amp; "'!" &amp; H1770, H1770), "")</f>
        <v>0</v>
      </c>
    </row>
    <row r="1771" spans="2:2">
      <c r="B1771" s="21">
        <f>IF(AND(C1771&lt;&gt;"", H1771&lt;&gt;""), HYPERLINK("#'" &amp; C1771 &amp; "'!" &amp; H1771, H1771), "")</f>
        <v>0</v>
      </c>
    </row>
    <row r="1772" spans="2:2">
      <c r="B1772" s="21">
        <f>IF(AND(C1772&lt;&gt;"", H1772&lt;&gt;""), HYPERLINK("#'" &amp; C1772 &amp; "'!" &amp; H1772, H1772), "")</f>
        <v>0</v>
      </c>
    </row>
    <row r="1773" spans="2:2">
      <c r="B1773" s="21">
        <f>IF(AND(C1773&lt;&gt;"", H1773&lt;&gt;""), HYPERLINK("#'" &amp; C1773 &amp; "'!" &amp; H1773, H1773), "")</f>
        <v>0</v>
      </c>
    </row>
    <row r="1774" spans="2:2">
      <c r="B1774" s="21">
        <f>IF(AND(C1774&lt;&gt;"", H1774&lt;&gt;""), HYPERLINK("#'" &amp; C1774 &amp; "'!" &amp; H1774, H1774), "")</f>
        <v>0</v>
      </c>
    </row>
    <row r="1775" spans="2:2">
      <c r="B1775" s="21">
        <f>IF(AND(C1775&lt;&gt;"", H1775&lt;&gt;""), HYPERLINK("#'" &amp; C1775 &amp; "'!" &amp; H1775, H1775), "")</f>
        <v>0</v>
      </c>
    </row>
    <row r="1776" spans="2:2">
      <c r="B1776" s="21">
        <f>IF(AND(C1776&lt;&gt;"", H1776&lt;&gt;""), HYPERLINK("#'" &amp; C1776 &amp; "'!" &amp; H1776, H1776), "")</f>
        <v>0</v>
      </c>
    </row>
    <row r="1777" spans="2:2">
      <c r="B1777" s="21">
        <f>IF(AND(C1777&lt;&gt;"", H1777&lt;&gt;""), HYPERLINK("#'" &amp; C1777 &amp; "'!" &amp; H1777, H1777), "")</f>
        <v>0</v>
      </c>
    </row>
    <row r="1778" spans="2:2">
      <c r="B1778" s="21">
        <f>IF(AND(C1778&lt;&gt;"", H1778&lt;&gt;""), HYPERLINK("#'" &amp; C1778 &amp; "'!" &amp; H1778, H1778), "")</f>
        <v>0</v>
      </c>
    </row>
    <row r="1779" spans="2:2">
      <c r="B1779" s="21">
        <f>IF(AND(C1779&lt;&gt;"", H1779&lt;&gt;""), HYPERLINK("#'" &amp; C1779 &amp; "'!" &amp; H1779, H1779), "")</f>
        <v>0</v>
      </c>
    </row>
    <row r="1780" spans="2:2">
      <c r="B1780" s="21">
        <f>IF(AND(C1780&lt;&gt;"", H1780&lt;&gt;""), HYPERLINK("#'" &amp; C1780 &amp; "'!" &amp; H1780, H1780), "")</f>
        <v>0</v>
      </c>
    </row>
    <row r="1781" spans="2:2">
      <c r="B1781" s="21">
        <f>IF(AND(C1781&lt;&gt;"", H1781&lt;&gt;""), HYPERLINK("#'" &amp; C1781 &amp; "'!" &amp; H1781, H1781), "")</f>
        <v>0</v>
      </c>
    </row>
    <row r="1782" spans="2:2">
      <c r="B1782" s="21">
        <f>IF(AND(C1782&lt;&gt;"", H1782&lt;&gt;""), HYPERLINK("#'" &amp; C1782 &amp; "'!" &amp; H1782, H1782), "")</f>
        <v>0</v>
      </c>
    </row>
    <row r="1783" spans="2:2">
      <c r="B1783" s="21">
        <f>IF(AND(C1783&lt;&gt;"", H1783&lt;&gt;""), HYPERLINK("#'" &amp; C1783 &amp; "'!" &amp; H1783, H1783), "")</f>
        <v>0</v>
      </c>
    </row>
    <row r="1784" spans="2:2">
      <c r="B1784" s="21">
        <f>IF(AND(C1784&lt;&gt;"", H1784&lt;&gt;""), HYPERLINK("#'" &amp; C1784 &amp; "'!" &amp; H1784, H1784), "")</f>
        <v>0</v>
      </c>
    </row>
    <row r="1785" spans="2:2">
      <c r="B1785" s="21">
        <f>IF(AND(C1785&lt;&gt;"", H1785&lt;&gt;""), HYPERLINK("#'" &amp; C1785 &amp; "'!" &amp; H1785, H1785), "")</f>
        <v>0</v>
      </c>
    </row>
    <row r="1786" spans="2:2">
      <c r="B1786" s="21">
        <f>IF(AND(C1786&lt;&gt;"", H1786&lt;&gt;""), HYPERLINK("#'" &amp; C1786 &amp; "'!" &amp; H1786, H1786), "")</f>
        <v>0</v>
      </c>
    </row>
    <row r="1787" spans="2:2">
      <c r="B1787" s="21">
        <f>IF(AND(C1787&lt;&gt;"", H1787&lt;&gt;""), HYPERLINK("#'" &amp; C1787 &amp; "'!" &amp; H1787, H1787), "")</f>
        <v>0</v>
      </c>
    </row>
    <row r="1788" spans="2:2">
      <c r="B1788" s="21">
        <f>IF(AND(C1788&lt;&gt;"", H1788&lt;&gt;""), HYPERLINK("#'" &amp; C1788 &amp; "'!" &amp; H1788, H1788), "")</f>
        <v>0</v>
      </c>
    </row>
    <row r="1789" spans="2:2">
      <c r="B1789" s="21">
        <f>IF(AND(C1789&lt;&gt;"", H1789&lt;&gt;""), HYPERLINK("#'" &amp; C1789 &amp; "'!" &amp; H1789, H1789), "")</f>
        <v>0</v>
      </c>
    </row>
    <row r="1790" spans="2:2">
      <c r="B1790" s="21">
        <f>IF(AND(C1790&lt;&gt;"", H1790&lt;&gt;""), HYPERLINK("#'" &amp; C1790 &amp; "'!" &amp; H1790, H1790), "")</f>
        <v>0</v>
      </c>
    </row>
    <row r="1791" spans="2:2">
      <c r="B1791" s="21">
        <f>IF(AND(C1791&lt;&gt;"", H1791&lt;&gt;""), HYPERLINK("#'" &amp; C1791 &amp; "'!" &amp; H1791, H1791), "")</f>
        <v>0</v>
      </c>
    </row>
    <row r="1792" spans="2:2">
      <c r="B1792" s="21">
        <f>IF(AND(C1792&lt;&gt;"", H1792&lt;&gt;""), HYPERLINK("#'" &amp; C1792 &amp; "'!" &amp; H1792, H1792), "")</f>
        <v>0</v>
      </c>
    </row>
    <row r="1793" spans="2:2">
      <c r="B1793" s="21">
        <f>IF(AND(C1793&lt;&gt;"", H1793&lt;&gt;""), HYPERLINK("#'" &amp; C1793 &amp; "'!" &amp; H1793, H1793), "")</f>
        <v>0</v>
      </c>
    </row>
    <row r="1794" spans="2:2">
      <c r="B1794" s="21">
        <f>IF(AND(C1794&lt;&gt;"", H1794&lt;&gt;""), HYPERLINK("#'" &amp; C1794 &amp; "'!" &amp; H1794, H1794), "")</f>
        <v>0</v>
      </c>
    </row>
    <row r="1795" spans="2:2">
      <c r="B1795" s="21">
        <f>IF(AND(C1795&lt;&gt;"", H1795&lt;&gt;""), HYPERLINK("#'" &amp; C1795 &amp; "'!" &amp; H1795, H1795), "")</f>
        <v>0</v>
      </c>
    </row>
    <row r="1796" spans="2:2">
      <c r="B1796" s="21">
        <f>IF(AND(C1796&lt;&gt;"", H1796&lt;&gt;""), HYPERLINK("#'" &amp; C1796 &amp; "'!" &amp; H1796, H1796), "")</f>
        <v>0</v>
      </c>
    </row>
    <row r="1797" spans="2:2">
      <c r="B1797" s="21">
        <f>IF(AND(C1797&lt;&gt;"", H1797&lt;&gt;""), HYPERLINK("#'" &amp; C1797 &amp; "'!" &amp; H1797, H1797), "")</f>
        <v>0</v>
      </c>
    </row>
    <row r="1798" spans="2:2">
      <c r="B1798" s="21">
        <f>IF(AND(C1798&lt;&gt;"", H1798&lt;&gt;""), HYPERLINK("#'" &amp; C1798 &amp; "'!" &amp; H1798, H1798), "")</f>
        <v>0</v>
      </c>
    </row>
    <row r="1799" spans="2:2">
      <c r="B1799" s="21">
        <f>IF(AND(C1799&lt;&gt;"", H1799&lt;&gt;""), HYPERLINK("#'" &amp; C1799 &amp; "'!" &amp; H1799, H1799), "")</f>
        <v>0</v>
      </c>
    </row>
    <row r="1800" spans="2:2">
      <c r="B1800" s="21">
        <f>IF(AND(C1800&lt;&gt;"", H1800&lt;&gt;""), HYPERLINK("#'" &amp; C1800 &amp; "'!" &amp; H1800, H1800), "")</f>
        <v>0</v>
      </c>
    </row>
    <row r="1801" spans="2:2">
      <c r="B1801" s="21">
        <f>IF(AND(C1801&lt;&gt;"", H1801&lt;&gt;""), HYPERLINK("#'" &amp; C1801 &amp; "'!" &amp; H1801, H1801), "")</f>
        <v>0</v>
      </c>
    </row>
    <row r="1802" spans="2:2">
      <c r="B1802" s="21">
        <f>IF(AND(C1802&lt;&gt;"", H1802&lt;&gt;""), HYPERLINK("#'" &amp; C1802 &amp; "'!" &amp; H1802, H1802), "")</f>
        <v>0</v>
      </c>
    </row>
    <row r="1803" spans="2:2">
      <c r="B1803" s="21">
        <f>IF(AND(C1803&lt;&gt;"", H1803&lt;&gt;""), HYPERLINK("#'" &amp; C1803 &amp; "'!" &amp; H1803, H1803), "")</f>
        <v>0</v>
      </c>
    </row>
    <row r="1804" spans="2:2">
      <c r="B1804" s="21">
        <f>IF(AND(C1804&lt;&gt;"", H1804&lt;&gt;""), HYPERLINK("#'" &amp; C1804 &amp; "'!" &amp; H1804, H1804), "")</f>
        <v>0</v>
      </c>
    </row>
    <row r="1805" spans="2:2">
      <c r="B1805" s="21">
        <f>IF(AND(C1805&lt;&gt;"", H1805&lt;&gt;""), HYPERLINK("#'" &amp; C1805 &amp; "'!" &amp; H1805, H1805), "")</f>
        <v>0</v>
      </c>
    </row>
    <row r="1806" spans="2:2">
      <c r="B1806" s="21">
        <f>IF(AND(C1806&lt;&gt;"", H1806&lt;&gt;""), HYPERLINK("#'" &amp; C1806 &amp; "'!" &amp; H1806, H1806), "")</f>
        <v>0</v>
      </c>
    </row>
    <row r="1807" spans="2:2">
      <c r="B1807" s="21">
        <f>IF(AND(C1807&lt;&gt;"", H1807&lt;&gt;""), HYPERLINK("#'" &amp; C1807 &amp; "'!" &amp; H1807, H1807), "")</f>
        <v>0</v>
      </c>
    </row>
    <row r="1808" spans="2:2">
      <c r="B1808" s="21">
        <f>IF(AND(C1808&lt;&gt;"", H1808&lt;&gt;""), HYPERLINK("#'" &amp; C1808 &amp; "'!" &amp; H1808, H1808), "")</f>
        <v>0</v>
      </c>
    </row>
    <row r="1809" spans="2:2">
      <c r="B1809" s="21">
        <f>IF(AND(C1809&lt;&gt;"", H1809&lt;&gt;""), HYPERLINK("#'" &amp; C1809 &amp; "'!" &amp; H1809, H1809), "")</f>
        <v>0</v>
      </c>
    </row>
    <row r="1810" spans="2:2">
      <c r="B1810" s="21">
        <f>IF(AND(C1810&lt;&gt;"", H1810&lt;&gt;""), HYPERLINK("#'" &amp; C1810 &amp; "'!" &amp; H1810, H1810), "")</f>
        <v>0</v>
      </c>
    </row>
    <row r="1811" spans="2:2">
      <c r="B1811" s="21">
        <f>IF(AND(C1811&lt;&gt;"", H1811&lt;&gt;""), HYPERLINK("#'" &amp; C1811 &amp; "'!" &amp; H1811, H1811), "")</f>
        <v>0</v>
      </c>
    </row>
    <row r="1812" spans="2:2">
      <c r="B1812" s="21">
        <f>IF(AND(C1812&lt;&gt;"", H1812&lt;&gt;""), HYPERLINK("#'" &amp; C1812 &amp; "'!" &amp; H1812, H1812), "")</f>
        <v>0</v>
      </c>
    </row>
    <row r="1813" spans="2:2">
      <c r="B1813" s="21">
        <f>IF(AND(C1813&lt;&gt;"", H1813&lt;&gt;""), HYPERLINK("#'" &amp; C1813 &amp; "'!" &amp; H1813, H1813), "")</f>
        <v>0</v>
      </c>
    </row>
    <row r="1814" spans="2:2">
      <c r="B1814" s="21">
        <f>IF(AND(C1814&lt;&gt;"", H1814&lt;&gt;""), HYPERLINK("#'" &amp; C1814 &amp; "'!" &amp; H1814, H1814), "")</f>
        <v>0</v>
      </c>
    </row>
    <row r="1815" spans="2:2">
      <c r="B1815" s="21">
        <f>IF(AND(C1815&lt;&gt;"", H1815&lt;&gt;""), HYPERLINK("#'" &amp; C1815 &amp; "'!" &amp; H1815, H1815), "")</f>
        <v>0</v>
      </c>
    </row>
    <row r="1816" spans="2:2">
      <c r="B1816" s="21">
        <f>IF(AND(C1816&lt;&gt;"", H1816&lt;&gt;""), HYPERLINK("#'" &amp; C1816 &amp; "'!" &amp; H1816, H1816), "")</f>
        <v>0</v>
      </c>
    </row>
    <row r="1817" spans="2:2">
      <c r="B1817" s="21">
        <f>IF(AND(C1817&lt;&gt;"", H1817&lt;&gt;""), HYPERLINK("#'" &amp; C1817 &amp; "'!" &amp; H1817, H1817), "")</f>
        <v>0</v>
      </c>
    </row>
    <row r="1818" spans="2:2">
      <c r="B1818" s="21">
        <f>IF(AND(C1818&lt;&gt;"", H1818&lt;&gt;""), HYPERLINK("#'" &amp; C1818 &amp; "'!" &amp; H1818, H1818), "")</f>
        <v>0</v>
      </c>
    </row>
    <row r="1819" spans="2:2">
      <c r="B1819" s="21">
        <f>IF(AND(C1819&lt;&gt;"", H1819&lt;&gt;""), HYPERLINK("#'" &amp; C1819 &amp; "'!" &amp; H1819, H1819), "")</f>
        <v>0</v>
      </c>
    </row>
    <row r="1820" spans="2:2">
      <c r="B1820" s="21">
        <f>IF(AND(C1820&lt;&gt;"", H1820&lt;&gt;""), HYPERLINK("#'" &amp; C1820 &amp; "'!" &amp; H1820, H1820), "")</f>
        <v>0</v>
      </c>
    </row>
    <row r="1821" spans="2:2">
      <c r="B1821" s="21">
        <f>IF(AND(C1821&lt;&gt;"", H1821&lt;&gt;""), HYPERLINK("#'" &amp; C1821 &amp; "'!" &amp; H1821, H1821), "")</f>
        <v>0</v>
      </c>
    </row>
    <row r="1822" spans="2:2">
      <c r="B1822" s="21">
        <f>IF(AND(C1822&lt;&gt;"", H1822&lt;&gt;""), HYPERLINK("#'" &amp; C1822 &amp; "'!" &amp; H1822, H1822), "")</f>
        <v>0</v>
      </c>
    </row>
    <row r="1823" spans="2:2">
      <c r="B1823" s="21">
        <f>IF(AND(C1823&lt;&gt;"", H1823&lt;&gt;""), HYPERLINK("#'" &amp; C1823 &amp; "'!" &amp; H1823, H1823), "")</f>
        <v>0</v>
      </c>
    </row>
    <row r="1824" spans="2:2">
      <c r="B1824" s="21">
        <f>IF(AND(C1824&lt;&gt;"", H1824&lt;&gt;""), HYPERLINK("#'" &amp; C1824 &amp; "'!" &amp; H1824, H1824), "")</f>
        <v>0</v>
      </c>
    </row>
    <row r="1825" spans="2:2">
      <c r="B1825" s="21">
        <f>IF(AND(C1825&lt;&gt;"", H1825&lt;&gt;""), HYPERLINK("#'" &amp; C1825 &amp; "'!" &amp; H1825, H1825), "")</f>
        <v>0</v>
      </c>
    </row>
    <row r="1826" spans="2:2">
      <c r="B1826" s="21">
        <f>IF(AND(C1826&lt;&gt;"", H1826&lt;&gt;""), HYPERLINK("#'" &amp; C1826 &amp; "'!" &amp; H1826, H1826), "")</f>
        <v>0</v>
      </c>
    </row>
    <row r="1827" spans="2:2">
      <c r="B1827" s="21">
        <f>IF(AND(C1827&lt;&gt;"", H1827&lt;&gt;""), HYPERLINK("#'" &amp; C1827 &amp; "'!" &amp; H1827, H1827), "")</f>
        <v>0</v>
      </c>
    </row>
    <row r="1828" spans="2:2">
      <c r="B1828" s="21">
        <f>IF(AND(C1828&lt;&gt;"", H1828&lt;&gt;""), HYPERLINK("#'" &amp; C1828 &amp; "'!" &amp; H1828, H1828), "")</f>
        <v>0</v>
      </c>
    </row>
    <row r="1829" spans="2:2">
      <c r="B1829" s="21">
        <f>IF(AND(C1829&lt;&gt;"", H1829&lt;&gt;""), HYPERLINK("#'" &amp; C1829 &amp; "'!" &amp; H1829, H1829), "")</f>
        <v>0</v>
      </c>
    </row>
    <row r="1830" spans="2:2">
      <c r="B1830" s="21">
        <f>IF(AND(C1830&lt;&gt;"", H1830&lt;&gt;""), HYPERLINK("#'" &amp; C1830 &amp; "'!" &amp; H1830, H1830), "")</f>
        <v>0</v>
      </c>
    </row>
    <row r="1831" spans="2:2">
      <c r="B1831" s="21">
        <f>IF(AND(C1831&lt;&gt;"", H1831&lt;&gt;""), HYPERLINK("#'" &amp; C1831 &amp; "'!" &amp; H1831, H1831), "")</f>
        <v>0</v>
      </c>
    </row>
    <row r="1832" spans="2:2">
      <c r="B1832" s="21">
        <f>IF(AND(C1832&lt;&gt;"", H1832&lt;&gt;""), HYPERLINK("#'" &amp; C1832 &amp; "'!" &amp; H1832, H1832), "")</f>
        <v>0</v>
      </c>
    </row>
    <row r="1833" spans="2:2">
      <c r="B1833" s="21">
        <f>IF(AND(C1833&lt;&gt;"", H1833&lt;&gt;""), HYPERLINK("#'" &amp; C1833 &amp; "'!" &amp; H1833, H1833), "")</f>
        <v>0</v>
      </c>
    </row>
    <row r="1834" spans="2:2">
      <c r="B1834" s="21">
        <f>IF(AND(C1834&lt;&gt;"", H1834&lt;&gt;""), HYPERLINK("#'" &amp; C1834 &amp; "'!" &amp; H1834, H1834), "")</f>
        <v>0</v>
      </c>
    </row>
    <row r="1835" spans="2:2">
      <c r="B1835" s="21">
        <f>IF(AND(C1835&lt;&gt;"", H1835&lt;&gt;""), HYPERLINK("#'" &amp; C1835 &amp; "'!" &amp; H1835, H1835), "")</f>
        <v>0</v>
      </c>
    </row>
    <row r="1836" spans="2:2">
      <c r="B1836" s="21">
        <f>IF(AND(C1836&lt;&gt;"", H1836&lt;&gt;""), HYPERLINK("#'" &amp; C1836 &amp; "'!" &amp; H1836, H1836), "")</f>
        <v>0</v>
      </c>
    </row>
    <row r="1837" spans="2:2">
      <c r="B1837" s="21">
        <f>IF(AND(C1837&lt;&gt;"", H1837&lt;&gt;""), HYPERLINK("#'" &amp; C1837 &amp; "'!" &amp; H1837, H1837), "")</f>
        <v>0</v>
      </c>
    </row>
    <row r="1838" spans="2:2">
      <c r="B1838" s="21">
        <f>IF(AND(C1838&lt;&gt;"", H1838&lt;&gt;""), HYPERLINK("#'" &amp; C1838 &amp; "'!" &amp; H1838, H1838), "")</f>
        <v>0</v>
      </c>
    </row>
    <row r="1839" spans="2:2">
      <c r="B1839" s="21">
        <f>IF(AND(C1839&lt;&gt;"", H1839&lt;&gt;""), HYPERLINK("#'" &amp; C1839 &amp; "'!" &amp; H1839, H1839), "")</f>
        <v>0</v>
      </c>
    </row>
    <row r="1840" spans="2:2">
      <c r="B1840" s="21">
        <f>IF(AND(C1840&lt;&gt;"", H1840&lt;&gt;""), HYPERLINK("#'" &amp; C1840 &amp; "'!" &amp; H1840, H1840), "")</f>
        <v>0</v>
      </c>
    </row>
    <row r="1841" spans="2:2">
      <c r="B1841" s="21">
        <f>IF(AND(C1841&lt;&gt;"", H1841&lt;&gt;""), HYPERLINK("#'" &amp; C1841 &amp; "'!" &amp; H1841, H1841), "")</f>
        <v>0</v>
      </c>
    </row>
    <row r="1842" spans="2:2">
      <c r="B1842" s="21">
        <f>IF(AND(C1842&lt;&gt;"", H1842&lt;&gt;""), HYPERLINK("#'" &amp; C1842 &amp; "'!" &amp; H1842, H1842), "")</f>
        <v>0</v>
      </c>
    </row>
    <row r="1843" spans="2:2">
      <c r="B1843" s="21">
        <f>IF(AND(C1843&lt;&gt;"", H1843&lt;&gt;""), HYPERLINK("#'" &amp; C1843 &amp; "'!" &amp; H1843, H1843), "")</f>
        <v>0</v>
      </c>
    </row>
    <row r="1844" spans="2:2">
      <c r="B1844" s="21">
        <f>IF(AND(C1844&lt;&gt;"", H1844&lt;&gt;""), HYPERLINK("#'" &amp; C1844 &amp; "'!" &amp; H1844, H1844), "")</f>
        <v>0</v>
      </c>
    </row>
    <row r="1845" spans="2:2">
      <c r="B1845" s="21">
        <f>IF(AND(C1845&lt;&gt;"", H1845&lt;&gt;""), HYPERLINK("#'" &amp; C1845 &amp; "'!" &amp; H1845, H1845), "")</f>
        <v>0</v>
      </c>
    </row>
    <row r="1846" spans="2:2">
      <c r="B1846" s="21">
        <f>IF(AND(C1846&lt;&gt;"", H1846&lt;&gt;""), HYPERLINK("#'" &amp; C1846 &amp; "'!" &amp; H1846, H1846), "")</f>
        <v>0</v>
      </c>
    </row>
    <row r="1847" spans="2:2">
      <c r="B1847" s="21">
        <f>IF(AND(C1847&lt;&gt;"", H1847&lt;&gt;""), HYPERLINK("#'" &amp; C1847 &amp; "'!" &amp; H1847, H1847), "")</f>
        <v>0</v>
      </c>
    </row>
    <row r="1848" spans="2:2">
      <c r="B1848" s="21">
        <f>IF(AND(C1848&lt;&gt;"", H1848&lt;&gt;""), HYPERLINK("#'" &amp; C1848 &amp; "'!" &amp; H1848, H1848), "")</f>
        <v>0</v>
      </c>
    </row>
    <row r="1849" spans="2:2">
      <c r="B1849" s="21">
        <f>IF(AND(C1849&lt;&gt;"", H1849&lt;&gt;""), HYPERLINK("#'" &amp; C1849 &amp; "'!" &amp; H1849, H1849), "")</f>
        <v>0</v>
      </c>
    </row>
    <row r="1850" spans="2:2">
      <c r="B1850" s="21">
        <f>IF(AND(C1850&lt;&gt;"", H1850&lt;&gt;""), HYPERLINK("#'" &amp; C1850 &amp; "'!" &amp; H1850, H1850), "")</f>
        <v>0</v>
      </c>
    </row>
    <row r="1851" spans="2:2">
      <c r="B1851" s="21">
        <f>IF(AND(C1851&lt;&gt;"", H1851&lt;&gt;""), HYPERLINK("#'" &amp; C1851 &amp; "'!" &amp; H1851, H1851), "")</f>
        <v>0</v>
      </c>
    </row>
    <row r="1852" spans="2:2">
      <c r="B1852" s="21">
        <f>IF(AND(C1852&lt;&gt;"", H1852&lt;&gt;""), HYPERLINK("#'" &amp; C1852 &amp; "'!" &amp; H1852, H1852), "")</f>
        <v>0</v>
      </c>
    </row>
    <row r="1853" spans="2:2">
      <c r="B1853" s="21">
        <f>IF(AND(C1853&lt;&gt;"", H1853&lt;&gt;""), HYPERLINK("#'" &amp; C1853 &amp; "'!" &amp; H1853, H1853), "")</f>
        <v>0</v>
      </c>
    </row>
    <row r="1854" spans="2:2">
      <c r="B1854" s="21">
        <f>IF(AND(C1854&lt;&gt;"", H1854&lt;&gt;""), HYPERLINK("#'" &amp; C1854 &amp; "'!" &amp; H1854, H1854), "")</f>
        <v>0</v>
      </c>
    </row>
    <row r="1855" spans="2:2">
      <c r="B1855" s="21">
        <f>IF(AND(C1855&lt;&gt;"", H1855&lt;&gt;""), HYPERLINK("#'" &amp; C1855 &amp; "'!" &amp; H1855, H1855), "")</f>
        <v>0</v>
      </c>
    </row>
    <row r="1856" spans="2:2">
      <c r="B1856" s="21">
        <f>IF(AND(C1856&lt;&gt;"", H1856&lt;&gt;""), HYPERLINK("#'" &amp; C1856 &amp; "'!" &amp; H1856, H1856), "")</f>
        <v>0</v>
      </c>
    </row>
    <row r="1857" spans="2:2">
      <c r="B1857" s="21">
        <f>IF(AND(C1857&lt;&gt;"", H1857&lt;&gt;""), HYPERLINK("#'" &amp; C1857 &amp; "'!" &amp; H1857, H1857), "")</f>
        <v>0</v>
      </c>
    </row>
    <row r="1858" spans="2:2">
      <c r="B1858" s="21">
        <f>IF(AND(C1858&lt;&gt;"", H1858&lt;&gt;""), HYPERLINK("#'" &amp; C1858 &amp; "'!" &amp; H1858, H1858), "")</f>
        <v>0</v>
      </c>
    </row>
    <row r="1859" spans="2:2">
      <c r="B1859" s="21">
        <f>IF(AND(C1859&lt;&gt;"", H1859&lt;&gt;""), HYPERLINK("#'" &amp; C1859 &amp; "'!" &amp; H1859, H1859), "")</f>
        <v>0</v>
      </c>
    </row>
    <row r="1860" spans="2:2">
      <c r="B1860" s="21">
        <f>IF(AND(C1860&lt;&gt;"", H1860&lt;&gt;""), HYPERLINK("#'" &amp; C1860 &amp; "'!" &amp; H1860, H1860), "")</f>
        <v>0</v>
      </c>
    </row>
    <row r="1861" spans="2:2">
      <c r="B1861" s="21">
        <f>IF(AND(C1861&lt;&gt;"", H1861&lt;&gt;""), HYPERLINK("#'" &amp; C1861 &amp; "'!" &amp; H1861, H1861), "")</f>
        <v>0</v>
      </c>
    </row>
    <row r="1862" spans="2:2">
      <c r="B1862" s="21">
        <f>IF(AND(C1862&lt;&gt;"", H1862&lt;&gt;""), HYPERLINK("#'" &amp; C1862 &amp; "'!" &amp; H1862, H1862), "")</f>
        <v>0</v>
      </c>
    </row>
    <row r="1863" spans="2:2">
      <c r="B1863" s="21">
        <f>IF(AND(C1863&lt;&gt;"", H1863&lt;&gt;""), HYPERLINK("#'" &amp; C1863 &amp; "'!" &amp; H1863, H1863), "")</f>
        <v>0</v>
      </c>
    </row>
    <row r="1864" spans="2:2">
      <c r="B1864" s="21">
        <f>IF(AND(C1864&lt;&gt;"", H1864&lt;&gt;""), HYPERLINK("#'" &amp; C1864 &amp; "'!" &amp; H1864, H1864), "")</f>
        <v>0</v>
      </c>
    </row>
    <row r="1865" spans="2:2">
      <c r="B1865" s="21">
        <f>IF(AND(C1865&lt;&gt;"", H1865&lt;&gt;""), HYPERLINK("#'" &amp; C1865 &amp; "'!" &amp; H1865, H1865), "")</f>
        <v>0</v>
      </c>
    </row>
    <row r="1866" spans="2:2">
      <c r="B1866" s="21">
        <f>IF(AND(C1866&lt;&gt;"", H1866&lt;&gt;""), HYPERLINK("#'" &amp; C1866 &amp; "'!" &amp; H1866, H1866), "")</f>
        <v>0</v>
      </c>
    </row>
    <row r="1867" spans="2:2">
      <c r="B1867" s="21">
        <f>IF(AND(C1867&lt;&gt;"", H1867&lt;&gt;""), HYPERLINK("#'" &amp; C1867 &amp; "'!" &amp; H1867, H1867), "")</f>
        <v>0</v>
      </c>
    </row>
    <row r="1868" spans="2:2">
      <c r="B1868" s="21">
        <f>IF(AND(C1868&lt;&gt;"", H1868&lt;&gt;""), HYPERLINK("#'" &amp; C1868 &amp; "'!" &amp; H1868, H1868), "")</f>
        <v>0</v>
      </c>
    </row>
    <row r="1869" spans="2:2">
      <c r="B1869" s="21">
        <f>IF(AND(C1869&lt;&gt;"", H1869&lt;&gt;""), HYPERLINK("#'" &amp; C1869 &amp; "'!" &amp; H1869, H1869), "")</f>
        <v>0</v>
      </c>
    </row>
    <row r="1870" spans="2:2">
      <c r="B1870" s="21">
        <f>IF(AND(C1870&lt;&gt;"", H1870&lt;&gt;""), HYPERLINK("#'" &amp; C1870 &amp; "'!" &amp; H1870, H1870), "")</f>
        <v>0</v>
      </c>
    </row>
    <row r="1871" spans="2:2">
      <c r="B1871" s="21">
        <f>IF(AND(C1871&lt;&gt;"", H1871&lt;&gt;""), HYPERLINK("#'" &amp; C1871 &amp; "'!" &amp; H1871, H1871), "")</f>
        <v>0</v>
      </c>
    </row>
    <row r="1872" spans="2:2">
      <c r="B1872" s="21">
        <f>IF(AND(C1872&lt;&gt;"", H1872&lt;&gt;""), HYPERLINK("#'" &amp; C1872 &amp; "'!" &amp; H1872, H1872), "")</f>
        <v>0</v>
      </c>
    </row>
    <row r="1873" spans="2:2">
      <c r="B1873" s="21">
        <f>IF(AND(C1873&lt;&gt;"", H1873&lt;&gt;""), HYPERLINK("#'" &amp; C1873 &amp; "'!" &amp; H1873, H1873), "")</f>
        <v>0</v>
      </c>
    </row>
    <row r="1874" spans="2:2">
      <c r="B1874" s="21">
        <f>IF(AND(C1874&lt;&gt;"", H1874&lt;&gt;""), HYPERLINK("#'" &amp; C1874 &amp; "'!" &amp; H1874, H1874), "")</f>
        <v>0</v>
      </c>
    </row>
    <row r="1875" spans="2:2">
      <c r="B1875" s="21">
        <f>IF(AND(C1875&lt;&gt;"", H1875&lt;&gt;""), HYPERLINK("#'" &amp; C1875 &amp; "'!" &amp; H1875, H1875), "")</f>
        <v>0</v>
      </c>
    </row>
    <row r="1876" spans="2:2">
      <c r="B1876" s="21">
        <f>IF(AND(C1876&lt;&gt;"", H1876&lt;&gt;""), HYPERLINK("#'" &amp; C1876 &amp; "'!" &amp; H1876, H1876), "")</f>
        <v>0</v>
      </c>
    </row>
    <row r="1877" spans="2:2">
      <c r="B1877" s="21">
        <f>IF(AND(C1877&lt;&gt;"", H1877&lt;&gt;""), HYPERLINK("#'" &amp; C1877 &amp; "'!" &amp; H1877, H1877), "")</f>
        <v>0</v>
      </c>
    </row>
    <row r="1878" spans="2:2">
      <c r="B1878" s="21">
        <f>IF(AND(C1878&lt;&gt;"", H1878&lt;&gt;""), HYPERLINK("#'" &amp; C1878 &amp; "'!" &amp; H1878, H1878), "")</f>
        <v>0</v>
      </c>
    </row>
    <row r="1879" spans="2:2">
      <c r="B1879" s="21">
        <f>IF(AND(C1879&lt;&gt;"", H1879&lt;&gt;""), HYPERLINK("#'" &amp; C1879 &amp; "'!" &amp; H1879, H1879), "")</f>
        <v>0</v>
      </c>
    </row>
    <row r="1880" spans="2:2">
      <c r="B1880" s="21">
        <f>IF(AND(C1880&lt;&gt;"", H1880&lt;&gt;""), HYPERLINK("#'" &amp; C1880 &amp; "'!" &amp; H1880, H1880), "")</f>
        <v>0</v>
      </c>
    </row>
    <row r="1881" spans="2:2">
      <c r="B1881" s="21">
        <f>IF(AND(C1881&lt;&gt;"", H1881&lt;&gt;""), HYPERLINK("#'" &amp; C1881 &amp; "'!" &amp; H1881, H1881), "")</f>
        <v>0</v>
      </c>
    </row>
    <row r="1882" spans="2:2">
      <c r="B1882" s="21">
        <f>IF(AND(C1882&lt;&gt;"", H1882&lt;&gt;""), HYPERLINK("#'" &amp; C1882 &amp; "'!" &amp; H1882, H1882), "")</f>
        <v>0</v>
      </c>
    </row>
    <row r="1883" spans="2:2">
      <c r="B1883" s="21">
        <f>IF(AND(C1883&lt;&gt;"", H1883&lt;&gt;""), HYPERLINK("#'" &amp; C1883 &amp; "'!" &amp; H1883, H1883), "")</f>
        <v>0</v>
      </c>
    </row>
    <row r="1884" spans="2:2">
      <c r="B1884" s="21">
        <f>IF(AND(C1884&lt;&gt;"", H1884&lt;&gt;""), HYPERLINK("#'" &amp; C1884 &amp; "'!" &amp; H1884, H1884), "")</f>
        <v>0</v>
      </c>
    </row>
    <row r="1885" spans="2:2">
      <c r="B1885" s="21">
        <f>IF(AND(C1885&lt;&gt;"", H1885&lt;&gt;""), HYPERLINK("#'" &amp; C1885 &amp; "'!" &amp; H1885, H1885), "")</f>
        <v>0</v>
      </c>
    </row>
    <row r="1886" spans="2:2">
      <c r="B1886" s="21">
        <f>IF(AND(C1886&lt;&gt;"", H1886&lt;&gt;""), HYPERLINK("#'" &amp; C1886 &amp; "'!" &amp; H1886, H1886), "")</f>
        <v>0</v>
      </c>
    </row>
    <row r="1887" spans="2:2">
      <c r="B1887" s="21">
        <f>IF(AND(C1887&lt;&gt;"", H1887&lt;&gt;""), HYPERLINK("#'" &amp; C1887 &amp; "'!" &amp; H1887, H1887), "")</f>
        <v>0</v>
      </c>
    </row>
    <row r="1888" spans="2:2">
      <c r="B1888" s="21">
        <f>IF(AND(C1888&lt;&gt;"", H1888&lt;&gt;""), HYPERLINK("#'" &amp; C1888 &amp; "'!" &amp; H1888, H1888), "")</f>
        <v>0</v>
      </c>
    </row>
    <row r="1889" spans="2:2">
      <c r="B1889" s="21">
        <f>IF(AND(C1889&lt;&gt;"", H1889&lt;&gt;""), HYPERLINK("#'" &amp; C1889 &amp; "'!" &amp; H1889, H1889), "")</f>
        <v>0</v>
      </c>
    </row>
    <row r="1890" spans="2:2">
      <c r="B1890" s="21">
        <f>IF(AND(C1890&lt;&gt;"", H1890&lt;&gt;""), HYPERLINK("#'" &amp; C1890 &amp; "'!" &amp; H1890, H1890), "")</f>
        <v>0</v>
      </c>
    </row>
    <row r="1891" spans="2:2">
      <c r="B1891" s="21">
        <f>IF(AND(C1891&lt;&gt;"", H1891&lt;&gt;""), HYPERLINK("#'" &amp; C1891 &amp; "'!" &amp; H1891, H1891), "")</f>
        <v>0</v>
      </c>
    </row>
    <row r="1892" spans="2:2">
      <c r="B1892" s="21">
        <f>IF(AND(C1892&lt;&gt;"", H1892&lt;&gt;""), HYPERLINK("#'" &amp; C1892 &amp; "'!" &amp; H1892, H1892), "")</f>
        <v>0</v>
      </c>
    </row>
    <row r="1893" spans="2:2">
      <c r="B1893" s="21">
        <f>IF(AND(C1893&lt;&gt;"", H1893&lt;&gt;""), HYPERLINK("#'" &amp; C1893 &amp; "'!" &amp; H1893, H1893), "")</f>
        <v>0</v>
      </c>
    </row>
    <row r="1894" spans="2:2">
      <c r="B1894" s="21">
        <f>IF(AND(C1894&lt;&gt;"", H1894&lt;&gt;""), HYPERLINK("#'" &amp; C1894 &amp; "'!" &amp; H1894, H1894), "")</f>
        <v>0</v>
      </c>
    </row>
    <row r="1895" spans="2:2">
      <c r="B1895" s="21">
        <f>IF(AND(C1895&lt;&gt;"", H1895&lt;&gt;""), HYPERLINK("#'" &amp; C1895 &amp; "'!" &amp; H1895, H1895), "")</f>
        <v>0</v>
      </c>
    </row>
    <row r="1896" spans="2:2">
      <c r="B1896" s="21">
        <f>IF(AND(C1896&lt;&gt;"", H1896&lt;&gt;""), HYPERLINK("#'" &amp; C1896 &amp; "'!" &amp; H1896, H1896), "")</f>
        <v>0</v>
      </c>
    </row>
    <row r="1897" spans="2:2">
      <c r="B1897" s="21">
        <f>IF(AND(C1897&lt;&gt;"", H1897&lt;&gt;""), HYPERLINK("#'" &amp; C1897 &amp; "'!" &amp; H1897, H1897), "")</f>
        <v>0</v>
      </c>
    </row>
    <row r="1898" spans="2:2">
      <c r="B1898" s="21">
        <f>IF(AND(C1898&lt;&gt;"", H1898&lt;&gt;""), HYPERLINK("#'" &amp; C1898 &amp; "'!" &amp; H1898, H1898), "")</f>
        <v>0</v>
      </c>
    </row>
    <row r="1899" spans="2:2">
      <c r="B1899" s="21">
        <f>IF(AND(C1899&lt;&gt;"", H1899&lt;&gt;""), HYPERLINK("#'" &amp; C1899 &amp; "'!" &amp; H1899, H1899), "")</f>
        <v>0</v>
      </c>
    </row>
    <row r="1900" spans="2:2">
      <c r="B1900" s="21">
        <f>IF(AND(C1900&lt;&gt;"", H1900&lt;&gt;""), HYPERLINK("#'" &amp; C1900 &amp; "'!" &amp; H1900, H1900), "")</f>
        <v>0</v>
      </c>
    </row>
    <row r="1901" spans="2:2">
      <c r="B1901" s="21">
        <f>IF(AND(C1901&lt;&gt;"", H1901&lt;&gt;""), HYPERLINK("#'" &amp; C1901 &amp; "'!" &amp; H1901, H1901), "")</f>
        <v>0</v>
      </c>
    </row>
    <row r="1902" spans="2:2">
      <c r="B1902" s="21">
        <f>IF(AND(C1902&lt;&gt;"", H1902&lt;&gt;""), HYPERLINK("#'" &amp; C1902 &amp; "'!" &amp; H1902, H1902), "")</f>
        <v>0</v>
      </c>
    </row>
    <row r="1903" spans="2:2">
      <c r="B1903" s="21">
        <f>IF(AND(C1903&lt;&gt;"", H1903&lt;&gt;""), HYPERLINK("#'" &amp; C1903 &amp; "'!" &amp; H1903, H1903), "")</f>
        <v>0</v>
      </c>
    </row>
    <row r="1904" spans="2:2">
      <c r="B1904" s="21">
        <f>IF(AND(C1904&lt;&gt;"", H1904&lt;&gt;""), HYPERLINK("#'" &amp; C1904 &amp; "'!" &amp; H1904, H1904), "")</f>
        <v>0</v>
      </c>
    </row>
    <row r="1905" spans="2:2">
      <c r="B1905" s="21">
        <f>IF(AND(C1905&lt;&gt;"", H1905&lt;&gt;""), HYPERLINK("#'" &amp; C1905 &amp; "'!" &amp; H1905, H1905), "")</f>
        <v>0</v>
      </c>
    </row>
    <row r="1906" spans="2:2">
      <c r="B1906" s="21">
        <f>IF(AND(C1906&lt;&gt;"", H1906&lt;&gt;""), HYPERLINK("#'" &amp; C1906 &amp; "'!" &amp; H1906, H1906), "")</f>
        <v>0</v>
      </c>
    </row>
    <row r="1907" spans="2:2">
      <c r="B1907" s="21">
        <f>IF(AND(C1907&lt;&gt;"", H1907&lt;&gt;""), HYPERLINK("#'" &amp; C1907 &amp; "'!" &amp; H1907, H1907), "")</f>
        <v>0</v>
      </c>
    </row>
    <row r="1908" spans="2:2">
      <c r="B1908" s="21">
        <f>IF(AND(C1908&lt;&gt;"", H1908&lt;&gt;""), HYPERLINK("#'" &amp; C1908 &amp; "'!" &amp; H1908, H1908), "")</f>
        <v>0</v>
      </c>
    </row>
    <row r="1909" spans="2:2">
      <c r="B1909" s="21">
        <f>IF(AND(C1909&lt;&gt;"", H1909&lt;&gt;""), HYPERLINK("#'" &amp; C1909 &amp; "'!" &amp; H1909, H1909), "")</f>
        <v>0</v>
      </c>
    </row>
    <row r="1910" spans="2:2">
      <c r="B1910" s="21">
        <f>IF(AND(C1910&lt;&gt;"", H1910&lt;&gt;""), HYPERLINK("#'" &amp; C1910 &amp; "'!" &amp; H1910, H1910), "")</f>
        <v>0</v>
      </c>
    </row>
    <row r="1911" spans="2:2">
      <c r="B1911" s="21">
        <f>IF(AND(C1911&lt;&gt;"", H1911&lt;&gt;""), HYPERLINK("#'" &amp; C1911 &amp; "'!" &amp; H1911, H1911), "")</f>
        <v>0</v>
      </c>
    </row>
    <row r="1912" spans="2:2">
      <c r="B1912" s="21">
        <f>IF(AND(C1912&lt;&gt;"", H1912&lt;&gt;""), HYPERLINK("#'" &amp; C1912 &amp; "'!" &amp; H1912, H1912), "")</f>
        <v>0</v>
      </c>
    </row>
    <row r="1913" spans="2:2">
      <c r="B1913" s="21">
        <f>IF(AND(C1913&lt;&gt;"", H1913&lt;&gt;""), HYPERLINK("#'" &amp; C1913 &amp; "'!" &amp; H1913, H1913), "")</f>
        <v>0</v>
      </c>
    </row>
    <row r="1914" spans="2:2">
      <c r="B1914" s="21">
        <f>IF(AND(C1914&lt;&gt;"", H1914&lt;&gt;""), HYPERLINK("#'" &amp; C1914 &amp; "'!" &amp; H1914, H1914), "")</f>
        <v>0</v>
      </c>
    </row>
    <row r="1915" spans="2:2">
      <c r="B1915" s="21">
        <f>IF(AND(C1915&lt;&gt;"", H1915&lt;&gt;""), HYPERLINK("#'" &amp; C1915 &amp; "'!" &amp; H1915, H1915), "")</f>
        <v>0</v>
      </c>
    </row>
    <row r="1916" spans="2:2">
      <c r="B1916" s="21">
        <f>IF(AND(C1916&lt;&gt;"", H1916&lt;&gt;""), HYPERLINK("#'" &amp; C1916 &amp; "'!" &amp; H1916, H1916), "")</f>
        <v>0</v>
      </c>
    </row>
    <row r="1917" spans="2:2">
      <c r="B1917" s="21">
        <f>IF(AND(C1917&lt;&gt;"", H1917&lt;&gt;""), HYPERLINK("#'" &amp; C1917 &amp; "'!" &amp; H1917, H1917), "")</f>
        <v>0</v>
      </c>
    </row>
    <row r="1918" spans="2:2">
      <c r="B1918" s="21">
        <f>IF(AND(C1918&lt;&gt;"", H1918&lt;&gt;""), HYPERLINK("#'" &amp; C1918 &amp; "'!" &amp; H1918, H1918), "")</f>
        <v>0</v>
      </c>
    </row>
    <row r="1919" spans="2:2">
      <c r="B1919" s="21">
        <f>IF(AND(C1919&lt;&gt;"", H1919&lt;&gt;""), HYPERLINK("#'" &amp; C1919 &amp; "'!" &amp; H1919, H1919), "")</f>
        <v>0</v>
      </c>
    </row>
    <row r="1920" spans="2:2">
      <c r="B1920" s="21">
        <f>IF(AND(C1920&lt;&gt;"", H1920&lt;&gt;""), HYPERLINK("#'" &amp; C1920 &amp; "'!" &amp; H1920, H1920), "")</f>
        <v>0</v>
      </c>
    </row>
    <row r="1921" spans="2:2">
      <c r="B1921" s="21">
        <f>IF(AND(C1921&lt;&gt;"", H1921&lt;&gt;""), HYPERLINK("#'" &amp; C1921 &amp; "'!" &amp; H1921, H1921), "")</f>
        <v>0</v>
      </c>
    </row>
    <row r="1922" spans="2:2">
      <c r="B1922" s="21">
        <f>IF(AND(C1922&lt;&gt;"", H1922&lt;&gt;""), HYPERLINK("#'" &amp; C1922 &amp; "'!" &amp; H1922, H1922), "")</f>
        <v>0</v>
      </c>
    </row>
    <row r="1923" spans="2:2">
      <c r="B1923" s="21">
        <f>IF(AND(C1923&lt;&gt;"", H1923&lt;&gt;""), HYPERLINK("#'" &amp; C1923 &amp; "'!" &amp; H1923, H1923), "")</f>
        <v>0</v>
      </c>
    </row>
    <row r="1924" spans="2:2">
      <c r="B1924" s="21">
        <f>IF(AND(C1924&lt;&gt;"", H1924&lt;&gt;""), HYPERLINK("#'" &amp; C1924 &amp; "'!" &amp; H1924, H1924), "")</f>
        <v>0</v>
      </c>
    </row>
    <row r="1925" spans="2:2">
      <c r="B1925" s="21">
        <f>IF(AND(C1925&lt;&gt;"", H1925&lt;&gt;""), HYPERLINK("#'" &amp; C1925 &amp; "'!" &amp; H1925, H1925), "")</f>
        <v>0</v>
      </c>
    </row>
    <row r="1926" spans="2:2">
      <c r="B1926" s="21">
        <f>IF(AND(C1926&lt;&gt;"", H1926&lt;&gt;""), HYPERLINK("#'" &amp; C1926 &amp; "'!" &amp; H1926, H1926), "")</f>
        <v>0</v>
      </c>
    </row>
    <row r="1927" spans="2:2">
      <c r="B1927" s="21">
        <f>IF(AND(C1927&lt;&gt;"", H1927&lt;&gt;""), HYPERLINK("#'" &amp; C1927 &amp; "'!" &amp; H1927, H1927), "")</f>
        <v>0</v>
      </c>
    </row>
    <row r="1928" spans="2:2">
      <c r="B1928" s="21">
        <f>IF(AND(C1928&lt;&gt;"", H1928&lt;&gt;""), HYPERLINK("#'" &amp; C1928 &amp; "'!" &amp; H1928, H1928), "")</f>
        <v>0</v>
      </c>
    </row>
    <row r="1929" spans="2:2">
      <c r="B1929" s="21">
        <f>IF(AND(C1929&lt;&gt;"", H1929&lt;&gt;""), HYPERLINK("#'" &amp; C1929 &amp; "'!" &amp; H1929, H1929), "")</f>
        <v>0</v>
      </c>
    </row>
    <row r="1930" spans="2:2">
      <c r="B1930" s="21">
        <f>IF(AND(C1930&lt;&gt;"", H1930&lt;&gt;""), HYPERLINK("#'" &amp; C1930 &amp; "'!" &amp; H1930, H1930), "")</f>
        <v>0</v>
      </c>
    </row>
    <row r="1931" spans="2:2">
      <c r="B1931" s="21">
        <f>IF(AND(C1931&lt;&gt;"", H1931&lt;&gt;""), HYPERLINK("#'" &amp; C1931 &amp; "'!" &amp; H1931, H1931), "")</f>
        <v>0</v>
      </c>
    </row>
    <row r="1932" spans="2:2">
      <c r="B1932" s="21">
        <f>IF(AND(C1932&lt;&gt;"", H1932&lt;&gt;""), HYPERLINK("#'" &amp; C1932 &amp; "'!" &amp; H1932, H1932), "")</f>
        <v>0</v>
      </c>
    </row>
    <row r="1933" spans="2:2">
      <c r="B1933" s="21">
        <f>IF(AND(C1933&lt;&gt;"", H1933&lt;&gt;""), HYPERLINK("#'" &amp; C1933 &amp; "'!" &amp; H1933, H1933), "")</f>
        <v>0</v>
      </c>
    </row>
    <row r="1934" spans="2:2">
      <c r="B1934" s="21">
        <f>IF(AND(C1934&lt;&gt;"", H1934&lt;&gt;""), HYPERLINK("#'" &amp; C1934 &amp; "'!" &amp; H1934, H1934), "")</f>
        <v>0</v>
      </c>
    </row>
    <row r="1935" spans="2:2">
      <c r="B1935" s="21">
        <f>IF(AND(C1935&lt;&gt;"", H1935&lt;&gt;""), HYPERLINK("#'" &amp; C1935 &amp; "'!" &amp; H1935, H1935), "")</f>
        <v>0</v>
      </c>
    </row>
    <row r="1936" spans="2:2">
      <c r="B1936" s="21">
        <f>IF(AND(C1936&lt;&gt;"", H1936&lt;&gt;""), HYPERLINK("#'" &amp; C1936 &amp; "'!" &amp; H1936, H1936), "")</f>
        <v>0</v>
      </c>
    </row>
    <row r="1937" spans="2:2">
      <c r="B1937" s="21">
        <f>IF(AND(C1937&lt;&gt;"", H1937&lt;&gt;""), HYPERLINK("#'" &amp; C1937 &amp; "'!" &amp; H1937, H1937), "")</f>
        <v>0</v>
      </c>
    </row>
    <row r="1938" spans="2:2">
      <c r="B1938" s="21">
        <f>IF(AND(C1938&lt;&gt;"", H1938&lt;&gt;""), HYPERLINK("#'" &amp; C1938 &amp; "'!" &amp; H1938, H1938), "")</f>
        <v>0</v>
      </c>
    </row>
    <row r="1939" spans="2:2">
      <c r="B1939" s="21">
        <f>IF(AND(C1939&lt;&gt;"", H1939&lt;&gt;""), HYPERLINK("#'" &amp; C1939 &amp; "'!" &amp; H1939, H1939), "")</f>
        <v>0</v>
      </c>
    </row>
    <row r="1940" spans="2:2">
      <c r="B1940" s="21">
        <f>IF(AND(C1940&lt;&gt;"", H1940&lt;&gt;""), HYPERLINK("#'" &amp; C1940 &amp; "'!" &amp; H1940, H1940), "")</f>
        <v>0</v>
      </c>
    </row>
    <row r="1941" spans="2:2">
      <c r="B1941" s="21">
        <f>IF(AND(C1941&lt;&gt;"", H1941&lt;&gt;""), HYPERLINK("#'" &amp; C1941 &amp; "'!" &amp; H1941, H1941), "")</f>
        <v>0</v>
      </c>
    </row>
    <row r="1942" spans="2:2">
      <c r="B1942" s="21">
        <f>IF(AND(C1942&lt;&gt;"", H1942&lt;&gt;""), HYPERLINK("#'" &amp; C1942 &amp; "'!" &amp; H1942, H1942), "")</f>
        <v>0</v>
      </c>
    </row>
    <row r="1943" spans="2:2">
      <c r="B1943" s="21">
        <f>IF(AND(C1943&lt;&gt;"", H1943&lt;&gt;""), HYPERLINK("#'" &amp; C1943 &amp; "'!" &amp; H1943, H1943), "")</f>
        <v>0</v>
      </c>
    </row>
    <row r="1944" spans="2:2">
      <c r="B1944" s="21">
        <f>IF(AND(C1944&lt;&gt;"", H1944&lt;&gt;""), HYPERLINK("#'" &amp; C1944 &amp; "'!" &amp; H1944, H1944), "")</f>
        <v>0</v>
      </c>
    </row>
    <row r="1945" spans="2:2">
      <c r="B1945" s="21">
        <f>IF(AND(C1945&lt;&gt;"", H1945&lt;&gt;""), HYPERLINK("#'" &amp; C1945 &amp; "'!" &amp; H1945, H1945), "")</f>
        <v>0</v>
      </c>
    </row>
    <row r="1946" spans="2:2">
      <c r="B1946" s="21">
        <f>IF(AND(C1946&lt;&gt;"", H1946&lt;&gt;""), HYPERLINK("#'" &amp; C1946 &amp; "'!" &amp; H1946, H1946), "")</f>
        <v>0</v>
      </c>
    </row>
    <row r="1947" spans="2:2">
      <c r="B1947" s="21">
        <f>IF(AND(C1947&lt;&gt;"", H1947&lt;&gt;""), HYPERLINK("#'" &amp; C1947 &amp; "'!" &amp; H1947, H1947), "")</f>
        <v>0</v>
      </c>
    </row>
    <row r="1948" spans="2:2">
      <c r="B1948" s="21">
        <f>IF(AND(C1948&lt;&gt;"", H1948&lt;&gt;""), HYPERLINK("#'" &amp; C1948 &amp; "'!" &amp; H1948, H1948), "")</f>
        <v>0</v>
      </c>
    </row>
    <row r="1949" spans="2:2">
      <c r="B1949" s="21">
        <f>IF(AND(C1949&lt;&gt;"", H1949&lt;&gt;""), HYPERLINK("#'" &amp; C1949 &amp; "'!" &amp; H1949, H1949), "")</f>
        <v>0</v>
      </c>
    </row>
    <row r="1950" spans="2:2">
      <c r="B1950" s="21">
        <f>IF(AND(C1950&lt;&gt;"", H1950&lt;&gt;""), HYPERLINK("#'" &amp; C1950 &amp; "'!" &amp; H1950, H1950), "")</f>
        <v>0</v>
      </c>
    </row>
    <row r="1951" spans="2:2">
      <c r="B1951" s="21">
        <f>IF(AND(C1951&lt;&gt;"", H1951&lt;&gt;""), HYPERLINK("#'" &amp; C1951 &amp; "'!" &amp; H1951, H1951), "")</f>
        <v>0</v>
      </c>
    </row>
    <row r="1952" spans="2:2">
      <c r="B1952" s="21">
        <f>IF(AND(C1952&lt;&gt;"", H1952&lt;&gt;""), HYPERLINK("#'" &amp; C1952 &amp; "'!" &amp; H1952, H1952), "")</f>
        <v>0</v>
      </c>
    </row>
    <row r="1953" spans="2:2">
      <c r="B1953" s="21">
        <f>IF(AND(C1953&lt;&gt;"", H1953&lt;&gt;""), HYPERLINK("#'" &amp; C1953 &amp; "'!" &amp; H1953, H1953), "")</f>
        <v>0</v>
      </c>
    </row>
    <row r="1954" spans="2:2">
      <c r="B1954" s="21">
        <f>IF(AND(C1954&lt;&gt;"", H1954&lt;&gt;""), HYPERLINK("#'" &amp; C1954 &amp; "'!" &amp; H1954, H1954), "")</f>
        <v>0</v>
      </c>
    </row>
    <row r="1955" spans="2:2">
      <c r="B1955" s="21">
        <f>IF(AND(C1955&lt;&gt;"", H1955&lt;&gt;""), HYPERLINK("#'" &amp; C1955 &amp; "'!" &amp; H1955, H1955), "")</f>
        <v>0</v>
      </c>
    </row>
    <row r="1956" spans="2:2">
      <c r="B1956" s="21">
        <f>IF(AND(C1956&lt;&gt;"", H1956&lt;&gt;""), HYPERLINK("#'" &amp; C1956 &amp; "'!" &amp; H1956, H1956), "")</f>
        <v>0</v>
      </c>
    </row>
    <row r="1957" spans="2:2">
      <c r="B1957" s="21">
        <f>IF(AND(C1957&lt;&gt;"", H1957&lt;&gt;""), HYPERLINK("#'" &amp; C1957 &amp; "'!" &amp; H1957, H1957), "")</f>
        <v>0</v>
      </c>
    </row>
    <row r="1958" spans="2:2">
      <c r="B1958" s="21">
        <f>IF(AND(C1958&lt;&gt;"", H1958&lt;&gt;""), HYPERLINK("#'" &amp; C1958 &amp; "'!" &amp; H1958, H1958), "")</f>
        <v>0</v>
      </c>
    </row>
    <row r="1959" spans="2:2">
      <c r="B1959" s="21">
        <f>IF(AND(C1959&lt;&gt;"", H1959&lt;&gt;""), HYPERLINK("#'" &amp; C1959 &amp; "'!" &amp; H1959, H1959), "")</f>
        <v>0</v>
      </c>
    </row>
    <row r="1960" spans="2:2">
      <c r="B1960" s="21">
        <f>IF(AND(C1960&lt;&gt;"", H1960&lt;&gt;""), HYPERLINK("#'" &amp; C1960 &amp; "'!" &amp; H1960, H1960), "")</f>
        <v>0</v>
      </c>
    </row>
    <row r="1961" spans="2:2">
      <c r="B1961" s="21">
        <f>IF(AND(C1961&lt;&gt;"", H1961&lt;&gt;""), HYPERLINK("#'" &amp; C1961 &amp; "'!" &amp; H1961, H1961), "")</f>
        <v>0</v>
      </c>
    </row>
    <row r="1962" spans="2:2">
      <c r="B1962" s="21">
        <f>IF(AND(C1962&lt;&gt;"", H1962&lt;&gt;""), HYPERLINK("#'" &amp; C1962 &amp; "'!" &amp; H1962, H1962), "")</f>
        <v>0</v>
      </c>
    </row>
    <row r="1963" spans="2:2">
      <c r="B1963" s="21">
        <f>IF(AND(C1963&lt;&gt;"", H1963&lt;&gt;""), HYPERLINK("#'" &amp; C1963 &amp; "'!" &amp; H1963, H1963), "")</f>
        <v>0</v>
      </c>
    </row>
    <row r="1964" spans="2:2">
      <c r="B1964" s="21">
        <f>IF(AND(C1964&lt;&gt;"", H1964&lt;&gt;""), HYPERLINK("#'" &amp; C1964 &amp; "'!" &amp; H1964, H1964), "")</f>
        <v>0</v>
      </c>
    </row>
    <row r="1965" spans="2:2">
      <c r="B1965" s="21">
        <f>IF(AND(C1965&lt;&gt;"", H1965&lt;&gt;""), HYPERLINK("#'" &amp; C1965 &amp; "'!" &amp; H1965, H1965), "")</f>
        <v>0</v>
      </c>
    </row>
    <row r="1966" spans="2:2">
      <c r="B1966" s="21">
        <f>IF(AND(C1966&lt;&gt;"", H1966&lt;&gt;""), HYPERLINK("#'" &amp; C1966 &amp; "'!" &amp; H1966, H1966), "")</f>
        <v>0</v>
      </c>
    </row>
    <row r="1967" spans="2:2">
      <c r="B1967" s="21">
        <f>IF(AND(C1967&lt;&gt;"", H1967&lt;&gt;""), HYPERLINK("#'" &amp; C1967 &amp; "'!" &amp; H1967, H1967), "")</f>
        <v>0</v>
      </c>
    </row>
    <row r="1968" spans="2:2">
      <c r="B1968" s="21">
        <f>IF(AND(C1968&lt;&gt;"", H1968&lt;&gt;""), HYPERLINK("#'" &amp; C1968 &amp; "'!" &amp; H1968, H1968), "")</f>
        <v>0</v>
      </c>
    </row>
    <row r="1969" spans="2:2">
      <c r="B1969" s="21">
        <f>IF(AND(C1969&lt;&gt;"", H1969&lt;&gt;""), HYPERLINK("#'" &amp; C1969 &amp; "'!" &amp; H1969, H1969), "")</f>
        <v>0</v>
      </c>
    </row>
    <row r="1970" spans="2:2">
      <c r="B1970" s="21">
        <f>IF(AND(C1970&lt;&gt;"", H1970&lt;&gt;""), HYPERLINK("#'" &amp; C1970 &amp; "'!" &amp; H1970, H1970), "")</f>
        <v>0</v>
      </c>
    </row>
    <row r="1971" spans="2:2">
      <c r="B1971" s="21">
        <f>IF(AND(C1971&lt;&gt;"", H1971&lt;&gt;""), HYPERLINK("#'" &amp; C1971 &amp; "'!" &amp; H1971, H1971), "")</f>
        <v>0</v>
      </c>
    </row>
    <row r="1972" spans="2:2">
      <c r="B1972" s="21">
        <f>IF(AND(C1972&lt;&gt;"", H1972&lt;&gt;""), HYPERLINK("#'" &amp; C1972 &amp; "'!" &amp; H1972, H1972), "")</f>
        <v>0</v>
      </c>
    </row>
    <row r="1973" spans="2:2">
      <c r="B1973" s="21">
        <f>IF(AND(C1973&lt;&gt;"", H1973&lt;&gt;""), HYPERLINK("#'" &amp; C1973 &amp; "'!" &amp; H1973, H1973), "")</f>
        <v>0</v>
      </c>
    </row>
    <row r="1974" spans="2:2">
      <c r="B1974" s="21">
        <f>IF(AND(C1974&lt;&gt;"", H1974&lt;&gt;""), HYPERLINK("#'" &amp; C1974 &amp; "'!" &amp; H1974, H1974), "")</f>
        <v>0</v>
      </c>
    </row>
    <row r="1975" spans="2:2">
      <c r="B1975" s="21">
        <f>IF(AND(C1975&lt;&gt;"", H1975&lt;&gt;""), HYPERLINK("#'" &amp; C1975 &amp; "'!" &amp; H1975, H1975), "")</f>
        <v>0</v>
      </c>
    </row>
    <row r="1976" spans="2:2">
      <c r="B1976" s="21">
        <f>IF(AND(C1976&lt;&gt;"", H1976&lt;&gt;""), HYPERLINK("#'" &amp; C1976 &amp; "'!" &amp; H1976, H1976), "")</f>
        <v>0</v>
      </c>
    </row>
    <row r="1977" spans="2:2">
      <c r="B1977" s="21">
        <f>IF(AND(C1977&lt;&gt;"", H1977&lt;&gt;""), HYPERLINK("#'" &amp; C1977 &amp; "'!" &amp; H1977, H1977), "")</f>
        <v>0</v>
      </c>
    </row>
    <row r="1978" spans="2:2">
      <c r="B1978" s="21">
        <f>IF(AND(C1978&lt;&gt;"", H1978&lt;&gt;""), HYPERLINK("#'" &amp; C1978 &amp; "'!" &amp; H1978, H1978), "")</f>
        <v>0</v>
      </c>
    </row>
    <row r="1979" spans="2:2">
      <c r="B1979" s="21">
        <f>IF(AND(C1979&lt;&gt;"", H1979&lt;&gt;""), HYPERLINK("#'" &amp; C1979 &amp; "'!" &amp; H1979, H1979), "")</f>
        <v>0</v>
      </c>
    </row>
    <row r="1980" spans="2:2">
      <c r="B1980" s="21">
        <f>IF(AND(C1980&lt;&gt;"", H1980&lt;&gt;""), HYPERLINK("#'" &amp; C1980 &amp; "'!" &amp; H1980, H1980), "")</f>
        <v>0</v>
      </c>
    </row>
    <row r="1981" spans="2:2">
      <c r="B1981" s="21">
        <f>IF(AND(C1981&lt;&gt;"", H1981&lt;&gt;""), HYPERLINK("#'" &amp; C1981 &amp; "'!" &amp; H1981, H1981), "")</f>
        <v>0</v>
      </c>
    </row>
    <row r="1982" spans="2:2">
      <c r="B1982" s="21">
        <f>IF(AND(C1982&lt;&gt;"", H1982&lt;&gt;""), HYPERLINK("#'" &amp; C1982 &amp; "'!" &amp; H1982, H1982), "")</f>
        <v>0</v>
      </c>
    </row>
    <row r="1983" spans="2:2">
      <c r="B1983" s="21">
        <f>IF(AND(C1983&lt;&gt;"", H1983&lt;&gt;""), HYPERLINK("#'" &amp; C1983 &amp; "'!" &amp; H1983, H1983), "")</f>
        <v>0</v>
      </c>
    </row>
    <row r="1984" spans="2:2">
      <c r="B1984" s="21">
        <f>IF(AND(C1984&lt;&gt;"", H1984&lt;&gt;""), HYPERLINK("#'" &amp; C1984 &amp; "'!" &amp; H1984, H1984), "")</f>
        <v>0</v>
      </c>
    </row>
    <row r="1985" spans="2:2">
      <c r="B1985" s="21">
        <f>IF(AND(C1985&lt;&gt;"", H1985&lt;&gt;""), HYPERLINK("#'" &amp; C1985 &amp; "'!" &amp; H1985, H1985), "")</f>
        <v>0</v>
      </c>
    </row>
    <row r="1986" spans="2:2">
      <c r="B1986" s="21">
        <f>IF(AND(C1986&lt;&gt;"", H1986&lt;&gt;""), HYPERLINK("#'" &amp; C1986 &amp; "'!" &amp; H1986, H1986), "")</f>
        <v>0</v>
      </c>
    </row>
    <row r="1987" spans="2:2">
      <c r="B1987" s="21">
        <f>IF(AND(C1987&lt;&gt;"", H1987&lt;&gt;""), HYPERLINK("#'" &amp; C1987 &amp; "'!" &amp; H1987, H1987), "")</f>
        <v>0</v>
      </c>
    </row>
    <row r="1988" spans="2:2">
      <c r="B1988" s="21">
        <f>IF(AND(C1988&lt;&gt;"", H1988&lt;&gt;""), HYPERLINK("#'" &amp; C1988 &amp; "'!" &amp; H1988, H1988), "")</f>
        <v>0</v>
      </c>
    </row>
    <row r="1989" spans="2:2">
      <c r="B1989" s="21">
        <f>IF(AND(C1989&lt;&gt;"", H1989&lt;&gt;""), HYPERLINK("#'" &amp; C1989 &amp; "'!" &amp; H1989, H1989), "")</f>
        <v>0</v>
      </c>
    </row>
    <row r="1990" spans="2:2">
      <c r="B1990" s="21">
        <f>IF(AND(C1990&lt;&gt;"", H1990&lt;&gt;""), HYPERLINK("#'" &amp; C1990 &amp; "'!" &amp; H1990, H1990), "")</f>
        <v>0</v>
      </c>
    </row>
    <row r="1991" spans="2:2">
      <c r="B1991" s="21">
        <f>IF(AND(C1991&lt;&gt;"", H1991&lt;&gt;""), HYPERLINK("#'" &amp; C1991 &amp; "'!" &amp; H1991, H1991), "")</f>
        <v>0</v>
      </c>
    </row>
    <row r="1992" spans="2:2">
      <c r="B1992" s="21">
        <f>IF(AND(C1992&lt;&gt;"", H1992&lt;&gt;""), HYPERLINK("#'" &amp; C1992 &amp; "'!" &amp; H1992, H1992), "")</f>
        <v>0</v>
      </c>
    </row>
    <row r="1993" spans="2:2">
      <c r="B1993" s="21">
        <f>IF(AND(C1993&lt;&gt;"", H1993&lt;&gt;""), HYPERLINK("#'" &amp; C1993 &amp; "'!" &amp; H1993, H1993), "")</f>
        <v>0</v>
      </c>
    </row>
    <row r="1994" spans="2:2">
      <c r="B1994" s="21">
        <f>IF(AND(C1994&lt;&gt;"", H1994&lt;&gt;""), HYPERLINK("#'" &amp; C1994 &amp; "'!" &amp; H1994, H1994), "")</f>
        <v>0</v>
      </c>
    </row>
    <row r="1995" spans="2:2">
      <c r="B1995" s="21">
        <f>IF(AND(C1995&lt;&gt;"", H1995&lt;&gt;""), HYPERLINK("#'" &amp; C1995 &amp; "'!" &amp; H1995, H1995), "")</f>
        <v>0</v>
      </c>
    </row>
    <row r="1996" spans="2:2">
      <c r="B1996" s="21">
        <f>IF(AND(C1996&lt;&gt;"", H1996&lt;&gt;""), HYPERLINK("#'" &amp; C1996 &amp; "'!" &amp; H1996, H1996), "")</f>
        <v>0</v>
      </c>
    </row>
    <row r="1997" spans="2:2">
      <c r="B1997" s="21">
        <f>IF(AND(C1997&lt;&gt;"", H1997&lt;&gt;""), HYPERLINK("#'" &amp; C1997 &amp; "'!" &amp; H1997, H1997), "")</f>
        <v>0</v>
      </c>
    </row>
    <row r="1998" spans="2:2">
      <c r="B1998" s="21">
        <f>IF(AND(C1998&lt;&gt;"", H1998&lt;&gt;""), HYPERLINK("#'" &amp; C1998 &amp; "'!" &amp; H1998, H1998), "")</f>
        <v>0</v>
      </c>
    </row>
    <row r="1999" spans="2:2">
      <c r="B1999" s="21">
        <f>IF(AND(C1999&lt;&gt;"", H1999&lt;&gt;""), HYPERLINK("#'" &amp; C1999 &amp; "'!" &amp; H1999, H1999), "")</f>
        <v>0</v>
      </c>
    </row>
    <row r="2000" spans="2:2">
      <c r="B2000" s="21">
        <f>IF(AND(C2000&lt;&gt;"", H2000&lt;&gt;""), HYPERLINK("#'" &amp; C2000 &amp; "'!" &amp; H2000, H2000), "")</f>
        <v>0</v>
      </c>
    </row>
    <row r="2001" spans="2:2">
      <c r="B2001" s="21">
        <f>IF(AND(C2001&lt;&gt;"", H2001&lt;&gt;""), HYPERLINK("#'" &amp; C2001 &amp; "'!" &amp; H2001, H2001), "")</f>
        <v>0</v>
      </c>
    </row>
    <row r="2002" spans="2:2">
      <c r="B2002" s="21">
        <f>IF(AND(C2002&lt;&gt;"", H2002&lt;&gt;""), HYPERLINK("#'" &amp; C2002 &amp; "'!" &amp; H2002, H2002), "")</f>
        <v>0</v>
      </c>
    </row>
    <row r="2003" spans="2:2">
      <c r="B2003" s="21">
        <f>IF(AND(C2003&lt;&gt;"", H2003&lt;&gt;""), HYPERLINK("#'" &amp; C2003 &amp; "'!" &amp; H2003, H2003), "")</f>
        <v>0</v>
      </c>
    </row>
    <row r="2004" spans="2:2">
      <c r="B2004" s="21">
        <f>IF(AND(C2004&lt;&gt;"", H2004&lt;&gt;""), HYPERLINK("#'" &amp; C2004 &amp; "'!" &amp; H2004, H2004), "")</f>
        <v>0</v>
      </c>
    </row>
    <row r="2005" spans="2:2">
      <c r="B2005" s="21">
        <f>IF(AND(C2005&lt;&gt;"", H2005&lt;&gt;""), HYPERLINK("#'" &amp; C2005 &amp; "'!" &amp; H2005, H2005), "")</f>
        <v>0</v>
      </c>
    </row>
    <row r="2006" spans="2:2">
      <c r="B2006" s="21">
        <f>IF(AND(C2006&lt;&gt;"", H2006&lt;&gt;""), HYPERLINK("#'" &amp; C2006 &amp; "'!" &amp; H2006, H2006), "")</f>
        <v>0</v>
      </c>
    </row>
    <row r="2007" spans="2:2">
      <c r="B2007" s="21">
        <f>IF(AND(C2007&lt;&gt;"", H2007&lt;&gt;""), HYPERLINK("#'" &amp; C2007 &amp; "'!" &amp; H2007, H2007), "")</f>
        <v>0</v>
      </c>
    </row>
    <row r="2008" spans="2:2">
      <c r="B2008" s="21">
        <f>IF(AND(C2008&lt;&gt;"", H2008&lt;&gt;""), HYPERLINK("#'" &amp; C2008 &amp; "'!" &amp; H2008, H2008), "")</f>
        <v>0</v>
      </c>
    </row>
    <row r="2009" spans="2:2">
      <c r="B2009" s="21">
        <f>IF(AND(C2009&lt;&gt;"", H2009&lt;&gt;""), HYPERLINK("#'" &amp; C2009 &amp; "'!" &amp; H2009, H2009), "")</f>
        <v>0</v>
      </c>
    </row>
    <row r="2010" spans="2:2">
      <c r="B2010" s="21">
        <f>IF(AND(C2010&lt;&gt;"", H2010&lt;&gt;""), HYPERLINK("#'" &amp; C2010 &amp; "'!" &amp; H2010, H2010), "")</f>
        <v>0</v>
      </c>
    </row>
    <row r="2011" spans="2:2">
      <c r="B2011" s="21">
        <f>IF(AND(C2011&lt;&gt;"", H2011&lt;&gt;""), HYPERLINK("#'" &amp; C2011 &amp; "'!" &amp; H2011, H2011), "")</f>
        <v>0</v>
      </c>
    </row>
    <row r="2012" spans="2:2">
      <c r="B2012" s="21">
        <f>IF(AND(C2012&lt;&gt;"", H2012&lt;&gt;""), HYPERLINK("#'" &amp; C2012 &amp; "'!" &amp; H2012, H2012), "")</f>
        <v>0</v>
      </c>
    </row>
    <row r="2013" spans="2:2">
      <c r="B2013" s="21">
        <f>IF(AND(C2013&lt;&gt;"", H2013&lt;&gt;""), HYPERLINK("#'" &amp; C2013 &amp; "'!" &amp; H2013, H2013), "")</f>
        <v>0</v>
      </c>
    </row>
    <row r="2014" spans="2:2">
      <c r="B2014" s="21">
        <f>IF(AND(C2014&lt;&gt;"", H2014&lt;&gt;""), HYPERLINK("#'" &amp; C2014 &amp; "'!" &amp; H2014, H2014), "")</f>
        <v>0</v>
      </c>
    </row>
    <row r="2015" spans="2:2">
      <c r="B2015" s="21">
        <f>IF(AND(C2015&lt;&gt;"", H2015&lt;&gt;""), HYPERLINK("#'" &amp; C2015 &amp; "'!" &amp; H2015, H2015), "")</f>
        <v>0</v>
      </c>
    </row>
    <row r="2016" spans="2:2">
      <c r="B2016" s="21">
        <f>IF(AND(C2016&lt;&gt;"", H2016&lt;&gt;""), HYPERLINK("#'" &amp; C2016 &amp; "'!" &amp; H2016, H2016), "")</f>
        <v>0</v>
      </c>
    </row>
    <row r="2017" spans="2:2">
      <c r="B2017" s="21">
        <f>IF(AND(C2017&lt;&gt;"", H2017&lt;&gt;""), HYPERLINK("#'" &amp; C2017 &amp; "'!" &amp; H2017, H2017), "")</f>
        <v>0</v>
      </c>
    </row>
    <row r="2018" spans="2:2">
      <c r="B2018" s="21">
        <f>IF(AND(C2018&lt;&gt;"", H2018&lt;&gt;""), HYPERLINK("#'" &amp; C2018 &amp; "'!" &amp; H2018, H2018), "")</f>
        <v>0</v>
      </c>
    </row>
    <row r="2019" spans="2:2">
      <c r="B2019" s="21">
        <f>IF(AND(C2019&lt;&gt;"", H2019&lt;&gt;""), HYPERLINK("#'" &amp; C2019 &amp; "'!" &amp; H2019, H2019), "")</f>
        <v>0</v>
      </c>
    </row>
    <row r="2020" spans="2:2">
      <c r="B2020" s="21">
        <f>IF(AND(C2020&lt;&gt;"", H2020&lt;&gt;""), HYPERLINK("#'" &amp; C2020 &amp; "'!" &amp; H2020, H2020), "")</f>
        <v>0</v>
      </c>
    </row>
    <row r="2021" spans="2:2">
      <c r="B2021" s="21">
        <f>IF(AND(C2021&lt;&gt;"", H2021&lt;&gt;""), HYPERLINK("#'" &amp; C2021 &amp; "'!" &amp; H2021, H2021), "")</f>
        <v>0</v>
      </c>
    </row>
    <row r="2022" spans="2:2">
      <c r="B2022" s="21">
        <f>IF(AND(C2022&lt;&gt;"", H2022&lt;&gt;""), HYPERLINK("#'" &amp; C2022 &amp; "'!" &amp; H2022, H2022), "")</f>
        <v>0</v>
      </c>
    </row>
    <row r="2023" spans="2:2">
      <c r="B2023" s="21">
        <f>IF(AND(C2023&lt;&gt;"", H2023&lt;&gt;""), HYPERLINK("#'" &amp; C2023 &amp; "'!" &amp; H2023, H2023), "")</f>
        <v>0</v>
      </c>
    </row>
    <row r="2024" spans="2:2">
      <c r="B2024" s="21">
        <f>IF(AND(C2024&lt;&gt;"", H2024&lt;&gt;""), HYPERLINK("#'" &amp; C2024 &amp; "'!" &amp; H2024, H2024), "")</f>
        <v>0</v>
      </c>
    </row>
    <row r="2025" spans="2:2">
      <c r="B2025" s="21">
        <f>IF(AND(C2025&lt;&gt;"", H2025&lt;&gt;""), HYPERLINK("#'" &amp; C2025 &amp; "'!" &amp; H2025, H2025), "")</f>
        <v>0</v>
      </c>
    </row>
    <row r="2026" spans="2:2">
      <c r="B2026" s="21">
        <f>IF(AND(C2026&lt;&gt;"", H2026&lt;&gt;""), HYPERLINK("#'" &amp; C2026 &amp; "'!" &amp; H2026, H2026), "")</f>
        <v>0</v>
      </c>
    </row>
    <row r="2027" spans="2:2">
      <c r="B2027" s="21">
        <f>IF(AND(C2027&lt;&gt;"", H2027&lt;&gt;""), HYPERLINK("#'" &amp; C2027 &amp; "'!" &amp; H2027, H2027), "")</f>
        <v>0</v>
      </c>
    </row>
    <row r="2028" spans="2:2">
      <c r="B2028" s="21">
        <f>IF(AND(C2028&lt;&gt;"", H2028&lt;&gt;""), HYPERLINK("#'" &amp; C2028 &amp; "'!" &amp; H2028, H2028), "")</f>
        <v>0</v>
      </c>
    </row>
    <row r="2029" spans="2:2">
      <c r="B2029" s="21">
        <f>IF(AND(C2029&lt;&gt;"", H2029&lt;&gt;""), HYPERLINK("#'" &amp; C2029 &amp; "'!" &amp; H2029, H2029), "")</f>
        <v>0</v>
      </c>
    </row>
    <row r="2030" spans="2:2">
      <c r="B2030" s="21">
        <f>IF(AND(C2030&lt;&gt;"", H2030&lt;&gt;""), HYPERLINK("#'" &amp; C2030 &amp; "'!" &amp; H2030, H2030), "")</f>
        <v>0</v>
      </c>
    </row>
    <row r="2031" spans="2:2">
      <c r="B2031" s="21">
        <f>IF(AND(C2031&lt;&gt;"", H2031&lt;&gt;""), HYPERLINK("#'" &amp; C2031 &amp; "'!" &amp; H2031, H2031), "")</f>
        <v>0</v>
      </c>
    </row>
    <row r="2032" spans="2:2">
      <c r="B2032" s="21">
        <f>IF(AND(C2032&lt;&gt;"", H2032&lt;&gt;""), HYPERLINK("#'" &amp; C2032 &amp; "'!" &amp; H2032, H2032), "")</f>
        <v>0</v>
      </c>
    </row>
    <row r="2033" spans="2:2">
      <c r="B2033" s="21">
        <f>IF(AND(C2033&lt;&gt;"", H2033&lt;&gt;""), HYPERLINK("#'" &amp; C2033 &amp; "'!" &amp; H2033, H2033), "")</f>
        <v>0</v>
      </c>
    </row>
    <row r="2034" spans="2:2">
      <c r="B2034" s="21">
        <f>IF(AND(C2034&lt;&gt;"", H2034&lt;&gt;""), HYPERLINK("#'" &amp; C2034 &amp; "'!" &amp; H2034, H2034), "")</f>
        <v>0</v>
      </c>
    </row>
    <row r="2035" spans="2:2">
      <c r="B2035" s="21">
        <f>IF(AND(C2035&lt;&gt;"", H2035&lt;&gt;""), HYPERLINK("#'" &amp; C2035 &amp; "'!" &amp; H2035, H2035), "")</f>
        <v>0</v>
      </c>
    </row>
    <row r="2036" spans="2:2">
      <c r="B2036" s="21">
        <f>IF(AND(C2036&lt;&gt;"", H2036&lt;&gt;""), HYPERLINK("#'" &amp; C2036 &amp; "'!" &amp; H2036, H2036), "")</f>
        <v>0</v>
      </c>
    </row>
    <row r="2037" spans="2:2">
      <c r="B2037" s="21">
        <f>IF(AND(C2037&lt;&gt;"", H2037&lt;&gt;""), HYPERLINK("#'" &amp; C2037 &amp; "'!" &amp; H2037, H2037), "")</f>
        <v>0</v>
      </c>
    </row>
    <row r="2038" spans="2:2">
      <c r="B2038" s="21">
        <f>IF(AND(C2038&lt;&gt;"", H2038&lt;&gt;""), HYPERLINK("#'" &amp; C2038 &amp; "'!" &amp; H2038, H2038), "")</f>
        <v>0</v>
      </c>
    </row>
    <row r="2039" spans="2:2">
      <c r="B2039" s="21">
        <f>IF(AND(C2039&lt;&gt;"", H2039&lt;&gt;""), HYPERLINK("#'" &amp; C2039 &amp; "'!" &amp; H2039, H2039), "")</f>
        <v>0</v>
      </c>
    </row>
    <row r="2040" spans="2:2">
      <c r="B2040" s="21">
        <f>IF(AND(C2040&lt;&gt;"", H2040&lt;&gt;""), HYPERLINK("#'" &amp; C2040 &amp; "'!" &amp; H2040, H2040), "")</f>
        <v>0</v>
      </c>
    </row>
    <row r="2041" spans="2:2">
      <c r="B2041" s="21">
        <f>IF(AND(C2041&lt;&gt;"", H2041&lt;&gt;""), HYPERLINK("#'" &amp; C2041 &amp; "'!" &amp; H2041, H2041), "")</f>
        <v>0</v>
      </c>
    </row>
    <row r="2042" spans="2:2">
      <c r="B2042" s="21">
        <f>IF(AND(C2042&lt;&gt;"", H2042&lt;&gt;""), HYPERLINK("#'" &amp; C2042 &amp; "'!" &amp; H2042, H2042), "")</f>
        <v>0</v>
      </c>
    </row>
    <row r="2043" spans="2:2">
      <c r="B2043" s="21">
        <f>IF(AND(C2043&lt;&gt;"", H2043&lt;&gt;""), HYPERLINK("#'" &amp; C2043 &amp; "'!" &amp; H2043, H2043), "")</f>
        <v>0</v>
      </c>
    </row>
    <row r="2044" spans="2:2">
      <c r="B2044" s="21">
        <f>IF(AND(C2044&lt;&gt;"", H2044&lt;&gt;""), HYPERLINK("#'" &amp; C2044 &amp; "'!" &amp; H2044, H2044), "")</f>
        <v>0</v>
      </c>
    </row>
    <row r="2045" spans="2:2">
      <c r="B2045" s="21">
        <f>IF(AND(C2045&lt;&gt;"", H2045&lt;&gt;""), HYPERLINK("#'" &amp; C2045 &amp; "'!" &amp; H2045, H2045), "")</f>
        <v>0</v>
      </c>
    </row>
    <row r="2046" spans="2:2">
      <c r="B2046" s="21">
        <f>IF(AND(C2046&lt;&gt;"", H2046&lt;&gt;""), HYPERLINK("#'" &amp; C2046 &amp; "'!" &amp; H2046, H2046), "")</f>
        <v>0</v>
      </c>
    </row>
    <row r="2047" spans="2:2">
      <c r="B2047" s="21">
        <f>IF(AND(C2047&lt;&gt;"", H2047&lt;&gt;""), HYPERLINK("#'" &amp; C2047 &amp; "'!" &amp; H2047, H2047), "")</f>
        <v>0</v>
      </c>
    </row>
    <row r="2048" spans="2:2">
      <c r="B2048" s="21">
        <f>IF(AND(C2048&lt;&gt;"", H2048&lt;&gt;""), HYPERLINK("#'" &amp; C2048 &amp; "'!" &amp; H2048, H2048), "")</f>
        <v>0</v>
      </c>
    </row>
    <row r="2049" spans="2:2">
      <c r="B2049" s="21">
        <f>IF(AND(C2049&lt;&gt;"", H2049&lt;&gt;""), HYPERLINK("#'" &amp; C2049 &amp; "'!" &amp; H2049, H2049), "")</f>
        <v>0</v>
      </c>
    </row>
    <row r="2050" spans="2:2">
      <c r="B2050" s="21">
        <f>IF(AND(C2050&lt;&gt;"", H2050&lt;&gt;""), HYPERLINK("#'" &amp; C2050 &amp; "'!" &amp; H2050, H2050), "")</f>
        <v>0</v>
      </c>
    </row>
    <row r="2051" spans="2:2">
      <c r="B2051" s="21">
        <f>IF(AND(C2051&lt;&gt;"", H2051&lt;&gt;""), HYPERLINK("#'" &amp; C2051 &amp; "'!" &amp; H2051, H2051), "")</f>
        <v>0</v>
      </c>
    </row>
    <row r="2052" spans="2:2">
      <c r="B2052" s="21">
        <f>IF(AND(C2052&lt;&gt;"", H2052&lt;&gt;""), HYPERLINK("#'" &amp; C2052 &amp; "'!" &amp; H2052, H2052), "")</f>
        <v>0</v>
      </c>
    </row>
    <row r="2053" spans="2:2">
      <c r="B2053" s="21">
        <f>IF(AND(C2053&lt;&gt;"", H2053&lt;&gt;""), HYPERLINK("#'" &amp; C2053 &amp; "'!" &amp; H2053, H2053), "")</f>
        <v>0</v>
      </c>
    </row>
    <row r="2054" spans="2:2">
      <c r="B2054" s="21">
        <f>IF(AND(C2054&lt;&gt;"", H2054&lt;&gt;""), HYPERLINK("#'" &amp; C2054 &amp; "'!" &amp; H2054, H2054), "")</f>
        <v>0</v>
      </c>
    </row>
    <row r="2055" spans="2:2">
      <c r="B2055" s="21">
        <f>IF(AND(C2055&lt;&gt;"", H2055&lt;&gt;""), HYPERLINK("#'" &amp; C2055 &amp; "'!" &amp; H2055, H2055), "")</f>
        <v>0</v>
      </c>
    </row>
    <row r="2056" spans="2:2">
      <c r="B2056" s="21">
        <f>IF(AND(C2056&lt;&gt;"", H2056&lt;&gt;""), HYPERLINK("#'" &amp; C2056 &amp; "'!" &amp; H2056, H2056), "")</f>
        <v>0</v>
      </c>
    </row>
    <row r="2057" spans="2:2">
      <c r="B2057" s="21">
        <f>IF(AND(C2057&lt;&gt;"", H2057&lt;&gt;""), HYPERLINK("#'" &amp; C2057 &amp; "'!" &amp; H2057, H2057), "")</f>
        <v>0</v>
      </c>
    </row>
    <row r="2058" spans="2:2">
      <c r="B2058" s="21">
        <f>IF(AND(C2058&lt;&gt;"", H2058&lt;&gt;""), HYPERLINK("#'" &amp; C2058 &amp; "'!" &amp; H2058, H2058), "")</f>
        <v>0</v>
      </c>
    </row>
    <row r="2059" spans="2:2">
      <c r="B2059" s="21">
        <f>IF(AND(C2059&lt;&gt;"", H2059&lt;&gt;""), HYPERLINK("#'" &amp; C2059 &amp; "'!" &amp; H2059, H2059), "")</f>
        <v>0</v>
      </c>
    </row>
    <row r="2060" spans="2:2">
      <c r="B2060" s="21">
        <f>IF(AND(C2060&lt;&gt;"", H2060&lt;&gt;""), HYPERLINK("#'" &amp; C2060 &amp; "'!" &amp; H2060, H2060), "")</f>
        <v>0</v>
      </c>
    </row>
    <row r="2061" spans="2:2">
      <c r="B2061" s="21">
        <f>IF(AND(C2061&lt;&gt;"", H2061&lt;&gt;""), HYPERLINK("#'" &amp; C2061 &amp; "'!" &amp; H2061, H2061), "")</f>
        <v>0</v>
      </c>
    </row>
    <row r="2062" spans="2:2">
      <c r="B2062" s="21">
        <f>IF(AND(C2062&lt;&gt;"", H2062&lt;&gt;""), HYPERLINK("#'" &amp; C2062 &amp; "'!" &amp; H2062, H2062), "")</f>
        <v>0</v>
      </c>
    </row>
    <row r="2063" spans="2:2">
      <c r="B2063" s="21">
        <f>IF(AND(C2063&lt;&gt;"", H2063&lt;&gt;""), HYPERLINK("#'" &amp; C2063 &amp; "'!" &amp; H2063, H2063), "")</f>
        <v>0</v>
      </c>
    </row>
    <row r="2064" spans="2:2">
      <c r="B2064" s="21">
        <f>IF(AND(C2064&lt;&gt;"", H2064&lt;&gt;""), HYPERLINK("#'" &amp; C2064 &amp; "'!" &amp; H2064, H2064), "")</f>
        <v>0</v>
      </c>
    </row>
    <row r="2065" spans="2:2">
      <c r="B2065" s="21">
        <f>IF(AND(C2065&lt;&gt;"", H2065&lt;&gt;""), HYPERLINK("#'" &amp; C2065 &amp; "'!" &amp; H2065, H2065), "")</f>
        <v>0</v>
      </c>
    </row>
    <row r="2066" spans="2:2">
      <c r="B2066" s="21">
        <f>IF(AND(C2066&lt;&gt;"", H2066&lt;&gt;""), HYPERLINK("#'" &amp; C2066 &amp; "'!" &amp; H2066, H2066), "")</f>
        <v>0</v>
      </c>
    </row>
    <row r="2067" spans="2:2">
      <c r="B2067" s="21">
        <f>IF(AND(C2067&lt;&gt;"", H2067&lt;&gt;""), HYPERLINK("#'" &amp; C2067 &amp; "'!" &amp; H2067, H2067), "")</f>
        <v>0</v>
      </c>
    </row>
    <row r="2068" spans="2:2">
      <c r="B2068" s="21">
        <f>IF(AND(C2068&lt;&gt;"", H2068&lt;&gt;""), HYPERLINK("#'" &amp; C2068 &amp; "'!" &amp; H2068, H2068), "")</f>
        <v>0</v>
      </c>
    </row>
    <row r="2069" spans="2:2">
      <c r="B2069" s="21">
        <f>IF(AND(C2069&lt;&gt;"", H2069&lt;&gt;""), HYPERLINK("#'" &amp; C2069 &amp; "'!" &amp; H2069, H2069), "")</f>
        <v>0</v>
      </c>
    </row>
    <row r="2070" spans="2:2">
      <c r="B2070" s="21">
        <f>IF(AND(C2070&lt;&gt;"", H2070&lt;&gt;""), HYPERLINK("#'" &amp; C2070 &amp; "'!" &amp; H2070, H2070), "")</f>
        <v>0</v>
      </c>
    </row>
    <row r="2071" spans="2:2">
      <c r="B2071" s="21">
        <f>IF(AND(C2071&lt;&gt;"", H2071&lt;&gt;""), HYPERLINK("#'" &amp; C2071 &amp; "'!" &amp; H2071, H2071), "")</f>
        <v>0</v>
      </c>
    </row>
    <row r="2072" spans="2:2">
      <c r="B2072" s="21">
        <f>IF(AND(C2072&lt;&gt;"", H2072&lt;&gt;""), HYPERLINK("#'" &amp; C2072 &amp; "'!" &amp; H2072, H2072), "")</f>
        <v>0</v>
      </c>
    </row>
    <row r="2073" spans="2:2">
      <c r="B2073" s="21">
        <f>IF(AND(C2073&lt;&gt;"", H2073&lt;&gt;""), HYPERLINK("#'" &amp; C2073 &amp; "'!" &amp; H2073, H2073), "")</f>
        <v>0</v>
      </c>
    </row>
    <row r="2074" spans="2:2">
      <c r="B2074" s="21">
        <f>IF(AND(C2074&lt;&gt;"", H2074&lt;&gt;""), HYPERLINK("#'" &amp; C2074 &amp; "'!" &amp; H2074, H2074), "")</f>
        <v>0</v>
      </c>
    </row>
    <row r="2075" spans="2:2">
      <c r="B2075" s="21">
        <f>IF(AND(C2075&lt;&gt;"", H2075&lt;&gt;""), HYPERLINK("#'" &amp; C2075 &amp; "'!" &amp; H2075, H2075), "")</f>
        <v>0</v>
      </c>
    </row>
    <row r="2076" spans="2:2">
      <c r="B2076" s="21">
        <f>IF(AND(C2076&lt;&gt;"", H2076&lt;&gt;""), HYPERLINK("#'" &amp; C2076 &amp; "'!" &amp; H2076, H2076), "")</f>
        <v>0</v>
      </c>
    </row>
    <row r="2077" spans="2:2">
      <c r="B2077" s="21">
        <f>IF(AND(C2077&lt;&gt;"", H2077&lt;&gt;""), HYPERLINK("#'" &amp; C2077 &amp; "'!" &amp; H2077, H2077), "")</f>
        <v>0</v>
      </c>
    </row>
    <row r="2078" spans="2:2">
      <c r="B2078" s="21">
        <f>IF(AND(C2078&lt;&gt;"", H2078&lt;&gt;""), HYPERLINK("#'" &amp; C2078 &amp; "'!" &amp; H2078, H2078), "")</f>
        <v>0</v>
      </c>
    </row>
    <row r="2079" spans="2:2">
      <c r="B2079" s="21">
        <f>IF(AND(C2079&lt;&gt;"", H2079&lt;&gt;""), HYPERLINK("#'" &amp; C2079 &amp; "'!" &amp; H2079, H2079), "")</f>
        <v>0</v>
      </c>
    </row>
    <row r="2080" spans="2:2">
      <c r="B2080" s="21">
        <f>IF(AND(C2080&lt;&gt;"", H2080&lt;&gt;""), HYPERLINK("#'" &amp; C2080 &amp; "'!" &amp; H2080, H2080), "")</f>
        <v>0</v>
      </c>
    </row>
    <row r="2081" spans="2:2">
      <c r="B2081" s="21">
        <f>IF(AND(C2081&lt;&gt;"", H2081&lt;&gt;""), HYPERLINK("#'" &amp; C2081 &amp; "'!" &amp; H2081, H2081), "")</f>
        <v>0</v>
      </c>
    </row>
    <row r="2082" spans="2:2">
      <c r="B2082" s="21">
        <f>IF(AND(C2082&lt;&gt;"", H2082&lt;&gt;""), HYPERLINK("#'" &amp; C2082 &amp; "'!" &amp; H2082, H2082), "")</f>
        <v>0</v>
      </c>
    </row>
    <row r="2083" spans="2:2">
      <c r="B2083" s="21">
        <f>IF(AND(C2083&lt;&gt;"", H2083&lt;&gt;""), HYPERLINK("#'" &amp; C2083 &amp; "'!" &amp; H2083, H2083), "")</f>
        <v>0</v>
      </c>
    </row>
    <row r="2084" spans="2:2">
      <c r="B2084" s="21">
        <f>IF(AND(C2084&lt;&gt;"", H2084&lt;&gt;""), HYPERLINK("#'" &amp; C2084 &amp; "'!" &amp; H2084, H2084), "")</f>
        <v>0</v>
      </c>
    </row>
    <row r="2085" spans="2:2">
      <c r="B2085" s="21">
        <f>IF(AND(C2085&lt;&gt;"", H2085&lt;&gt;""), HYPERLINK("#'" &amp; C2085 &amp; "'!" &amp; H2085, H2085), "")</f>
        <v>0</v>
      </c>
    </row>
    <row r="2086" spans="2:2">
      <c r="B2086" s="21">
        <f>IF(AND(C2086&lt;&gt;"", H2086&lt;&gt;""), HYPERLINK("#'" &amp; C2086 &amp; "'!" &amp; H2086, H2086), "")</f>
        <v>0</v>
      </c>
    </row>
    <row r="2087" spans="2:2">
      <c r="B2087" s="21">
        <f>IF(AND(C2087&lt;&gt;"", H2087&lt;&gt;""), HYPERLINK("#'" &amp; C2087 &amp; "'!" &amp; H2087, H2087), "")</f>
        <v>0</v>
      </c>
    </row>
    <row r="2088" spans="2:2">
      <c r="B2088" s="21">
        <f>IF(AND(C2088&lt;&gt;"", H2088&lt;&gt;""), HYPERLINK("#'" &amp; C2088 &amp; "'!" &amp; H2088, H2088), "")</f>
        <v>0</v>
      </c>
    </row>
    <row r="2089" spans="2:2">
      <c r="B2089" s="21">
        <f>IF(AND(C2089&lt;&gt;"", H2089&lt;&gt;""), HYPERLINK("#'" &amp; C2089 &amp; "'!" &amp; H2089, H2089), "")</f>
        <v>0</v>
      </c>
    </row>
    <row r="2090" spans="2:2">
      <c r="B2090" s="21">
        <f>IF(AND(C2090&lt;&gt;"", H2090&lt;&gt;""), HYPERLINK("#'" &amp; C2090 &amp; "'!" &amp; H2090, H2090), "")</f>
        <v>0</v>
      </c>
    </row>
    <row r="2091" spans="2:2">
      <c r="B2091" s="21">
        <f>IF(AND(C2091&lt;&gt;"", H2091&lt;&gt;""), HYPERLINK("#'" &amp; C2091 &amp; "'!" &amp; H2091, H2091), "")</f>
        <v>0</v>
      </c>
    </row>
    <row r="2092" spans="2:2">
      <c r="B2092" s="21">
        <f>IF(AND(C2092&lt;&gt;"", H2092&lt;&gt;""), HYPERLINK("#'" &amp; C2092 &amp; "'!" &amp; H2092, H2092), "")</f>
        <v>0</v>
      </c>
    </row>
    <row r="2093" spans="2:2">
      <c r="B2093" s="21">
        <f>IF(AND(C2093&lt;&gt;"", H2093&lt;&gt;""), HYPERLINK("#'" &amp; C2093 &amp; "'!" &amp; H2093, H2093), "")</f>
        <v>0</v>
      </c>
    </row>
    <row r="2094" spans="2:2">
      <c r="B2094" s="21">
        <f>IF(AND(C2094&lt;&gt;"", H2094&lt;&gt;""), HYPERLINK("#'" &amp; C2094 &amp; "'!" &amp; H2094, H2094), "")</f>
        <v>0</v>
      </c>
    </row>
    <row r="2095" spans="2:2">
      <c r="B2095" s="21">
        <f>IF(AND(C2095&lt;&gt;"", H2095&lt;&gt;""), HYPERLINK("#'" &amp; C2095 &amp; "'!" &amp; H2095, H2095), "")</f>
        <v>0</v>
      </c>
    </row>
    <row r="2096" spans="2:2">
      <c r="B2096" s="21">
        <f>IF(AND(C2096&lt;&gt;"", H2096&lt;&gt;""), HYPERLINK("#'" &amp; C2096 &amp; "'!" &amp; H2096, H2096), "")</f>
        <v>0</v>
      </c>
    </row>
    <row r="2097" spans="2:2">
      <c r="B2097" s="21">
        <f>IF(AND(C2097&lt;&gt;"", H2097&lt;&gt;""), HYPERLINK("#'" &amp; C2097 &amp; "'!" &amp; H2097, H2097), "")</f>
        <v>0</v>
      </c>
    </row>
    <row r="2098" spans="2:2">
      <c r="B2098" s="21">
        <f>IF(AND(C2098&lt;&gt;"", H2098&lt;&gt;""), HYPERLINK("#'" &amp; C2098 &amp; "'!" &amp; H2098, H2098), "")</f>
        <v>0</v>
      </c>
    </row>
    <row r="2099" spans="2:2">
      <c r="B2099" s="21">
        <f>IF(AND(C2099&lt;&gt;"", H2099&lt;&gt;""), HYPERLINK("#'" &amp; C2099 &amp; "'!" &amp; H2099, H2099), "")</f>
        <v>0</v>
      </c>
    </row>
    <row r="2100" spans="2:2">
      <c r="B2100" s="21">
        <f>IF(AND(C2100&lt;&gt;"", H2100&lt;&gt;""), HYPERLINK("#'" &amp; C2100 &amp; "'!" &amp; H2100, H2100), "")</f>
        <v>0</v>
      </c>
    </row>
    <row r="2101" spans="2:2">
      <c r="B2101" s="21">
        <f>IF(AND(C2101&lt;&gt;"", H2101&lt;&gt;""), HYPERLINK("#'" &amp; C2101 &amp; "'!" &amp; H2101, H2101), "")</f>
        <v>0</v>
      </c>
    </row>
    <row r="2102" spans="2:2">
      <c r="B2102" s="21">
        <f>IF(AND(C2102&lt;&gt;"", H2102&lt;&gt;""), HYPERLINK("#'" &amp; C2102 &amp; "'!" &amp; H2102, H2102), "")</f>
        <v>0</v>
      </c>
    </row>
    <row r="2103" spans="2:2">
      <c r="B2103" s="21">
        <f>IF(AND(C2103&lt;&gt;"", H2103&lt;&gt;""), HYPERLINK("#'" &amp; C2103 &amp; "'!" &amp; H2103, H2103), "")</f>
        <v>0</v>
      </c>
    </row>
    <row r="2104" spans="2:2">
      <c r="B2104" s="21">
        <f>IF(AND(C2104&lt;&gt;"", H2104&lt;&gt;""), HYPERLINK("#'" &amp; C2104 &amp; "'!" &amp; H2104, H2104), "")</f>
        <v>0</v>
      </c>
    </row>
    <row r="2105" spans="2:2">
      <c r="B2105" s="21">
        <f>IF(AND(C2105&lt;&gt;"", H2105&lt;&gt;""), HYPERLINK("#'" &amp; C2105 &amp; "'!" &amp; H2105, H2105), "")</f>
        <v>0</v>
      </c>
    </row>
    <row r="2106" spans="2:2">
      <c r="B2106" s="21">
        <f>IF(AND(C2106&lt;&gt;"", H2106&lt;&gt;""), HYPERLINK("#'" &amp; C2106 &amp; "'!" &amp; H2106, H2106), "")</f>
        <v>0</v>
      </c>
    </row>
    <row r="2107" spans="2:2">
      <c r="B2107" s="21">
        <f>IF(AND(C2107&lt;&gt;"", H2107&lt;&gt;""), HYPERLINK("#'" &amp; C2107 &amp; "'!" &amp; H2107, H2107), "")</f>
        <v>0</v>
      </c>
    </row>
    <row r="2108" spans="2:2">
      <c r="B2108" s="21">
        <f>IF(AND(C2108&lt;&gt;"", H2108&lt;&gt;""), HYPERLINK("#'" &amp; C2108 &amp; "'!" &amp; H2108, H2108), "")</f>
        <v>0</v>
      </c>
    </row>
    <row r="2109" spans="2:2">
      <c r="B2109" s="21">
        <f>IF(AND(C2109&lt;&gt;"", H2109&lt;&gt;""), HYPERLINK("#'" &amp; C2109 &amp; "'!" &amp; H2109, H2109), "")</f>
        <v>0</v>
      </c>
    </row>
    <row r="2110" spans="2:2">
      <c r="B2110" s="21">
        <f>IF(AND(C2110&lt;&gt;"", H2110&lt;&gt;""), HYPERLINK("#'" &amp; C2110 &amp; "'!" &amp; H2110, H2110), "")</f>
        <v>0</v>
      </c>
    </row>
    <row r="2111" spans="2:2">
      <c r="B2111" s="21">
        <f>IF(AND(C2111&lt;&gt;"", H2111&lt;&gt;""), HYPERLINK("#'" &amp; C2111 &amp; "'!" &amp; H2111, H2111), "")</f>
        <v>0</v>
      </c>
    </row>
    <row r="2112" spans="2:2">
      <c r="B2112" s="21">
        <f>IF(AND(C2112&lt;&gt;"", H2112&lt;&gt;""), HYPERLINK("#'" &amp; C2112 &amp; "'!" &amp; H2112, H2112), "")</f>
        <v>0</v>
      </c>
    </row>
    <row r="2113" spans="2:2">
      <c r="B2113" s="21">
        <f>IF(AND(C2113&lt;&gt;"", H2113&lt;&gt;""), HYPERLINK("#'" &amp; C2113 &amp; "'!" &amp; H2113, H2113), "")</f>
        <v>0</v>
      </c>
    </row>
    <row r="2114" spans="2:2">
      <c r="B2114" s="21">
        <f>IF(AND(C2114&lt;&gt;"", H2114&lt;&gt;""), HYPERLINK("#'" &amp; C2114 &amp; "'!" &amp; H2114, H2114), "")</f>
        <v>0</v>
      </c>
    </row>
    <row r="2115" spans="2:2">
      <c r="B2115" s="21">
        <f>IF(AND(C2115&lt;&gt;"", H2115&lt;&gt;""), HYPERLINK("#'" &amp; C2115 &amp; "'!" &amp; H2115, H2115), "")</f>
        <v>0</v>
      </c>
    </row>
    <row r="2116" spans="2:2">
      <c r="B2116" s="21">
        <f>IF(AND(C2116&lt;&gt;"", H2116&lt;&gt;""), HYPERLINK("#'" &amp; C2116 &amp; "'!" &amp; H2116, H2116), "")</f>
        <v>0</v>
      </c>
    </row>
    <row r="2117" spans="2:2">
      <c r="B2117" s="21">
        <f>IF(AND(C2117&lt;&gt;"", H2117&lt;&gt;""), HYPERLINK("#'" &amp; C2117 &amp; "'!" &amp; H2117, H2117), "")</f>
        <v>0</v>
      </c>
    </row>
    <row r="2118" spans="2:2">
      <c r="B2118" s="21">
        <f>IF(AND(C2118&lt;&gt;"", H2118&lt;&gt;""), HYPERLINK("#'" &amp; C2118 &amp; "'!" &amp; H2118, H2118), "")</f>
        <v>0</v>
      </c>
    </row>
    <row r="2119" spans="2:2">
      <c r="B2119" s="21">
        <f>IF(AND(C2119&lt;&gt;"", H2119&lt;&gt;""), HYPERLINK("#'" &amp; C2119 &amp; "'!" &amp; H2119, H2119), "")</f>
        <v>0</v>
      </c>
    </row>
    <row r="2120" spans="2:2">
      <c r="B2120" s="21">
        <f>IF(AND(C2120&lt;&gt;"", H2120&lt;&gt;""), HYPERLINK("#'" &amp; C2120 &amp; "'!" &amp; H2120, H2120), "")</f>
        <v>0</v>
      </c>
    </row>
    <row r="2121" spans="2:2">
      <c r="B2121" s="21">
        <f>IF(AND(C2121&lt;&gt;"", H2121&lt;&gt;""), HYPERLINK("#'" &amp; C2121 &amp; "'!" &amp; H2121, H2121), "")</f>
        <v>0</v>
      </c>
    </row>
    <row r="2122" spans="2:2">
      <c r="B2122" s="21">
        <f>IF(AND(C2122&lt;&gt;"", H2122&lt;&gt;""), HYPERLINK("#'" &amp; C2122 &amp; "'!" &amp; H2122, H2122), "")</f>
        <v>0</v>
      </c>
    </row>
    <row r="2123" spans="2:2">
      <c r="B2123" s="21">
        <f>IF(AND(C2123&lt;&gt;"", H2123&lt;&gt;""), HYPERLINK("#'" &amp; C2123 &amp; "'!" &amp; H2123, H2123), "")</f>
        <v>0</v>
      </c>
    </row>
    <row r="2124" spans="2:2">
      <c r="B2124" s="21">
        <f>IF(AND(C2124&lt;&gt;"", H2124&lt;&gt;""), HYPERLINK("#'" &amp; C2124 &amp; "'!" &amp; H2124, H2124), "")</f>
        <v>0</v>
      </c>
    </row>
    <row r="2125" spans="2:2">
      <c r="B2125" s="21">
        <f>IF(AND(C2125&lt;&gt;"", H2125&lt;&gt;""), HYPERLINK("#'" &amp; C2125 &amp; "'!" &amp; H2125, H2125), "")</f>
        <v>0</v>
      </c>
    </row>
    <row r="2126" spans="2:2">
      <c r="B2126" s="21">
        <f>IF(AND(C2126&lt;&gt;"", H2126&lt;&gt;""), HYPERLINK("#'" &amp; C2126 &amp; "'!" &amp; H2126, H2126), "")</f>
        <v>0</v>
      </c>
    </row>
    <row r="2127" spans="2:2">
      <c r="B2127" s="21">
        <f>IF(AND(C2127&lt;&gt;"", H2127&lt;&gt;""), HYPERLINK("#'" &amp; C2127 &amp; "'!" &amp; H2127, H2127), "")</f>
        <v>0</v>
      </c>
    </row>
    <row r="2128" spans="2:2">
      <c r="B2128" s="21">
        <f>IF(AND(C2128&lt;&gt;"", H2128&lt;&gt;""), HYPERLINK("#'" &amp; C2128 &amp; "'!" &amp; H2128, H2128), "")</f>
        <v>0</v>
      </c>
    </row>
    <row r="2129" spans="2:2">
      <c r="B2129" s="21">
        <f>IF(AND(C2129&lt;&gt;"", H2129&lt;&gt;""), HYPERLINK("#'" &amp; C2129 &amp; "'!" &amp; H2129, H2129), "")</f>
        <v>0</v>
      </c>
    </row>
    <row r="2130" spans="2:2">
      <c r="B2130" s="21">
        <f>IF(AND(C2130&lt;&gt;"", H2130&lt;&gt;""), HYPERLINK("#'" &amp; C2130 &amp; "'!" &amp; H2130, H2130), "")</f>
        <v>0</v>
      </c>
    </row>
    <row r="2131" spans="2:2">
      <c r="B2131" s="21">
        <f>IF(AND(C2131&lt;&gt;"", H2131&lt;&gt;""), HYPERLINK("#'" &amp; C2131 &amp; "'!" &amp; H2131, H2131), "")</f>
        <v>0</v>
      </c>
    </row>
    <row r="2132" spans="2:2">
      <c r="B2132" s="21">
        <f>IF(AND(C2132&lt;&gt;"", H2132&lt;&gt;""), HYPERLINK("#'" &amp; C2132 &amp; "'!" &amp; H2132, H2132), "")</f>
        <v>0</v>
      </c>
    </row>
    <row r="2133" spans="2:2">
      <c r="B2133" s="21">
        <f>IF(AND(C2133&lt;&gt;"", H2133&lt;&gt;""), HYPERLINK("#'" &amp; C2133 &amp; "'!" &amp; H2133, H2133), "")</f>
        <v>0</v>
      </c>
    </row>
    <row r="2134" spans="2:2">
      <c r="B2134" s="21">
        <f>IF(AND(C2134&lt;&gt;"", H2134&lt;&gt;""), HYPERLINK("#'" &amp; C2134 &amp; "'!" &amp; H2134, H2134), "")</f>
        <v>0</v>
      </c>
    </row>
    <row r="2135" spans="2:2">
      <c r="B2135" s="21">
        <f>IF(AND(C2135&lt;&gt;"", H2135&lt;&gt;""), HYPERLINK("#'" &amp; C2135 &amp; "'!" &amp; H2135, H2135), "")</f>
        <v>0</v>
      </c>
    </row>
    <row r="2136" spans="2:2">
      <c r="B2136" s="21">
        <f>IF(AND(C2136&lt;&gt;"", H2136&lt;&gt;""), HYPERLINK("#'" &amp; C2136 &amp; "'!" &amp; H2136, H2136), "")</f>
        <v>0</v>
      </c>
    </row>
    <row r="2137" spans="2:2">
      <c r="B2137" s="21">
        <f>IF(AND(C2137&lt;&gt;"", H2137&lt;&gt;""), HYPERLINK("#'" &amp; C2137 &amp; "'!" &amp; H2137, H2137), "")</f>
        <v>0</v>
      </c>
    </row>
    <row r="2138" spans="2:2">
      <c r="B2138" s="21">
        <f>IF(AND(C2138&lt;&gt;"", H2138&lt;&gt;""), HYPERLINK("#'" &amp; C2138 &amp; "'!" &amp; H2138, H2138), "")</f>
        <v>0</v>
      </c>
    </row>
    <row r="2139" spans="2:2">
      <c r="B2139" s="21">
        <f>IF(AND(C2139&lt;&gt;"", H2139&lt;&gt;""), HYPERLINK("#'" &amp; C2139 &amp; "'!" &amp; H2139, H2139), "")</f>
        <v>0</v>
      </c>
    </row>
    <row r="2140" spans="2:2">
      <c r="B2140" s="21">
        <f>IF(AND(C2140&lt;&gt;"", H2140&lt;&gt;""), HYPERLINK("#'" &amp; C2140 &amp; "'!" &amp; H2140, H2140), "")</f>
        <v>0</v>
      </c>
    </row>
    <row r="2141" spans="2:2">
      <c r="B2141" s="21">
        <f>IF(AND(C2141&lt;&gt;"", H2141&lt;&gt;""), HYPERLINK("#'" &amp; C2141 &amp; "'!" &amp; H2141, H2141), "")</f>
        <v>0</v>
      </c>
    </row>
    <row r="2142" spans="2:2">
      <c r="B2142" s="21">
        <f>IF(AND(C2142&lt;&gt;"", H2142&lt;&gt;""), HYPERLINK("#'" &amp; C2142 &amp; "'!" &amp; H2142, H2142), "")</f>
        <v>0</v>
      </c>
    </row>
    <row r="2143" spans="2:2">
      <c r="B2143" s="21">
        <f>IF(AND(C2143&lt;&gt;"", H2143&lt;&gt;""), HYPERLINK("#'" &amp; C2143 &amp; "'!" &amp; H2143, H2143), "")</f>
        <v>0</v>
      </c>
    </row>
    <row r="2144" spans="2:2">
      <c r="B2144" s="21">
        <f>IF(AND(C2144&lt;&gt;"", H2144&lt;&gt;""), HYPERLINK("#'" &amp; C2144 &amp; "'!" &amp; H2144, H2144), "")</f>
        <v>0</v>
      </c>
    </row>
    <row r="2145" spans="2:2">
      <c r="B2145" s="21">
        <f>IF(AND(C2145&lt;&gt;"", H2145&lt;&gt;""), HYPERLINK("#'" &amp; C2145 &amp; "'!" &amp; H2145, H2145), "")</f>
        <v>0</v>
      </c>
    </row>
    <row r="2146" spans="2:2">
      <c r="B2146" s="21">
        <f>IF(AND(C2146&lt;&gt;"", H2146&lt;&gt;""), HYPERLINK("#'" &amp; C2146 &amp; "'!" &amp; H2146, H2146), "")</f>
        <v>0</v>
      </c>
    </row>
    <row r="2147" spans="2:2">
      <c r="B2147" s="21">
        <f>IF(AND(C2147&lt;&gt;"", H2147&lt;&gt;""), HYPERLINK("#'" &amp; C2147 &amp; "'!" &amp; H2147, H2147), "")</f>
        <v>0</v>
      </c>
    </row>
    <row r="2148" spans="2:2">
      <c r="B2148" s="21">
        <f>IF(AND(C2148&lt;&gt;"", H2148&lt;&gt;""), HYPERLINK("#'" &amp; C2148 &amp; "'!" &amp; H2148, H2148), "")</f>
        <v>0</v>
      </c>
    </row>
    <row r="2149" spans="2:2">
      <c r="B2149" s="21">
        <f>IF(AND(C2149&lt;&gt;"", H2149&lt;&gt;""), HYPERLINK("#'" &amp; C2149 &amp; "'!" &amp; H2149, H2149), "")</f>
        <v>0</v>
      </c>
    </row>
    <row r="2150" spans="2:2">
      <c r="B2150" s="21">
        <f>IF(AND(C2150&lt;&gt;"", H2150&lt;&gt;""), HYPERLINK("#'" &amp; C2150 &amp; "'!" &amp; H2150, H2150), "")</f>
        <v>0</v>
      </c>
    </row>
    <row r="2151" spans="2:2">
      <c r="B2151" s="21">
        <f>IF(AND(C2151&lt;&gt;"", H2151&lt;&gt;""), HYPERLINK("#'" &amp; C2151 &amp; "'!" &amp; H2151, H2151), "")</f>
        <v>0</v>
      </c>
    </row>
    <row r="2152" spans="2:2">
      <c r="B2152" s="21">
        <f>IF(AND(C2152&lt;&gt;"", H2152&lt;&gt;""), HYPERLINK("#'" &amp; C2152 &amp; "'!" &amp; H2152, H2152), "")</f>
        <v>0</v>
      </c>
    </row>
    <row r="2153" spans="2:2">
      <c r="B2153" s="21">
        <f>IF(AND(C2153&lt;&gt;"", H2153&lt;&gt;""), HYPERLINK("#'" &amp; C2153 &amp; "'!" &amp; H2153, H2153), "")</f>
        <v>0</v>
      </c>
    </row>
    <row r="2154" spans="2:2">
      <c r="B2154" s="21">
        <f>IF(AND(C2154&lt;&gt;"", H2154&lt;&gt;""), HYPERLINK("#'" &amp; C2154 &amp; "'!" &amp; H2154, H2154), "")</f>
        <v>0</v>
      </c>
    </row>
    <row r="2155" spans="2:2">
      <c r="B2155" s="21">
        <f>IF(AND(C2155&lt;&gt;"", H2155&lt;&gt;""), HYPERLINK("#'" &amp; C2155 &amp; "'!" &amp; H2155, H2155), "")</f>
        <v>0</v>
      </c>
    </row>
    <row r="2156" spans="2:2">
      <c r="B2156" s="21">
        <f>IF(AND(C2156&lt;&gt;"", H2156&lt;&gt;""), HYPERLINK("#'" &amp; C2156 &amp; "'!" &amp; H2156, H2156), "")</f>
        <v>0</v>
      </c>
    </row>
    <row r="2157" spans="2:2">
      <c r="B2157" s="21">
        <f>IF(AND(C2157&lt;&gt;"", H2157&lt;&gt;""), HYPERLINK("#'" &amp; C2157 &amp; "'!" &amp; H2157, H2157), "")</f>
        <v>0</v>
      </c>
    </row>
    <row r="2158" spans="2:2">
      <c r="B2158" s="21">
        <f>IF(AND(C2158&lt;&gt;"", H2158&lt;&gt;""), HYPERLINK("#'" &amp; C2158 &amp; "'!" &amp; H2158, H2158), "")</f>
        <v>0</v>
      </c>
    </row>
    <row r="2159" spans="2:2">
      <c r="B2159" s="21">
        <f>IF(AND(C2159&lt;&gt;"", H2159&lt;&gt;""), HYPERLINK("#'" &amp; C2159 &amp; "'!" &amp; H2159, H2159), "")</f>
        <v>0</v>
      </c>
    </row>
    <row r="2160" spans="2:2">
      <c r="B2160" s="21">
        <f>IF(AND(C2160&lt;&gt;"", H2160&lt;&gt;""), HYPERLINK("#'" &amp; C2160 &amp; "'!" &amp; H2160, H2160), "")</f>
        <v>0</v>
      </c>
    </row>
    <row r="2161" spans="2:2">
      <c r="B2161" s="21">
        <f>IF(AND(C2161&lt;&gt;"", H2161&lt;&gt;""), HYPERLINK("#'" &amp; C2161 &amp; "'!" &amp; H2161, H2161), "")</f>
        <v>0</v>
      </c>
    </row>
    <row r="2162" spans="2:2">
      <c r="B2162" s="21">
        <f>IF(AND(C2162&lt;&gt;"", H2162&lt;&gt;""), HYPERLINK("#'" &amp; C2162 &amp; "'!" &amp; H2162, H2162), "")</f>
        <v>0</v>
      </c>
    </row>
    <row r="2163" spans="2:2">
      <c r="B2163" s="21">
        <f>IF(AND(C2163&lt;&gt;"", H2163&lt;&gt;""), HYPERLINK("#'" &amp; C2163 &amp; "'!" &amp; H2163, H2163), "")</f>
        <v>0</v>
      </c>
    </row>
    <row r="2164" spans="2:2">
      <c r="B2164" s="21">
        <f>IF(AND(C2164&lt;&gt;"", H2164&lt;&gt;""), HYPERLINK("#'" &amp; C2164 &amp; "'!" &amp; H2164, H2164), "")</f>
        <v>0</v>
      </c>
    </row>
    <row r="2165" spans="2:2">
      <c r="B2165" s="21">
        <f>IF(AND(C2165&lt;&gt;"", H2165&lt;&gt;""), HYPERLINK("#'" &amp; C2165 &amp; "'!" &amp; H2165, H2165), "")</f>
        <v>0</v>
      </c>
    </row>
    <row r="2166" spans="2:2">
      <c r="B2166" s="21">
        <f>IF(AND(C2166&lt;&gt;"", H2166&lt;&gt;""), HYPERLINK("#'" &amp; C2166 &amp; "'!" &amp; H2166, H2166), "")</f>
        <v>0</v>
      </c>
    </row>
    <row r="2167" spans="2:2">
      <c r="B2167" s="21">
        <f>IF(AND(C2167&lt;&gt;"", H2167&lt;&gt;""), HYPERLINK("#'" &amp; C2167 &amp; "'!" &amp; H2167, H2167), "")</f>
        <v>0</v>
      </c>
    </row>
    <row r="2168" spans="2:2">
      <c r="B2168" s="21">
        <f>IF(AND(C2168&lt;&gt;"", H2168&lt;&gt;""), HYPERLINK("#'" &amp; C2168 &amp; "'!" &amp; H2168, H2168), "")</f>
        <v>0</v>
      </c>
    </row>
    <row r="2169" spans="2:2">
      <c r="B2169" s="21">
        <f>IF(AND(C2169&lt;&gt;"", H2169&lt;&gt;""), HYPERLINK("#'" &amp; C2169 &amp; "'!" &amp; H2169, H2169), "")</f>
        <v>0</v>
      </c>
    </row>
    <row r="2170" spans="2:2">
      <c r="B2170" s="21">
        <f>IF(AND(C2170&lt;&gt;"", H2170&lt;&gt;""), HYPERLINK("#'" &amp; C2170 &amp; "'!" &amp; H2170, H2170), "")</f>
        <v>0</v>
      </c>
    </row>
    <row r="2171" spans="2:2">
      <c r="B2171" s="21">
        <f>IF(AND(C2171&lt;&gt;"", H2171&lt;&gt;""), HYPERLINK("#'" &amp; C2171 &amp; "'!" &amp; H2171, H2171), "")</f>
        <v>0</v>
      </c>
    </row>
    <row r="2172" spans="2:2">
      <c r="B2172" s="21">
        <f>IF(AND(C2172&lt;&gt;"", H2172&lt;&gt;""), HYPERLINK("#'" &amp; C2172 &amp; "'!" &amp; H2172, H2172), "")</f>
        <v>0</v>
      </c>
    </row>
    <row r="2173" spans="2:2">
      <c r="B2173" s="21">
        <f>IF(AND(C2173&lt;&gt;"", H2173&lt;&gt;""), HYPERLINK("#'" &amp; C2173 &amp; "'!" &amp; H2173, H2173), "")</f>
        <v>0</v>
      </c>
    </row>
    <row r="2174" spans="2:2">
      <c r="B2174" s="21">
        <f>IF(AND(C2174&lt;&gt;"", H2174&lt;&gt;""), HYPERLINK("#'" &amp; C2174 &amp; "'!" &amp; H2174, H2174), "")</f>
        <v>0</v>
      </c>
    </row>
    <row r="2175" spans="2:2">
      <c r="B2175" s="21">
        <f>IF(AND(C2175&lt;&gt;"", H2175&lt;&gt;""), HYPERLINK("#'" &amp; C2175 &amp; "'!" &amp; H2175, H2175), "")</f>
        <v>0</v>
      </c>
    </row>
    <row r="2176" spans="2:2">
      <c r="B2176" s="21">
        <f>IF(AND(C2176&lt;&gt;"", H2176&lt;&gt;""), HYPERLINK("#'" &amp; C2176 &amp; "'!" &amp; H2176, H2176), "")</f>
        <v>0</v>
      </c>
    </row>
    <row r="2177" spans="2:2">
      <c r="B2177" s="21">
        <f>IF(AND(C2177&lt;&gt;"", H2177&lt;&gt;""), HYPERLINK("#'" &amp; C2177 &amp; "'!" &amp; H2177, H2177), "")</f>
        <v>0</v>
      </c>
    </row>
    <row r="2178" spans="2:2">
      <c r="B2178" s="21">
        <f>IF(AND(C2178&lt;&gt;"", H2178&lt;&gt;""), HYPERLINK("#'" &amp; C2178 &amp; "'!" &amp; H2178, H2178), "")</f>
        <v>0</v>
      </c>
    </row>
    <row r="2179" spans="2:2">
      <c r="B2179" s="21">
        <f>IF(AND(C2179&lt;&gt;"", H2179&lt;&gt;""), HYPERLINK("#'" &amp; C2179 &amp; "'!" &amp; H2179, H2179), "")</f>
        <v>0</v>
      </c>
    </row>
    <row r="2180" spans="2:2">
      <c r="B2180" s="21">
        <f>IF(AND(C2180&lt;&gt;"", H2180&lt;&gt;""), HYPERLINK("#'" &amp; C2180 &amp; "'!" &amp; H2180, H2180), "")</f>
        <v>0</v>
      </c>
    </row>
    <row r="2181" spans="2:2">
      <c r="B2181" s="21">
        <f>IF(AND(C2181&lt;&gt;"", H2181&lt;&gt;""), HYPERLINK("#'" &amp; C2181 &amp; "'!" &amp; H2181, H2181), "")</f>
        <v>0</v>
      </c>
    </row>
    <row r="2182" spans="2:2">
      <c r="B2182" s="21">
        <f>IF(AND(C2182&lt;&gt;"", H2182&lt;&gt;""), HYPERLINK("#'" &amp; C2182 &amp; "'!" &amp; H2182, H2182), "")</f>
        <v>0</v>
      </c>
    </row>
    <row r="2183" spans="2:2">
      <c r="B2183" s="21">
        <f>IF(AND(C2183&lt;&gt;"", H2183&lt;&gt;""), HYPERLINK("#'" &amp; C2183 &amp; "'!" &amp; H2183, H2183), "")</f>
        <v>0</v>
      </c>
    </row>
    <row r="2184" spans="2:2">
      <c r="B2184" s="21">
        <f>IF(AND(C2184&lt;&gt;"", H2184&lt;&gt;""), HYPERLINK("#'" &amp; C2184 &amp; "'!" &amp; H2184, H2184), "")</f>
        <v>0</v>
      </c>
    </row>
    <row r="2185" spans="2:2">
      <c r="B2185" s="21">
        <f>IF(AND(C2185&lt;&gt;"", H2185&lt;&gt;""), HYPERLINK("#'" &amp; C2185 &amp; "'!" &amp; H2185, H2185), "")</f>
        <v>0</v>
      </c>
    </row>
    <row r="2186" spans="2:2">
      <c r="B2186" s="21">
        <f>IF(AND(C2186&lt;&gt;"", H2186&lt;&gt;""), HYPERLINK("#'" &amp; C2186 &amp; "'!" &amp; H2186, H2186), "")</f>
        <v>0</v>
      </c>
    </row>
    <row r="2187" spans="2:2">
      <c r="B2187" s="21">
        <f>IF(AND(C2187&lt;&gt;"", H2187&lt;&gt;""), HYPERLINK("#'" &amp; C2187 &amp; "'!" &amp; H2187, H2187), "")</f>
        <v>0</v>
      </c>
    </row>
    <row r="2188" spans="2:2">
      <c r="B2188" s="21">
        <f>IF(AND(C2188&lt;&gt;"", H2188&lt;&gt;""), HYPERLINK("#'" &amp; C2188 &amp; "'!" &amp; H2188, H2188), "")</f>
        <v>0</v>
      </c>
    </row>
    <row r="2189" spans="2:2">
      <c r="B2189" s="21">
        <f>IF(AND(C2189&lt;&gt;"", H2189&lt;&gt;""), HYPERLINK("#'" &amp; C2189 &amp; "'!" &amp; H2189, H2189), "")</f>
        <v>0</v>
      </c>
    </row>
    <row r="2190" spans="2:2">
      <c r="B2190" s="21">
        <f>IF(AND(C2190&lt;&gt;"", H2190&lt;&gt;""), HYPERLINK("#'" &amp; C2190 &amp; "'!" &amp; H2190, H2190), "")</f>
        <v>0</v>
      </c>
    </row>
    <row r="2191" spans="2:2">
      <c r="B2191" s="21">
        <f>IF(AND(C2191&lt;&gt;"", H2191&lt;&gt;""), HYPERLINK("#'" &amp; C2191 &amp; "'!" &amp; H2191, H2191), "")</f>
        <v>0</v>
      </c>
    </row>
    <row r="2192" spans="2:2">
      <c r="B2192" s="21">
        <f>IF(AND(C2192&lt;&gt;"", H2192&lt;&gt;""), HYPERLINK("#'" &amp; C2192 &amp; "'!" &amp; H2192, H2192), "")</f>
        <v>0</v>
      </c>
    </row>
    <row r="2193" spans="2:2">
      <c r="B2193" s="21">
        <f>IF(AND(C2193&lt;&gt;"", H2193&lt;&gt;""), HYPERLINK("#'" &amp; C2193 &amp; "'!" &amp; H2193, H2193), "")</f>
        <v>0</v>
      </c>
    </row>
    <row r="2194" spans="2:2">
      <c r="B2194" s="21">
        <f>IF(AND(C2194&lt;&gt;"", H2194&lt;&gt;""), HYPERLINK("#'" &amp; C2194 &amp; "'!" &amp; H2194, H2194), "")</f>
        <v>0</v>
      </c>
    </row>
    <row r="2195" spans="2:2">
      <c r="B2195" s="21">
        <f>IF(AND(C2195&lt;&gt;"", H2195&lt;&gt;""), HYPERLINK("#'" &amp; C2195 &amp; "'!" &amp; H2195, H2195), "")</f>
        <v>0</v>
      </c>
    </row>
    <row r="2196" spans="2:2">
      <c r="B2196" s="21">
        <f>IF(AND(C2196&lt;&gt;"", H2196&lt;&gt;""), HYPERLINK("#'" &amp; C2196 &amp; "'!" &amp; H2196, H2196), "")</f>
        <v>0</v>
      </c>
    </row>
    <row r="2197" spans="2:2">
      <c r="B2197" s="21">
        <f>IF(AND(C2197&lt;&gt;"", H2197&lt;&gt;""), HYPERLINK("#'" &amp; C2197 &amp; "'!" &amp; H2197, H2197), "")</f>
        <v>0</v>
      </c>
    </row>
    <row r="2198" spans="2:2">
      <c r="B2198" s="21">
        <f>IF(AND(C2198&lt;&gt;"", H2198&lt;&gt;""), HYPERLINK("#'" &amp; C2198 &amp; "'!" &amp; H2198, H2198), "")</f>
        <v>0</v>
      </c>
    </row>
    <row r="2199" spans="2:2">
      <c r="B2199" s="21">
        <f>IF(AND(C2199&lt;&gt;"", H2199&lt;&gt;""), HYPERLINK("#'" &amp; C2199 &amp; "'!" &amp; H2199, H2199), "")</f>
        <v>0</v>
      </c>
    </row>
    <row r="2200" spans="2:2">
      <c r="B2200" s="21">
        <f>IF(AND(C2200&lt;&gt;"", H2200&lt;&gt;""), HYPERLINK("#'" &amp; C2200 &amp; "'!" &amp; H2200, H2200), "")</f>
        <v>0</v>
      </c>
    </row>
    <row r="2201" spans="2:2">
      <c r="B2201" s="21">
        <f>IF(AND(C2201&lt;&gt;"", H2201&lt;&gt;""), HYPERLINK("#'" &amp; C2201 &amp; "'!" &amp; H2201, H2201), "")</f>
        <v>0</v>
      </c>
    </row>
    <row r="2202" spans="2:2">
      <c r="B2202" s="21">
        <f>IF(AND(C2202&lt;&gt;"", H2202&lt;&gt;""), HYPERLINK("#'" &amp; C2202 &amp; "'!" &amp; H2202, H2202), "")</f>
        <v>0</v>
      </c>
    </row>
    <row r="2203" spans="2:2">
      <c r="B2203" s="21">
        <f>IF(AND(C2203&lt;&gt;"", H2203&lt;&gt;""), HYPERLINK("#'" &amp; C2203 &amp; "'!" &amp; H2203, H2203), "")</f>
        <v>0</v>
      </c>
    </row>
    <row r="2204" spans="2:2">
      <c r="B2204" s="21">
        <f>IF(AND(C2204&lt;&gt;"", H2204&lt;&gt;""), HYPERLINK("#'" &amp; C2204 &amp; "'!" &amp; H2204, H2204), "")</f>
        <v>0</v>
      </c>
    </row>
    <row r="2205" spans="2:2">
      <c r="B2205" s="21">
        <f>IF(AND(C2205&lt;&gt;"", H2205&lt;&gt;""), HYPERLINK("#'" &amp; C2205 &amp; "'!" &amp; H2205, H2205), "")</f>
        <v>0</v>
      </c>
    </row>
    <row r="2206" spans="2:2">
      <c r="B2206" s="21">
        <f>IF(AND(C2206&lt;&gt;"", H2206&lt;&gt;""), HYPERLINK("#'" &amp; C2206 &amp; "'!" &amp; H2206, H2206), "")</f>
        <v>0</v>
      </c>
    </row>
    <row r="2207" spans="2:2">
      <c r="B2207" s="21">
        <f>IF(AND(C2207&lt;&gt;"", H2207&lt;&gt;""), HYPERLINK("#'" &amp; C2207 &amp; "'!" &amp; H2207, H2207), "")</f>
        <v>0</v>
      </c>
    </row>
    <row r="2208" spans="2:2">
      <c r="B2208" s="21">
        <f>IF(AND(C2208&lt;&gt;"", H2208&lt;&gt;""), HYPERLINK("#'" &amp; C2208 &amp; "'!" &amp; H2208, H2208), "")</f>
        <v>0</v>
      </c>
    </row>
    <row r="2209" spans="2:2">
      <c r="B2209" s="21">
        <f>IF(AND(C2209&lt;&gt;"", H2209&lt;&gt;""), HYPERLINK("#'" &amp; C2209 &amp; "'!" &amp; H2209, H2209), "")</f>
        <v>0</v>
      </c>
    </row>
    <row r="2210" spans="2:2">
      <c r="B2210" s="21">
        <f>IF(AND(C2210&lt;&gt;"", H2210&lt;&gt;""), HYPERLINK("#'" &amp; C2210 &amp; "'!" &amp; H2210, H2210), "")</f>
        <v>0</v>
      </c>
    </row>
    <row r="2211" spans="2:2">
      <c r="B2211" s="21">
        <f>IF(AND(C2211&lt;&gt;"", H2211&lt;&gt;""), HYPERLINK("#'" &amp; C2211 &amp; "'!" &amp; H2211, H2211), "")</f>
        <v>0</v>
      </c>
    </row>
    <row r="2212" spans="2:2">
      <c r="B2212" s="21">
        <f>IF(AND(C2212&lt;&gt;"", H2212&lt;&gt;""), HYPERLINK("#'" &amp; C2212 &amp; "'!" &amp; H2212, H2212), "")</f>
        <v>0</v>
      </c>
    </row>
    <row r="2213" spans="2:2">
      <c r="B2213" s="21">
        <f>IF(AND(C2213&lt;&gt;"", H2213&lt;&gt;""), HYPERLINK("#'" &amp; C2213 &amp; "'!" &amp; H2213, H2213), "")</f>
        <v>0</v>
      </c>
    </row>
    <row r="2214" spans="2:2">
      <c r="B2214" s="21">
        <f>IF(AND(C2214&lt;&gt;"", H2214&lt;&gt;""), HYPERLINK("#'" &amp; C2214 &amp; "'!" &amp; H2214, H2214), "")</f>
        <v>0</v>
      </c>
    </row>
    <row r="2215" spans="2:2">
      <c r="B2215" s="21">
        <f>IF(AND(C2215&lt;&gt;"", H2215&lt;&gt;""), HYPERLINK("#'" &amp; C2215 &amp; "'!" &amp; H2215, H2215), "")</f>
        <v>0</v>
      </c>
    </row>
    <row r="2216" spans="2:2">
      <c r="B2216" s="21">
        <f>IF(AND(C2216&lt;&gt;"", H2216&lt;&gt;""), HYPERLINK("#'" &amp; C2216 &amp; "'!" &amp; H2216, H2216), "")</f>
        <v>0</v>
      </c>
    </row>
    <row r="2217" spans="2:2">
      <c r="B2217" s="21">
        <f>IF(AND(C2217&lt;&gt;"", H2217&lt;&gt;""), HYPERLINK("#'" &amp; C2217 &amp; "'!" &amp; H2217, H2217), "")</f>
        <v>0</v>
      </c>
    </row>
    <row r="2218" spans="2:2">
      <c r="B2218" s="21">
        <f>IF(AND(C2218&lt;&gt;"", H2218&lt;&gt;""), HYPERLINK("#'" &amp; C2218 &amp; "'!" &amp; H2218, H2218), "")</f>
        <v>0</v>
      </c>
    </row>
    <row r="2219" spans="2:2">
      <c r="B2219" s="21">
        <f>IF(AND(C2219&lt;&gt;"", H2219&lt;&gt;""), HYPERLINK("#'" &amp; C2219 &amp; "'!" &amp; H2219, H2219), "")</f>
        <v>0</v>
      </c>
    </row>
    <row r="2220" spans="2:2">
      <c r="B2220" s="21">
        <f>IF(AND(C2220&lt;&gt;"", H2220&lt;&gt;""), HYPERLINK("#'" &amp; C2220 &amp; "'!" &amp; H2220, H2220), "")</f>
        <v>0</v>
      </c>
    </row>
    <row r="2221" spans="2:2">
      <c r="B2221" s="21">
        <f>IF(AND(C2221&lt;&gt;"", H2221&lt;&gt;""), HYPERLINK("#'" &amp; C2221 &amp; "'!" &amp; H2221, H2221), "")</f>
        <v>0</v>
      </c>
    </row>
    <row r="2222" spans="2:2">
      <c r="B2222" s="21">
        <f>IF(AND(C2222&lt;&gt;"", H2222&lt;&gt;""), HYPERLINK("#'" &amp; C2222 &amp; "'!" &amp; H2222, H2222), "")</f>
        <v>0</v>
      </c>
    </row>
    <row r="2223" spans="2:2">
      <c r="B2223" s="21">
        <f>IF(AND(C2223&lt;&gt;"", H2223&lt;&gt;""), HYPERLINK("#'" &amp; C2223 &amp; "'!" &amp; H2223, H2223), "")</f>
        <v>0</v>
      </c>
    </row>
    <row r="2224" spans="2:2">
      <c r="B2224" s="21">
        <f>IF(AND(C2224&lt;&gt;"", H2224&lt;&gt;""), HYPERLINK("#'" &amp; C2224 &amp; "'!" &amp; H2224, H2224), "")</f>
        <v>0</v>
      </c>
    </row>
    <row r="2225" spans="2:2">
      <c r="B2225" s="21">
        <f>IF(AND(C2225&lt;&gt;"", H2225&lt;&gt;""), HYPERLINK("#'" &amp; C2225 &amp; "'!" &amp; H2225, H2225), "")</f>
        <v>0</v>
      </c>
    </row>
    <row r="2226" spans="2:2">
      <c r="B2226" s="21">
        <f>IF(AND(C2226&lt;&gt;"", H2226&lt;&gt;""), HYPERLINK("#'" &amp; C2226 &amp; "'!" &amp; H2226, H2226), "")</f>
        <v>0</v>
      </c>
    </row>
    <row r="2227" spans="2:2">
      <c r="B2227" s="21">
        <f>IF(AND(C2227&lt;&gt;"", H2227&lt;&gt;""), HYPERLINK("#'" &amp; C2227 &amp; "'!" &amp; H2227, H2227), "")</f>
        <v>0</v>
      </c>
    </row>
    <row r="2228" spans="2:2">
      <c r="B2228" s="21">
        <f>IF(AND(C2228&lt;&gt;"", H2228&lt;&gt;""), HYPERLINK("#'" &amp; C2228 &amp; "'!" &amp; H2228, H2228), "")</f>
        <v>0</v>
      </c>
    </row>
    <row r="2229" spans="2:2">
      <c r="B2229" s="21">
        <f>IF(AND(C2229&lt;&gt;"", H2229&lt;&gt;""), HYPERLINK("#'" &amp; C2229 &amp; "'!" &amp; H2229, H2229), "")</f>
        <v>0</v>
      </c>
    </row>
    <row r="2230" spans="2:2">
      <c r="B2230" s="21">
        <f>IF(AND(C2230&lt;&gt;"", H2230&lt;&gt;""), HYPERLINK("#'" &amp; C2230 &amp; "'!" &amp; H2230, H2230), "")</f>
        <v>0</v>
      </c>
    </row>
    <row r="2231" spans="2:2">
      <c r="B2231" s="21">
        <f>IF(AND(C2231&lt;&gt;"", H2231&lt;&gt;""), HYPERLINK("#'" &amp; C2231 &amp; "'!" &amp; H2231, H2231), "")</f>
        <v>0</v>
      </c>
    </row>
    <row r="2232" spans="2:2">
      <c r="B2232" s="21">
        <f>IF(AND(C2232&lt;&gt;"", H2232&lt;&gt;""), HYPERLINK("#'" &amp; C2232 &amp; "'!" &amp; H2232, H2232), "")</f>
        <v>0</v>
      </c>
    </row>
    <row r="2233" spans="2:2">
      <c r="B2233" s="21">
        <f>IF(AND(C2233&lt;&gt;"", H2233&lt;&gt;""), HYPERLINK("#'" &amp; C2233 &amp; "'!" &amp; H2233, H2233), "")</f>
        <v>0</v>
      </c>
    </row>
    <row r="2234" spans="2:2">
      <c r="B2234" s="21">
        <f>IF(AND(C2234&lt;&gt;"", H2234&lt;&gt;""), HYPERLINK("#'" &amp; C2234 &amp; "'!" &amp; H2234, H2234), "")</f>
        <v>0</v>
      </c>
    </row>
    <row r="2235" spans="2:2">
      <c r="B2235" s="21">
        <f>IF(AND(C2235&lt;&gt;"", H2235&lt;&gt;""), HYPERLINK("#'" &amp; C2235 &amp; "'!" &amp; H2235, H2235), "")</f>
        <v>0</v>
      </c>
    </row>
    <row r="2236" spans="2:2">
      <c r="B2236" s="21">
        <f>IF(AND(C2236&lt;&gt;"", H2236&lt;&gt;""), HYPERLINK("#'" &amp; C2236 &amp; "'!" &amp; H2236, H2236), "")</f>
        <v>0</v>
      </c>
    </row>
    <row r="2237" spans="2:2">
      <c r="B2237" s="21">
        <f>IF(AND(C2237&lt;&gt;"", H2237&lt;&gt;""), HYPERLINK("#'" &amp; C2237 &amp; "'!" &amp; H2237, H2237), "")</f>
        <v>0</v>
      </c>
    </row>
    <row r="2238" spans="2:2">
      <c r="B2238" s="21">
        <f>IF(AND(C2238&lt;&gt;"", H2238&lt;&gt;""), HYPERLINK("#'" &amp; C2238 &amp; "'!" &amp; H2238, H2238), "")</f>
        <v>0</v>
      </c>
    </row>
    <row r="2239" spans="2:2">
      <c r="B2239" s="21">
        <f>IF(AND(C2239&lt;&gt;"", H2239&lt;&gt;""), HYPERLINK("#'" &amp; C2239 &amp; "'!" &amp; H2239, H2239), "")</f>
        <v>0</v>
      </c>
    </row>
    <row r="2240" spans="2:2">
      <c r="B2240" s="21">
        <f>IF(AND(C2240&lt;&gt;"", H2240&lt;&gt;""), HYPERLINK("#'" &amp; C2240 &amp; "'!" &amp; H2240, H2240), "")</f>
        <v>0</v>
      </c>
    </row>
    <row r="2241" spans="2:2">
      <c r="B2241" s="21">
        <f>IF(AND(C2241&lt;&gt;"", H2241&lt;&gt;""), HYPERLINK("#'" &amp; C2241 &amp; "'!" &amp; H2241, H2241), "")</f>
        <v>0</v>
      </c>
    </row>
    <row r="2242" spans="2:2">
      <c r="B2242" s="21">
        <f>IF(AND(C2242&lt;&gt;"", H2242&lt;&gt;""), HYPERLINK("#'" &amp; C2242 &amp; "'!" &amp; H2242, H2242), "")</f>
        <v>0</v>
      </c>
    </row>
    <row r="2243" spans="2:2">
      <c r="B2243" s="21">
        <f>IF(AND(C2243&lt;&gt;"", H2243&lt;&gt;""), HYPERLINK("#'" &amp; C2243 &amp; "'!" &amp; H2243, H2243), "")</f>
        <v>0</v>
      </c>
    </row>
    <row r="2244" spans="2:2">
      <c r="B2244" s="21">
        <f>IF(AND(C2244&lt;&gt;"", H2244&lt;&gt;""), HYPERLINK("#'" &amp; C2244 &amp; "'!" &amp; H2244, H2244), "")</f>
        <v>0</v>
      </c>
    </row>
    <row r="2245" spans="2:2">
      <c r="B2245" s="21">
        <f>IF(AND(C2245&lt;&gt;"", H2245&lt;&gt;""), HYPERLINK("#'" &amp; C2245 &amp; "'!" &amp; H2245, H2245), "")</f>
        <v>0</v>
      </c>
    </row>
    <row r="2246" spans="2:2">
      <c r="B2246" s="21">
        <f>IF(AND(C2246&lt;&gt;"", H2246&lt;&gt;""), HYPERLINK("#'" &amp; C2246 &amp; "'!" &amp; H2246, H2246), "")</f>
        <v>0</v>
      </c>
    </row>
    <row r="2247" spans="2:2">
      <c r="B2247" s="21">
        <f>IF(AND(C2247&lt;&gt;"", H2247&lt;&gt;""), HYPERLINK("#'" &amp; C2247 &amp; "'!" &amp; H2247, H2247), "")</f>
        <v>0</v>
      </c>
    </row>
    <row r="2248" spans="2:2">
      <c r="B2248" s="21">
        <f>IF(AND(C2248&lt;&gt;"", H2248&lt;&gt;""), HYPERLINK("#'" &amp; C2248 &amp; "'!" &amp; H2248, H2248), "")</f>
        <v>0</v>
      </c>
    </row>
    <row r="2249" spans="2:2">
      <c r="B2249" s="21">
        <f>IF(AND(C2249&lt;&gt;"", H2249&lt;&gt;""), HYPERLINK("#'" &amp; C2249 &amp; "'!" &amp; H2249, H2249), "")</f>
        <v>0</v>
      </c>
    </row>
    <row r="2250" spans="2:2">
      <c r="B2250" s="21">
        <f>IF(AND(C2250&lt;&gt;"", H2250&lt;&gt;""), HYPERLINK("#'" &amp; C2250 &amp; "'!" &amp; H2250, H2250), "")</f>
        <v>0</v>
      </c>
    </row>
    <row r="2251" spans="2:2">
      <c r="B2251" s="21">
        <f>IF(AND(C2251&lt;&gt;"", H2251&lt;&gt;""), HYPERLINK("#'" &amp; C2251 &amp; "'!" &amp; H2251, H2251), "")</f>
        <v>0</v>
      </c>
    </row>
    <row r="2252" spans="2:2">
      <c r="B2252" s="21">
        <f>IF(AND(C2252&lt;&gt;"", H2252&lt;&gt;""), HYPERLINK("#'" &amp; C2252 &amp; "'!" &amp; H2252, H2252), "")</f>
        <v>0</v>
      </c>
    </row>
    <row r="2253" spans="2:2">
      <c r="B2253" s="21">
        <f>IF(AND(C2253&lt;&gt;"", H2253&lt;&gt;""), HYPERLINK("#'" &amp; C2253 &amp; "'!" &amp; H2253, H2253), "")</f>
        <v>0</v>
      </c>
    </row>
    <row r="2254" spans="2:2">
      <c r="B2254" s="21">
        <f>IF(AND(C2254&lt;&gt;"", H2254&lt;&gt;""), HYPERLINK("#'" &amp; C2254 &amp; "'!" &amp; H2254, H2254), "")</f>
        <v>0</v>
      </c>
    </row>
    <row r="2255" spans="2:2">
      <c r="B2255" s="21">
        <f>IF(AND(C2255&lt;&gt;"", H2255&lt;&gt;""), HYPERLINK("#'" &amp; C2255 &amp; "'!" &amp; H2255, H2255), "")</f>
        <v>0</v>
      </c>
    </row>
    <row r="2256" spans="2:2">
      <c r="B2256" s="21">
        <f>IF(AND(C2256&lt;&gt;"", H2256&lt;&gt;""), HYPERLINK("#'" &amp; C2256 &amp; "'!" &amp; H2256, H2256), "")</f>
        <v>0</v>
      </c>
    </row>
    <row r="2257" spans="2:2">
      <c r="B2257" s="21">
        <f>IF(AND(C2257&lt;&gt;"", H2257&lt;&gt;""), HYPERLINK("#'" &amp; C2257 &amp; "'!" &amp; H2257, H2257), "")</f>
        <v>0</v>
      </c>
    </row>
    <row r="2258" spans="2:2">
      <c r="B2258" s="21">
        <f>IF(AND(C2258&lt;&gt;"", H2258&lt;&gt;""), HYPERLINK("#'" &amp; C2258 &amp; "'!" &amp; H2258, H2258), "")</f>
        <v>0</v>
      </c>
    </row>
    <row r="2259" spans="2:2">
      <c r="B2259" s="21">
        <f>IF(AND(C2259&lt;&gt;"", H2259&lt;&gt;""), HYPERLINK("#'" &amp; C2259 &amp; "'!" &amp; H2259, H2259), "")</f>
        <v>0</v>
      </c>
    </row>
    <row r="2260" spans="2:2">
      <c r="B2260" s="21">
        <f>IF(AND(C2260&lt;&gt;"", H2260&lt;&gt;""), HYPERLINK("#'" &amp; C2260 &amp; "'!" &amp; H2260, H2260), "")</f>
        <v>0</v>
      </c>
    </row>
    <row r="2261" spans="2:2">
      <c r="B2261" s="21">
        <f>IF(AND(C2261&lt;&gt;"", H2261&lt;&gt;""), HYPERLINK("#'" &amp; C2261 &amp; "'!" &amp; H2261, H2261), "")</f>
        <v>0</v>
      </c>
    </row>
    <row r="2262" spans="2:2">
      <c r="B2262" s="21">
        <f>IF(AND(C2262&lt;&gt;"", H2262&lt;&gt;""), HYPERLINK("#'" &amp; C2262 &amp; "'!" &amp; H2262, H2262), "")</f>
        <v>0</v>
      </c>
    </row>
    <row r="2263" spans="2:2">
      <c r="B2263" s="21">
        <f>IF(AND(C2263&lt;&gt;"", H2263&lt;&gt;""), HYPERLINK("#'" &amp; C2263 &amp; "'!" &amp; H2263, H2263), "")</f>
        <v>0</v>
      </c>
    </row>
    <row r="2264" spans="2:2">
      <c r="B2264" s="21">
        <f>IF(AND(C2264&lt;&gt;"", H2264&lt;&gt;""), HYPERLINK("#'" &amp; C2264 &amp; "'!" &amp; H2264, H2264), "")</f>
        <v>0</v>
      </c>
    </row>
    <row r="2265" spans="2:2">
      <c r="B2265" s="21">
        <f>IF(AND(C2265&lt;&gt;"", H2265&lt;&gt;""), HYPERLINK("#'" &amp; C2265 &amp; "'!" &amp; H2265, H2265), "")</f>
        <v>0</v>
      </c>
    </row>
    <row r="2266" spans="2:2">
      <c r="B2266" s="21">
        <f>IF(AND(C2266&lt;&gt;"", H2266&lt;&gt;""), HYPERLINK("#'" &amp; C2266 &amp; "'!" &amp; H2266, H2266), "")</f>
        <v>0</v>
      </c>
    </row>
    <row r="2267" spans="2:2">
      <c r="B2267" s="21">
        <f>IF(AND(C2267&lt;&gt;"", H2267&lt;&gt;""), HYPERLINK("#'" &amp; C2267 &amp; "'!" &amp; H2267, H2267), "")</f>
        <v>0</v>
      </c>
    </row>
    <row r="2268" spans="2:2">
      <c r="B2268" s="21">
        <f>IF(AND(C2268&lt;&gt;"", H2268&lt;&gt;""), HYPERLINK("#'" &amp; C2268 &amp; "'!" &amp; H2268, H2268), "")</f>
        <v>0</v>
      </c>
    </row>
    <row r="2269" spans="2:2">
      <c r="B2269" s="21">
        <f>IF(AND(C2269&lt;&gt;"", H2269&lt;&gt;""), HYPERLINK("#'" &amp; C2269 &amp; "'!" &amp; H2269, H2269), "")</f>
        <v>0</v>
      </c>
    </row>
    <row r="2270" spans="2:2">
      <c r="B2270" s="21">
        <f>IF(AND(C2270&lt;&gt;"", H2270&lt;&gt;""), HYPERLINK("#'" &amp; C2270 &amp; "'!" &amp; H2270, H2270), "")</f>
        <v>0</v>
      </c>
    </row>
    <row r="2271" spans="2:2">
      <c r="B2271" s="21">
        <f>IF(AND(C2271&lt;&gt;"", H2271&lt;&gt;""), HYPERLINK("#'" &amp; C2271 &amp; "'!" &amp; H2271, H2271), "")</f>
        <v>0</v>
      </c>
    </row>
    <row r="2272" spans="2:2">
      <c r="B2272" s="21">
        <f>IF(AND(C2272&lt;&gt;"", H2272&lt;&gt;""), HYPERLINK("#'" &amp; C2272 &amp; "'!" &amp; H2272, H2272), "")</f>
        <v>0</v>
      </c>
    </row>
    <row r="2273" spans="2:2">
      <c r="B2273" s="21">
        <f>IF(AND(C2273&lt;&gt;"", H2273&lt;&gt;""), HYPERLINK("#'" &amp; C2273 &amp; "'!" &amp; H2273, H2273), "")</f>
        <v>0</v>
      </c>
    </row>
    <row r="2274" spans="2:2">
      <c r="B2274" s="21">
        <f>IF(AND(C2274&lt;&gt;"", H2274&lt;&gt;""), HYPERLINK("#'" &amp; C2274 &amp; "'!" &amp; H2274, H2274), "")</f>
        <v>0</v>
      </c>
    </row>
    <row r="2275" spans="2:2">
      <c r="B2275" s="21">
        <f>IF(AND(C2275&lt;&gt;"", H2275&lt;&gt;""), HYPERLINK("#'" &amp; C2275 &amp; "'!" &amp; H2275, H2275), "")</f>
        <v>0</v>
      </c>
    </row>
    <row r="2276" spans="2:2">
      <c r="B2276" s="21">
        <f>IF(AND(C2276&lt;&gt;"", H2276&lt;&gt;""), HYPERLINK("#'" &amp; C2276 &amp; "'!" &amp; H2276, H2276), "")</f>
        <v>0</v>
      </c>
    </row>
    <row r="2277" spans="2:2">
      <c r="B2277" s="21">
        <f>IF(AND(C2277&lt;&gt;"", H2277&lt;&gt;""), HYPERLINK("#'" &amp; C2277 &amp; "'!" &amp; H2277, H2277), "")</f>
        <v>0</v>
      </c>
    </row>
    <row r="2278" spans="2:2">
      <c r="B2278" s="21">
        <f>IF(AND(C2278&lt;&gt;"", H2278&lt;&gt;""), HYPERLINK("#'" &amp; C2278 &amp; "'!" &amp; H2278, H2278), "")</f>
        <v>0</v>
      </c>
    </row>
    <row r="2279" spans="2:2">
      <c r="B2279" s="21">
        <f>IF(AND(C2279&lt;&gt;"", H2279&lt;&gt;""), HYPERLINK("#'" &amp; C2279 &amp; "'!" &amp; H2279, H2279), "")</f>
        <v>0</v>
      </c>
    </row>
    <row r="2280" spans="2:2">
      <c r="B2280" s="21">
        <f>IF(AND(C2280&lt;&gt;"", H2280&lt;&gt;""), HYPERLINK("#'" &amp; C2280 &amp; "'!" &amp; H2280, H2280), "")</f>
        <v>0</v>
      </c>
    </row>
    <row r="2281" spans="2:2">
      <c r="B2281" s="21">
        <f>IF(AND(C2281&lt;&gt;"", H2281&lt;&gt;""), HYPERLINK("#'" &amp; C2281 &amp; "'!" &amp; H2281, H2281), "")</f>
        <v>0</v>
      </c>
    </row>
    <row r="2282" spans="2:2">
      <c r="B2282" s="21">
        <f>IF(AND(C2282&lt;&gt;"", H2282&lt;&gt;""), HYPERLINK("#'" &amp; C2282 &amp; "'!" &amp; H2282, H2282), "")</f>
        <v>0</v>
      </c>
    </row>
    <row r="2283" spans="2:2">
      <c r="B2283" s="21">
        <f>IF(AND(C2283&lt;&gt;"", H2283&lt;&gt;""), HYPERLINK("#'" &amp; C2283 &amp; "'!" &amp; H2283, H2283), "")</f>
        <v>0</v>
      </c>
    </row>
    <row r="2284" spans="2:2">
      <c r="B2284" s="21">
        <f>IF(AND(C2284&lt;&gt;"", H2284&lt;&gt;""), HYPERLINK("#'" &amp; C2284 &amp; "'!" &amp; H2284, H2284), "")</f>
        <v>0</v>
      </c>
    </row>
    <row r="2285" spans="2:2">
      <c r="B2285" s="21">
        <f>IF(AND(C2285&lt;&gt;"", H2285&lt;&gt;""), HYPERLINK("#'" &amp; C2285 &amp; "'!" &amp; H2285, H2285), "")</f>
        <v>0</v>
      </c>
    </row>
    <row r="2286" spans="2:2">
      <c r="B2286" s="21">
        <f>IF(AND(C2286&lt;&gt;"", H2286&lt;&gt;""), HYPERLINK("#'" &amp; C2286 &amp; "'!" &amp; H2286, H2286), "")</f>
        <v>0</v>
      </c>
    </row>
    <row r="2287" spans="2:2">
      <c r="B2287" s="21">
        <f>IF(AND(C2287&lt;&gt;"", H2287&lt;&gt;""), HYPERLINK("#'" &amp; C2287 &amp; "'!" &amp; H2287, H2287), "")</f>
        <v>0</v>
      </c>
    </row>
    <row r="2288" spans="2:2">
      <c r="B2288" s="21">
        <f>IF(AND(C2288&lt;&gt;"", H2288&lt;&gt;""), HYPERLINK("#'" &amp; C2288 &amp; "'!" &amp; H2288, H2288), "")</f>
        <v>0</v>
      </c>
    </row>
    <row r="2289" spans="2:2">
      <c r="B2289" s="21">
        <f>IF(AND(C2289&lt;&gt;"", H2289&lt;&gt;""), HYPERLINK("#'" &amp; C2289 &amp; "'!" &amp; H2289, H2289), "")</f>
        <v>0</v>
      </c>
    </row>
    <row r="2290" spans="2:2">
      <c r="B2290" s="21">
        <f>IF(AND(C2290&lt;&gt;"", H2290&lt;&gt;""), HYPERLINK("#'" &amp; C2290 &amp; "'!" &amp; H2290, H2290), "")</f>
        <v>0</v>
      </c>
    </row>
    <row r="2291" spans="2:2">
      <c r="B2291" s="21">
        <f>IF(AND(C2291&lt;&gt;"", H2291&lt;&gt;""), HYPERLINK("#'" &amp; C2291 &amp; "'!" &amp; H2291, H2291), "")</f>
        <v>0</v>
      </c>
    </row>
    <row r="2292" spans="2:2">
      <c r="B2292" s="21">
        <f>IF(AND(C2292&lt;&gt;"", H2292&lt;&gt;""), HYPERLINK("#'" &amp; C2292 &amp; "'!" &amp; H2292, H2292), "")</f>
        <v>0</v>
      </c>
    </row>
    <row r="2293" spans="2:2">
      <c r="B2293" s="21">
        <f>IF(AND(C2293&lt;&gt;"", H2293&lt;&gt;""), HYPERLINK("#'" &amp; C2293 &amp; "'!" &amp; H2293, H2293), "")</f>
        <v>0</v>
      </c>
    </row>
    <row r="2294" spans="2:2">
      <c r="B2294" s="21">
        <f>IF(AND(C2294&lt;&gt;"", H2294&lt;&gt;""), HYPERLINK("#'" &amp; C2294 &amp; "'!" &amp; H2294, H2294), "")</f>
        <v>0</v>
      </c>
    </row>
    <row r="2295" spans="2:2">
      <c r="B2295" s="21">
        <f>IF(AND(C2295&lt;&gt;"", H2295&lt;&gt;""), HYPERLINK("#'" &amp; C2295 &amp; "'!" &amp; H2295, H2295), "")</f>
        <v>0</v>
      </c>
    </row>
    <row r="2296" spans="2:2">
      <c r="B2296" s="21">
        <f>IF(AND(C2296&lt;&gt;"", H2296&lt;&gt;""), HYPERLINK("#'" &amp; C2296 &amp; "'!" &amp; H2296, H2296), "")</f>
        <v>0</v>
      </c>
    </row>
    <row r="2297" spans="2:2">
      <c r="B2297" s="21">
        <f>IF(AND(C2297&lt;&gt;"", H2297&lt;&gt;""), HYPERLINK("#'" &amp; C2297 &amp; "'!" &amp; H2297, H2297), "")</f>
        <v>0</v>
      </c>
    </row>
    <row r="2298" spans="2:2">
      <c r="B2298" s="21">
        <f>IF(AND(C2298&lt;&gt;"", H2298&lt;&gt;""), HYPERLINK("#'" &amp; C2298 &amp; "'!" &amp; H2298, H2298), "")</f>
        <v>0</v>
      </c>
    </row>
    <row r="2299" spans="2:2">
      <c r="B2299" s="21">
        <f>IF(AND(C2299&lt;&gt;"", H2299&lt;&gt;""), HYPERLINK("#'" &amp; C2299 &amp; "'!" &amp; H2299, H2299), "")</f>
        <v>0</v>
      </c>
    </row>
    <row r="2300" spans="2:2">
      <c r="B2300" s="21">
        <f>IF(AND(C2300&lt;&gt;"", H2300&lt;&gt;""), HYPERLINK("#'" &amp; C2300 &amp; "'!" &amp; H2300, H2300), "")</f>
        <v>0</v>
      </c>
    </row>
    <row r="2301" spans="2:2">
      <c r="B2301" s="21">
        <f>IF(AND(C2301&lt;&gt;"", H2301&lt;&gt;""), HYPERLINK("#'" &amp; C2301 &amp; "'!" &amp; H2301, H2301), "")</f>
        <v>0</v>
      </c>
    </row>
    <row r="2302" spans="2:2">
      <c r="B2302" s="21">
        <f>IF(AND(C2302&lt;&gt;"", H2302&lt;&gt;""), HYPERLINK("#'" &amp; C2302 &amp; "'!" &amp; H2302, H2302), "")</f>
        <v>0</v>
      </c>
    </row>
    <row r="2303" spans="2:2">
      <c r="B2303" s="21">
        <f>IF(AND(C2303&lt;&gt;"", H2303&lt;&gt;""), HYPERLINK("#'" &amp; C2303 &amp; "'!" &amp; H2303, H2303), "")</f>
        <v>0</v>
      </c>
    </row>
    <row r="2304" spans="2:2">
      <c r="B2304" s="21">
        <f>IF(AND(C2304&lt;&gt;"", H2304&lt;&gt;""), HYPERLINK("#'" &amp; C2304 &amp; "'!" &amp; H2304, H2304), "")</f>
        <v>0</v>
      </c>
    </row>
    <row r="2305" spans="2:2">
      <c r="B2305" s="21">
        <f>IF(AND(C2305&lt;&gt;"", H2305&lt;&gt;""), HYPERLINK("#'" &amp; C2305 &amp; "'!" &amp; H2305, H2305), "")</f>
        <v>0</v>
      </c>
    </row>
    <row r="2306" spans="2:2">
      <c r="B2306" s="21">
        <f>IF(AND(C2306&lt;&gt;"", H2306&lt;&gt;""), HYPERLINK("#'" &amp; C2306 &amp; "'!" &amp; H2306, H2306), "")</f>
        <v>0</v>
      </c>
    </row>
    <row r="2307" spans="2:2">
      <c r="B2307" s="21">
        <f>IF(AND(C2307&lt;&gt;"", H2307&lt;&gt;""), HYPERLINK("#'" &amp; C2307 &amp; "'!" &amp; H2307, H2307), "")</f>
        <v>0</v>
      </c>
    </row>
    <row r="2308" spans="2:2">
      <c r="B2308" s="21">
        <f>IF(AND(C2308&lt;&gt;"", H2308&lt;&gt;""), HYPERLINK("#'" &amp; C2308 &amp; "'!" &amp; H2308, H2308), "")</f>
        <v>0</v>
      </c>
    </row>
    <row r="2309" spans="2:2">
      <c r="B2309" s="21">
        <f>IF(AND(C2309&lt;&gt;"", H2309&lt;&gt;""), HYPERLINK("#'" &amp; C2309 &amp; "'!" &amp; H2309, H2309), "")</f>
        <v>0</v>
      </c>
    </row>
    <row r="2310" spans="2:2">
      <c r="B2310" s="21">
        <f>IF(AND(C2310&lt;&gt;"", H2310&lt;&gt;""), HYPERLINK("#'" &amp; C2310 &amp; "'!" &amp; H2310, H2310), "")</f>
        <v>0</v>
      </c>
    </row>
    <row r="2311" spans="2:2">
      <c r="B2311" s="21">
        <f>IF(AND(C2311&lt;&gt;"", H2311&lt;&gt;""), HYPERLINK("#'" &amp; C2311 &amp; "'!" &amp; H2311, H2311), "")</f>
        <v>0</v>
      </c>
    </row>
    <row r="2312" spans="2:2">
      <c r="B2312" s="21">
        <f>IF(AND(C2312&lt;&gt;"", H2312&lt;&gt;""), HYPERLINK("#'" &amp; C2312 &amp; "'!" &amp; H2312, H2312), "")</f>
        <v>0</v>
      </c>
    </row>
    <row r="2313" spans="2:2">
      <c r="B2313" s="21">
        <f>IF(AND(C2313&lt;&gt;"", H2313&lt;&gt;""), HYPERLINK("#'" &amp; C2313 &amp; "'!" &amp; H2313, H2313), "")</f>
        <v>0</v>
      </c>
    </row>
    <row r="2314" spans="2:2">
      <c r="B2314" s="21">
        <f>IF(AND(C2314&lt;&gt;"", H2314&lt;&gt;""), HYPERLINK("#'" &amp; C2314 &amp; "'!" &amp; H2314, H2314), "")</f>
        <v>0</v>
      </c>
    </row>
    <row r="2315" spans="2:2">
      <c r="B2315" s="21">
        <f>IF(AND(C2315&lt;&gt;"", H2315&lt;&gt;""), HYPERLINK("#'" &amp; C2315 &amp; "'!" &amp; H2315, H2315), "")</f>
        <v>0</v>
      </c>
    </row>
    <row r="2316" spans="2:2">
      <c r="B2316" s="21">
        <f>IF(AND(C2316&lt;&gt;"", H2316&lt;&gt;""), HYPERLINK("#'" &amp; C2316 &amp; "'!" &amp; H2316, H2316), "")</f>
        <v>0</v>
      </c>
    </row>
    <row r="2317" spans="2:2">
      <c r="B2317" s="21">
        <f>IF(AND(C2317&lt;&gt;"", H2317&lt;&gt;""), HYPERLINK("#'" &amp; C2317 &amp; "'!" &amp; H2317, H2317), "")</f>
        <v>0</v>
      </c>
    </row>
    <row r="2318" spans="2:2">
      <c r="B2318" s="21">
        <f>IF(AND(C2318&lt;&gt;"", H2318&lt;&gt;""), HYPERLINK("#'" &amp; C2318 &amp; "'!" &amp; H2318, H2318), "")</f>
        <v>0</v>
      </c>
    </row>
    <row r="2319" spans="2:2">
      <c r="B2319" s="21">
        <f>IF(AND(C2319&lt;&gt;"", H2319&lt;&gt;""), HYPERLINK("#'" &amp; C2319 &amp; "'!" &amp; H2319, H2319), "")</f>
        <v>0</v>
      </c>
    </row>
    <row r="2320" spans="2:2">
      <c r="B2320" s="21">
        <f>IF(AND(C2320&lt;&gt;"", H2320&lt;&gt;""), HYPERLINK("#'" &amp; C2320 &amp; "'!" &amp; H2320, H2320), "")</f>
        <v>0</v>
      </c>
    </row>
    <row r="2321" spans="2:2">
      <c r="B2321" s="21">
        <f>IF(AND(C2321&lt;&gt;"", H2321&lt;&gt;""), HYPERLINK("#'" &amp; C2321 &amp; "'!" &amp; H2321, H2321), "")</f>
        <v>0</v>
      </c>
    </row>
    <row r="2322" spans="2:2">
      <c r="B2322" s="21">
        <f>IF(AND(C2322&lt;&gt;"", H2322&lt;&gt;""), HYPERLINK("#'" &amp; C2322 &amp; "'!" &amp; H2322, H2322), "")</f>
        <v>0</v>
      </c>
    </row>
    <row r="2323" spans="2:2">
      <c r="B2323" s="21">
        <f>IF(AND(C2323&lt;&gt;"", H2323&lt;&gt;""), HYPERLINK("#'" &amp; C2323 &amp; "'!" &amp; H2323, H2323), "")</f>
        <v>0</v>
      </c>
    </row>
    <row r="2324" spans="2:2">
      <c r="B2324" s="21">
        <f>IF(AND(C2324&lt;&gt;"", H2324&lt;&gt;""), HYPERLINK("#'" &amp; C2324 &amp; "'!" &amp; H2324, H2324), "")</f>
        <v>0</v>
      </c>
    </row>
    <row r="2325" spans="2:2">
      <c r="B2325" s="21">
        <f>IF(AND(C2325&lt;&gt;"", H2325&lt;&gt;""), HYPERLINK("#'" &amp; C2325 &amp; "'!" &amp; H2325, H2325), "")</f>
        <v>0</v>
      </c>
    </row>
    <row r="2326" spans="2:2">
      <c r="B2326" s="21">
        <f>IF(AND(C2326&lt;&gt;"", H2326&lt;&gt;""), HYPERLINK("#'" &amp; C2326 &amp; "'!" &amp; H2326, H2326), "")</f>
        <v>0</v>
      </c>
    </row>
    <row r="2327" spans="2:2">
      <c r="B2327" s="21">
        <f>IF(AND(C2327&lt;&gt;"", H2327&lt;&gt;""), HYPERLINK("#'" &amp; C2327 &amp; "'!" &amp; H2327, H2327), "")</f>
        <v>0</v>
      </c>
    </row>
    <row r="2328" spans="2:2">
      <c r="B2328" s="21">
        <f>IF(AND(C2328&lt;&gt;"", H2328&lt;&gt;""), HYPERLINK("#'" &amp; C2328 &amp; "'!" &amp; H2328, H2328), "")</f>
        <v>0</v>
      </c>
    </row>
    <row r="2329" spans="2:2">
      <c r="B2329" s="21">
        <f>IF(AND(C2329&lt;&gt;"", H2329&lt;&gt;""), HYPERLINK("#'" &amp; C2329 &amp; "'!" &amp; H2329, H2329), "")</f>
        <v>0</v>
      </c>
    </row>
    <row r="2330" spans="2:2">
      <c r="B2330" s="21">
        <f>IF(AND(C2330&lt;&gt;"", H2330&lt;&gt;""), HYPERLINK("#'" &amp; C2330 &amp; "'!" &amp; H2330, H2330), "")</f>
        <v>0</v>
      </c>
    </row>
    <row r="2331" spans="2:2">
      <c r="B2331" s="21">
        <f>IF(AND(C2331&lt;&gt;"", H2331&lt;&gt;""), HYPERLINK("#'" &amp; C2331 &amp; "'!" &amp; H2331, H2331), "")</f>
        <v>0</v>
      </c>
    </row>
    <row r="2332" spans="2:2">
      <c r="B2332" s="21">
        <f>IF(AND(C2332&lt;&gt;"", H2332&lt;&gt;""), HYPERLINK("#'" &amp; C2332 &amp; "'!" &amp; H2332, H2332), "")</f>
        <v>0</v>
      </c>
    </row>
    <row r="2333" spans="2:2">
      <c r="B2333" s="21">
        <f>IF(AND(C2333&lt;&gt;"", H2333&lt;&gt;""), HYPERLINK("#'" &amp; C2333 &amp; "'!" &amp; H2333, H2333), "")</f>
        <v>0</v>
      </c>
    </row>
    <row r="2334" spans="2:2">
      <c r="B2334" s="21">
        <f>IF(AND(C2334&lt;&gt;"", H2334&lt;&gt;""), HYPERLINK("#'" &amp; C2334 &amp; "'!" &amp; H2334, H2334), "")</f>
        <v>0</v>
      </c>
    </row>
    <row r="2335" spans="2:2">
      <c r="B2335" s="21">
        <f>IF(AND(C2335&lt;&gt;"", H2335&lt;&gt;""), HYPERLINK("#'" &amp; C2335 &amp; "'!" &amp; H2335, H2335), "")</f>
        <v>0</v>
      </c>
    </row>
    <row r="2336" spans="2:2">
      <c r="B2336" s="21">
        <f>IF(AND(C2336&lt;&gt;"", H2336&lt;&gt;""), HYPERLINK("#'" &amp; C2336 &amp; "'!" &amp; H2336, H2336), "")</f>
        <v>0</v>
      </c>
    </row>
    <row r="2337" spans="2:2">
      <c r="B2337" s="21">
        <f>IF(AND(C2337&lt;&gt;"", H2337&lt;&gt;""), HYPERLINK("#'" &amp; C2337 &amp; "'!" &amp; H2337, H2337), "")</f>
        <v>0</v>
      </c>
    </row>
    <row r="2338" spans="2:2">
      <c r="B2338" s="21">
        <f>IF(AND(C2338&lt;&gt;"", H2338&lt;&gt;""), HYPERLINK("#'" &amp; C2338 &amp; "'!" &amp; H2338, H2338), "")</f>
        <v>0</v>
      </c>
    </row>
    <row r="2339" spans="2:2">
      <c r="B2339" s="21">
        <f>IF(AND(C2339&lt;&gt;"", H2339&lt;&gt;""), HYPERLINK("#'" &amp; C2339 &amp; "'!" &amp; H2339, H2339), "")</f>
        <v>0</v>
      </c>
    </row>
    <row r="2340" spans="2:2">
      <c r="B2340" s="21">
        <f>IF(AND(C2340&lt;&gt;"", H2340&lt;&gt;""), HYPERLINK("#'" &amp; C2340 &amp; "'!" &amp; H2340, H2340), "")</f>
        <v>0</v>
      </c>
    </row>
    <row r="2341" spans="2:2">
      <c r="B2341" s="21">
        <f>IF(AND(C2341&lt;&gt;"", H2341&lt;&gt;""), HYPERLINK("#'" &amp; C2341 &amp; "'!" &amp; H2341, H2341), "")</f>
        <v>0</v>
      </c>
    </row>
    <row r="2342" spans="2:2">
      <c r="B2342" s="21">
        <f>IF(AND(C2342&lt;&gt;"", H2342&lt;&gt;""), HYPERLINK("#'" &amp; C2342 &amp; "'!" &amp; H2342, H2342), "")</f>
        <v>0</v>
      </c>
    </row>
    <row r="2343" spans="2:2">
      <c r="B2343" s="21">
        <f>IF(AND(C2343&lt;&gt;"", H2343&lt;&gt;""), HYPERLINK("#'" &amp; C2343 &amp; "'!" &amp; H2343, H2343), "")</f>
        <v>0</v>
      </c>
    </row>
    <row r="2344" spans="2:2">
      <c r="B2344" s="21">
        <f>IF(AND(C2344&lt;&gt;"", H2344&lt;&gt;""), HYPERLINK("#'" &amp; C2344 &amp; "'!" &amp; H2344, H2344), "")</f>
        <v>0</v>
      </c>
    </row>
    <row r="2345" spans="2:2">
      <c r="B2345" s="21">
        <f>IF(AND(C2345&lt;&gt;"", H2345&lt;&gt;""), HYPERLINK("#'" &amp; C2345 &amp; "'!" &amp; H2345, H2345), "")</f>
        <v>0</v>
      </c>
    </row>
    <row r="2346" spans="2:2">
      <c r="B2346" s="21">
        <f>IF(AND(C2346&lt;&gt;"", H2346&lt;&gt;""), HYPERLINK("#'" &amp; C2346 &amp; "'!" &amp; H2346, H2346), "")</f>
        <v>0</v>
      </c>
    </row>
    <row r="2347" spans="2:2">
      <c r="B2347" s="21">
        <f>IF(AND(C2347&lt;&gt;"", H2347&lt;&gt;""), HYPERLINK("#'" &amp; C2347 &amp; "'!" &amp; H2347, H2347), "")</f>
        <v>0</v>
      </c>
    </row>
    <row r="2348" spans="2:2">
      <c r="B2348" s="21">
        <f>IF(AND(C2348&lt;&gt;"", H2348&lt;&gt;""), HYPERLINK("#'" &amp; C2348 &amp; "'!" &amp; H2348, H2348), "")</f>
        <v>0</v>
      </c>
    </row>
    <row r="2349" spans="2:2">
      <c r="B2349" s="21">
        <f>IF(AND(C2349&lt;&gt;"", H2349&lt;&gt;""), HYPERLINK("#'" &amp; C2349 &amp; "'!" &amp; H2349, H2349), "")</f>
        <v>0</v>
      </c>
    </row>
    <row r="2350" spans="2:2">
      <c r="B2350" s="21">
        <f>IF(AND(C2350&lt;&gt;"", H2350&lt;&gt;""), HYPERLINK("#'" &amp; C2350 &amp; "'!" &amp; H2350, H2350), "")</f>
        <v>0</v>
      </c>
    </row>
    <row r="2351" spans="2:2">
      <c r="B2351" s="21">
        <f>IF(AND(C2351&lt;&gt;"", H2351&lt;&gt;""), HYPERLINK("#'" &amp; C2351 &amp; "'!" &amp; H2351, H2351), "")</f>
        <v>0</v>
      </c>
    </row>
    <row r="2352" spans="2:2">
      <c r="B2352" s="21">
        <f>IF(AND(C2352&lt;&gt;"", H2352&lt;&gt;""), HYPERLINK("#'" &amp; C2352 &amp; "'!" &amp; H2352, H2352), "")</f>
        <v>0</v>
      </c>
    </row>
    <row r="2353" spans="2:2">
      <c r="B2353" s="21">
        <f>IF(AND(C2353&lt;&gt;"", H2353&lt;&gt;""), HYPERLINK("#'" &amp; C2353 &amp; "'!" &amp; H2353, H2353), "")</f>
        <v>0</v>
      </c>
    </row>
    <row r="2354" spans="2:2">
      <c r="B2354" s="21">
        <f>IF(AND(C2354&lt;&gt;"", H2354&lt;&gt;""), HYPERLINK("#'" &amp; C2354 &amp; "'!" &amp; H2354, H2354), "")</f>
        <v>0</v>
      </c>
    </row>
    <row r="2355" spans="2:2">
      <c r="B2355" s="21">
        <f>IF(AND(C2355&lt;&gt;"", H2355&lt;&gt;""), HYPERLINK("#'" &amp; C2355 &amp; "'!" &amp; H2355, H2355), "")</f>
        <v>0</v>
      </c>
    </row>
    <row r="2356" spans="2:2">
      <c r="B2356" s="21">
        <f>IF(AND(C2356&lt;&gt;"", H2356&lt;&gt;""), HYPERLINK("#'" &amp; C2356 &amp; "'!" &amp; H2356, H2356), "")</f>
        <v>0</v>
      </c>
    </row>
    <row r="2357" spans="2:2">
      <c r="B2357" s="21">
        <f>IF(AND(C2357&lt;&gt;"", H2357&lt;&gt;""), HYPERLINK("#'" &amp; C2357 &amp; "'!" &amp; H2357, H2357), "")</f>
        <v>0</v>
      </c>
    </row>
    <row r="2358" spans="2:2">
      <c r="B2358" s="21">
        <f>IF(AND(C2358&lt;&gt;"", H2358&lt;&gt;""), HYPERLINK("#'" &amp; C2358 &amp; "'!" &amp; H2358, H2358), "")</f>
        <v>0</v>
      </c>
    </row>
    <row r="2359" spans="2:2">
      <c r="B2359" s="21">
        <f>IF(AND(C2359&lt;&gt;"", H2359&lt;&gt;""), HYPERLINK("#'" &amp; C2359 &amp; "'!" &amp; H2359, H2359), "")</f>
        <v>0</v>
      </c>
    </row>
    <row r="2360" spans="2:2">
      <c r="B2360" s="21">
        <f>IF(AND(C2360&lt;&gt;"", H2360&lt;&gt;""), HYPERLINK("#'" &amp; C2360 &amp; "'!" &amp; H2360, H2360), "")</f>
        <v>0</v>
      </c>
    </row>
    <row r="2361" spans="2:2">
      <c r="B2361" s="21">
        <f>IF(AND(C2361&lt;&gt;"", H2361&lt;&gt;""), HYPERLINK("#'" &amp; C2361 &amp; "'!" &amp; H2361, H2361), "")</f>
        <v>0</v>
      </c>
    </row>
    <row r="2362" spans="2:2">
      <c r="B2362" s="21">
        <f>IF(AND(C2362&lt;&gt;"", H2362&lt;&gt;""), HYPERLINK("#'" &amp; C2362 &amp; "'!" &amp; H2362, H2362), "")</f>
        <v>0</v>
      </c>
    </row>
    <row r="2363" spans="2:2">
      <c r="B2363" s="21">
        <f>IF(AND(C2363&lt;&gt;"", H2363&lt;&gt;""), HYPERLINK("#'" &amp; C2363 &amp; "'!" &amp; H2363, H2363), "")</f>
        <v>0</v>
      </c>
    </row>
    <row r="2364" spans="2:2">
      <c r="B2364" s="21">
        <f>IF(AND(C2364&lt;&gt;"", H2364&lt;&gt;""), HYPERLINK("#'" &amp; C2364 &amp; "'!" &amp; H2364, H2364), "")</f>
        <v>0</v>
      </c>
    </row>
    <row r="2365" spans="2:2">
      <c r="B2365" s="21">
        <f>IF(AND(C2365&lt;&gt;"", H2365&lt;&gt;""), HYPERLINK("#'" &amp; C2365 &amp; "'!" &amp; H2365, H2365), "")</f>
        <v>0</v>
      </c>
    </row>
    <row r="2366" spans="2:2">
      <c r="B2366" s="21">
        <f>IF(AND(C2366&lt;&gt;"", H2366&lt;&gt;""), HYPERLINK("#'" &amp; C2366 &amp; "'!" &amp; H2366, H2366), "")</f>
        <v>0</v>
      </c>
    </row>
    <row r="2367" spans="2:2">
      <c r="B2367" s="21">
        <f>IF(AND(C2367&lt;&gt;"", H2367&lt;&gt;""), HYPERLINK("#'" &amp; C2367 &amp; "'!" &amp; H2367, H2367), "")</f>
        <v>0</v>
      </c>
    </row>
    <row r="2368" spans="2:2">
      <c r="B2368" s="21">
        <f>IF(AND(C2368&lt;&gt;"", H2368&lt;&gt;""), HYPERLINK("#'" &amp; C2368 &amp; "'!" &amp; H2368, H2368), "")</f>
        <v>0</v>
      </c>
    </row>
    <row r="2369" spans="2:2">
      <c r="B2369" s="21">
        <f>IF(AND(C2369&lt;&gt;"", H2369&lt;&gt;""), HYPERLINK("#'" &amp; C2369 &amp; "'!" &amp; H2369, H2369), "")</f>
        <v>0</v>
      </c>
    </row>
    <row r="2370" spans="2:2">
      <c r="B2370" s="21">
        <f>IF(AND(C2370&lt;&gt;"", H2370&lt;&gt;""), HYPERLINK("#'" &amp; C2370 &amp; "'!" &amp; H2370, H2370), "")</f>
        <v>0</v>
      </c>
    </row>
    <row r="2371" spans="2:2">
      <c r="B2371" s="21">
        <f>IF(AND(C2371&lt;&gt;"", H2371&lt;&gt;""), HYPERLINK("#'" &amp; C2371 &amp; "'!" &amp; H2371, H2371), "")</f>
        <v>0</v>
      </c>
    </row>
    <row r="2372" spans="2:2">
      <c r="B2372" s="21">
        <f>IF(AND(C2372&lt;&gt;"", H2372&lt;&gt;""), HYPERLINK("#'" &amp; C2372 &amp; "'!" &amp; H2372, H2372), "")</f>
        <v>0</v>
      </c>
    </row>
    <row r="2373" spans="2:2">
      <c r="B2373" s="21">
        <f>IF(AND(C2373&lt;&gt;"", H2373&lt;&gt;""), HYPERLINK("#'" &amp; C2373 &amp; "'!" &amp; H2373, H2373), "")</f>
        <v>0</v>
      </c>
    </row>
    <row r="2374" spans="2:2">
      <c r="B2374" s="21">
        <f>IF(AND(C2374&lt;&gt;"", H2374&lt;&gt;""), HYPERLINK("#'" &amp; C2374 &amp; "'!" &amp; H2374, H2374), "")</f>
        <v>0</v>
      </c>
    </row>
    <row r="2375" spans="2:2">
      <c r="B2375" s="21">
        <f>IF(AND(C2375&lt;&gt;"", H2375&lt;&gt;""), HYPERLINK("#'" &amp; C2375 &amp; "'!" &amp; H2375, H2375), "")</f>
        <v>0</v>
      </c>
    </row>
    <row r="2376" spans="2:2">
      <c r="B2376" s="21">
        <f>IF(AND(C2376&lt;&gt;"", H2376&lt;&gt;""), HYPERLINK("#'" &amp; C2376 &amp; "'!" &amp; H2376, H2376), "")</f>
        <v>0</v>
      </c>
    </row>
    <row r="2377" spans="2:2">
      <c r="B2377" s="21">
        <f>IF(AND(C2377&lt;&gt;"", H2377&lt;&gt;""), HYPERLINK("#'" &amp; C2377 &amp; "'!" &amp; H2377, H2377), "")</f>
        <v>0</v>
      </c>
    </row>
    <row r="2378" spans="2:2">
      <c r="B2378" s="21">
        <f>IF(AND(C2378&lt;&gt;"", H2378&lt;&gt;""), HYPERLINK("#'" &amp; C2378 &amp; "'!" &amp; H2378, H2378), "")</f>
        <v>0</v>
      </c>
    </row>
    <row r="2379" spans="2:2">
      <c r="B2379" s="21">
        <f>IF(AND(C2379&lt;&gt;"", H2379&lt;&gt;""), HYPERLINK("#'" &amp; C2379 &amp; "'!" &amp; H2379, H2379), "")</f>
        <v>0</v>
      </c>
    </row>
    <row r="2380" spans="2:2">
      <c r="B2380" s="21">
        <f>IF(AND(C2380&lt;&gt;"", H2380&lt;&gt;""), HYPERLINK("#'" &amp; C2380 &amp; "'!" &amp; H2380, H2380), "")</f>
        <v>0</v>
      </c>
    </row>
    <row r="2381" spans="2:2">
      <c r="B2381" s="21">
        <f>IF(AND(C2381&lt;&gt;"", H2381&lt;&gt;""), HYPERLINK("#'" &amp; C2381 &amp; "'!" &amp; H2381, H2381), "")</f>
        <v>0</v>
      </c>
    </row>
    <row r="2382" spans="2:2">
      <c r="B2382" s="21">
        <f>IF(AND(C2382&lt;&gt;"", H2382&lt;&gt;""), HYPERLINK("#'" &amp; C2382 &amp; "'!" &amp; H2382, H2382), "")</f>
        <v>0</v>
      </c>
    </row>
    <row r="2383" spans="2:2">
      <c r="B2383" s="21">
        <f>IF(AND(C2383&lt;&gt;"", H2383&lt;&gt;""), HYPERLINK("#'" &amp; C2383 &amp; "'!" &amp; H2383, H2383), "")</f>
        <v>0</v>
      </c>
    </row>
    <row r="2384" spans="2:2">
      <c r="B2384" s="21">
        <f>IF(AND(C2384&lt;&gt;"", H2384&lt;&gt;""), HYPERLINK("#'" &amp; C2384 &amp; "'!" &amp; H2384, H2384), "")</f>
        <v>0</v>
      </c>
    </row>
    <row r="2385" spans="2:2">
      <c r="B2385" s="21">
        <f>IF(AND(C2385&lt;&gt;"", H2385&lt;&gt;""), HYPERLINK("#'" &amp; C2385 &amp; "'!" &amp; H2385, H2385), "")</f>
        <v>0</v>
      </c>
    </row>
    <row r="2386" spans="2:2">
      <c r="B2386" s="21">
        <f>IF(AND(C2386&lt;&gt;"", H2386&lt;&gt;""), HYPERLINK("#'" &amp; C2386 &amp; "'!" &amp; H2386, H2386), "")</f>
        <v>0</v>
      </c>
    </row>
    <row r="2387" spans="2:2">
      <c r="B2387" s="21">
        <f>IF(AND(C2387&lt;&gt;"", H2387&lt;&gt;""), HYPERLINK("#'" &amp; C2387 &amp; "'!" &amp; H2387, H2387), "")</f>
        <v>0</v>
      </c>
    </row>
    <row r="2388" spans="2:2">
      <c r="B2388" s="21">
        <f>IF(AND(C2388&lt;&gt;"", H2388&lt;&gt;""), HYPERLINK("#'" &amp; C2388 &amp; "'!" &amp; H2388, H2388), "")</f>
        <v>0</v>
      </c>
    </row>
    <row r="2389" spans="2:2">
      <c r="B2389" s="21">
        <f>IF(AND(C2389&lt;&gt;"", H2389&lt;&gt;""), HYPERLINK("#'" &amp; C2389 &amp; "'!" &amp; H2389, H2389), "")</f>
        <v>0</v>
      </c>
    </row>
    <row r="2390" spans="2:2">
      <c r="B2390" s="21">
        <f>IF(AND(C2390&lt;&gt;"", H2390&lt;&gt;""), HYPERLINK("#'" &amp; C2390 &amp; "'!" &amp; H2390, H2390), "")</f>
        <v>0</v>
      </c>
    </row>
    <row r="2391" spans="2:2">
      <c r="B2391" s="21">
        <f>IF(AND(C2391&lt;&gt;"", H2391&lt;&gt;""), HYPERLINK("#'" &amp; C2391 &amp; "'!" &amp; H2391, H2391), "")</f>
        <v>0</v>
      </c>
    </row>
    <row r="2392" spans="2:2">
      <c r="B2392" s="21">
        <f>IF(AND(C2392&lt;&gt;"", H2392&lt;&gt;""), HYPERLINK("#'" &amp; C2392 &amp; "'!" &amp; H2392, H2392), "")</f>
        <v>0</v>
      </c>
    </row>
    <row r="2393" spans="2:2">
      <c r="B2393" s="21">
        <f>IF(AND(C2393&lt;&gt;"", H2393&lt;&gt;""), HYPERLINK("#'" &amp; C2393 &amp; "'!" &amp; H2393, H2393), "")</f>
        <v>0</v>
      </c>
    </row>
    <row r="2394" spans="2:2">
      <c r="B2394" s="21">
        <f>IF(AND(C2394&lt;&gt;"", H2394&lt;&gt;""), HYPERLINK("#'" &amp; C2394 &amp; "'!" &amp; H2394, H2394), "")</f>
        <v>0</v>
      </c>
    </row>
    <row r="2395" spans="2:2">
      <c r="B2395" s="21">
        <f>IF(AND(C2395&lt;&gt;"", H2395&lt;&gt;""), HYPERLINK("#'" &amp; C2395 &amp; "'!" &amp; H2395, H2395), "")</f>
        <v>0</v>
      </c>
    </row>
    <row r="2396" spans="2:2">
      <c r="B2396" s="21">
        <f>IF(AND(C2396&lt;&gt;"", H2396&lt;&gt;""), HYPERLINK("#'" &amp; C2396 &amp; "'!" &amp; H2396, H2396), "")</f>
        <v>0</v>
      </c>
    </row>
    <row r="2397" spans="2:2">
      <c r="B2397" s="21">
        <f>IF(AND(C2397&lt;&gt;"", H2397&lt;&gt;""), HYPERLINK("#'" &amp; C2397 &amp; "'!" &amp; H2397, H2397), "")</f>
        <v>0</v>
      </c>
    </row>
    <row r="2398" spans="2:2">
      <c r="B2398" s="21">
        <f>IF(AND(C2398&lt;&gt;"", H2398&lt;&gt;""), HYPERLINK("#'" &amp; C2398 &amp; "'!" &amp; H2398, H2398), "")</f>
        <v>0</v>
      </c>
    </row>
    <row r="2399" spans="2:2">
      <c r="B2399" s="21">
        <f>IF(AND(C2399&lt;&gt;"", H2399&lt;&gt;""), HYPERLINK("#'" &amp; C2399 &amp; "'!" &amp; H2399, H2399), "")</f>
        <v>0</v>
      </c>
    </row>
    <row r="2400" spans="2:2">
      <c r="B2400" s="21">
        <f>IF(AND(C2400&lt;&gt;"", H2400&lt;&gt;""), HYPERLINK("#'" &amp; C2400 &amp; "'!" &amp; H2400, H2400), "")</f>
        <v>0</v>
      </c>
    </row>
    <row r="2401" spans="2:2">
      <c r="B2401" s="21">
        <f>IF(AND(C2401&lt;&gt;"", H2401&lt;&gt;""), HYPERLINK("#'" &amp; C2401 &amp; "'!" &amp; H2401, H2401), "")</f>
        <v>0</v>
      </c>
    </row>
    <row r="2402" spans="2:2">
      <c r="B2402" s="21">
        <f>IF(AND(C2402&lt;&gt;"", H2402&lt;&gt;""), HYPERLINK("#'" &amp; C2402 &amp; "'!" &amp; H2402, H2402), "")</f>
        <v>0</v>
      </c>
    </row>
    <row r="2403" spans="2:2">
      <c r="B2403" s="21">
        <f>IF(AND(C2403&lt;&gt;"", H2403&lt;&gt;""), HYPERLINK("#'" &amp; C2403 &amp; "'!" &amp; H2403, H2403), "")</f>
        <v>0</v>
      </c>
    </row>
    <row r="2404" spans="2:2">
      <c r="B2404" s="21">
        <f>IF(AND(C2404&lt;&gt;"", H2404&lt;&gt;""), HYPERLINK("#'" &amp; C2404 &amp; "'!" &amp; H2404, H2404), "")</f>
        <v>0</v>
      </c>
    </row>
    <row r="2405" spans="2:2">
      <c r="B2405" s="21">
        <f>IF(AND(C2405&lt;&gt;"", H2405&lt;&gt;""), HYPERLINK("#'" &amp; C2405 &amp; "'!" &amp; H2405, H2405), "")</f>
        <v>0</v>
      </c>
    </row>
    <row r="2406" spans="2:2">
      <c r="B2406" s="21">
        <f>IF(AND(C2406&lt;&gt;"", H2406&lt;&gt;""), HYPERLINK("#'" &amp; C2406 &amp; "'!" &amp; H2406, H2406), "")</f>
        <v>0</v>
      </c>
    </row>
    <row r="2407" spans="2:2">
      <c r="B2407" s="21">
        <f>IF(AND(C2407&lt;&gt;"", H2407&lt;&gt;""), HYPERLINK("#'" &amp; C2407 &amp; "'!" &amp; H2407, H2407), "")</f>
        <v>0</v>
      </c>
    </row>
    <row r="2408" spans="2:2">
      <c r="B2408" s="21">
        <f>IF(AND(C2408&lt;&gt;"", H2408&lt;&gt;""), HYPERLINK("#'" &amp; C2408 &amp; "'!" &amp; H2408, H2408), "")</f>
        <v>0</v>
      </c>
    </row>
    <row r="2409" spans="2:2">
      <c r="B2409" s="21">
        <f>IF(AND(C2409&lt;&gt;"", H2409&lt;&gt;""), HYPERLINK("#'" &amp; C2409 &amp; "'!" &amp; H2409, H2409), "")</f>
        <v>0</v>
      </c>
    </row>
    <row r="2410" spans="2:2">
      <c r="B2410" s="21">
        <f>IF(AND(C2410&lt;&gt;"", H2410&lt;&gt;""), HYPERLINK("#'" &amp; C2410 &amp; "'!" &amp; H2410, H2410), "")</f>
        <v>0</v>
      </c>
    </row>
    <row r="2411" spans="2:2">
      <c r="B2411" s="21">
        <f>IF(AND(C2411&lt;&gt;"", H2411&lt;&gt;""), HYPERLINK("#'" &amp; C2411 &amp; "'!" &amp; H2411, H2411), "")</f>
        <v>0</v>
      </c>
    </row>
    <row r="2412" spans="2:2">
      <c r="B2412" s="21">
        <f>IF(AND(C2412&lt;&gt;"", H2412&lt;&gt;""), HYPERLINK("#'" &amp; C2412 &amp; "'!" &amp; H2412, H2412), "")</f>
        <v>0</v>
      </c>
    </row>
    <row r="2413" spans="2:2">
      <c r="B2413" s="21">
        <f>IF(AND(C2413&lt;&gt;"", H2413&lt;&gt;""), HYPERLINK("#'" &amp; C2413 &amp; "'!" &amp; H2413, H2413), "")</f>
        <v>0</v>
      </c>
    </row>
    <row r="2414" spans="2:2">
      <c r="B2414" s="21">
        <f>IF(AND(C2414&lt;&gt;"", H2414&lt;&gt;""), HYPERLINK("#'" &amp; C2414 &amp; "'!" &amp; H2414, H2414), "")</f>
        <v>0</v>
      </c>
    </row>
    <row r="2415" spans="2:2">
      <c r="B2415" s="21">
        <f>IF(AND(C2415&lt;&gt;"", H2415&lt;&gt;""), HYPERLINK("#'" &amp; C2415 &amp; "'!" &amp; H2415, H2415), "")</f>
        <v>0</v>
      </c>
    </row>
    <row r="2416" spans="2:2">
      <c r="B2416" s="21">
        <f>IF(AND(C2416&lt;&gt;"", H2416&lt;&gt;""), HYPERLINK("#'" &amp; C2416 &amp; "'!" &amp; H2416, H2416), "")</f>
        <v>0</v>
      </c>
    </row>
    <row r="2417" spans="2:2">
      <c r="B2417" s="21">
        <f>IF(AND(C2417&lt;&gt;"", H2417&lt;&gt;""), HYPERLINK("#'" &amp; C2417 &amp; "'!" &amp; H2417, H2417), "")</f>
        <v>0</v>
      </c>
    </row>
    <row r="2418" spans="2:2">
      <c r="B2418" s="21">
        <f>IF(AND(C2418&lt;&gt;"", H2418&lt;&gt;""), HYPERLINK("#'" &amp; C2418 &amp; "'!" &amp; H2418, H2418), "")</f>
        <v>0</v>
      </c>
    </row>
    <row r="2419" spans="2:2">
      <c r="B2419" s="21">
        <f>IF(AND(C2419&lt;&gt;"", H2419&lt;&gt;""), HYPERLINK("#'" &amp; C2419 &amp; "'!" &amp; H2419, H2419), "")</f>
        <v>0</v>
      </c>
    </row>
    <row r="2420" spans="2:2">
      <c r="B2420" s="21">
        <f>IF(AND(C2420&lt;&gt;"", H2420&lt;&gt;""), HYPERLINK("#'" &amp; C2420 &amp; "'!" &amp; H2420, H2420), "")</f>
        <v>0</v>
      </c>
    </row>
    <row r="2421" spans="2:2">
      <c r="B2421" s="21">
        <f>IF(AND(C2421&lt;&gt;"", H2421&lt;&gt;""), HYPERLINK("#'" &amp; C2421 &amp; "'!" &amp; H2421, H2421), "")</f>
        <v>0</v>
      </c>
    </row>
    <row r="2422" spans="2:2">
      <c r="B2422" s="21">
        <f>IF(AND(C2422&lt;&gt;"", H2422&lt;&gt;""), HYPERLINK("#'" &amp; C2422 &amp; "'!" &amp; H2422, H2422), "")</f>
        <v>0</v>
      </c>
    </row>
    <row r="2423" spans="2:2">
      <c r="B2423" s="21">
        <f>IF(AND(C2423&lt;&gt;"", H2423&lt;&gt;""), HYPERLINK("#'" &amp; C2423 &amp; "'!" &amp; H2423, H2423), "")</f>
        <v>0</v>
      </c>
    </row>
    <row r="2424" spans="2:2">
      <c r="B2424" s="21">
        <f>IF(AND(C2424&lt;&gt;"", H2424&lt;&gt;""), HYPERLINK("#'" &amp; C2424 &amp; "'!" &amp; H2424, H2424), "")</f>
        <v>0</v>
      </c>
    </row>
    <row r="2425" spans="2:2">
      <c r="B2425" s="21">
        <f>IF(AND(C2425&lt;&gt;"", H2425&lt;&gt;""), HYPERLINK("#'" &amp; C2425 &amp; "'!" &amp; H2425, H2425), "")</f>
        <v>0</v>
      </c>
    </row>
    <row r="2426" spans="2:2">
      <c r="B2426" s="21">
        <f>IF(AND(C2426&lt;&gt;"", H2426&lt;&gt;""), HYPERLINK("#'" &amp; C2426 &amp; "'!" &amp; H2426, H2426), "")</f>
        <v>0</v>
      </c>
    </row>
    <row r="2427" spans="2:2">
      <c r="B2427" s="21">
        <f>IF(AND(C2427&lt;&gt;"", H2427&lt;&gt;""), HYPERLINK("#'" &amp; C2427 &amp; "'!" &amp; H2427, H2427), "")</f>
        <v>0</v>
      </c>
    </row>
    <row r="2428" spans="2:2">
      <c r="B2428" s="21">
        <f>IF(AND(C2428&lt;&gt;"", H2428&lt;&gt;""), HYPERLINK("#'" &amp; C2428 &amp; "'!" &amp; H2428, H2428), "")</f>
        <v>0</v>
      </c>
    </row>
    <row r="2429" spans="2:2">
      <c r="B2429" s="21">
        <f>IF(AND(C2429&lt;&gt;"", H2429&lt;&gt;""), HYPERLINK("#'" &amp; C2429 &amp; "'!" &amp; H2429, H2429), "")</f>
        <v>0</v>
      </c>
    </row>
    <row r="2430" spans="2:2">
      <c r="B2430" s="21">
        <f>IF(AND(C2430&lt;&gt;"", H2430&lt;&gt;""), HYPERLINK("#'" &amp; C2430 &amp; "'!" &amp; H2430, H2430), "")</f>
        <v>0</v>
      </c>
    </row>
    <row r="2431" spans="2:2">
      <c r="B2431" s="21">
        <f>IF(AND(C2431&lt;&gt;"", H2431&lt;&gt;""), HYPERLINK("#'" &amp; C2431 &amp; "'!" &amp; H2431, H2431), "")</f>
        <v>0</v>
      </c>
    </row>
    <row r="2432" spans="2:2">
      <c r="B2432" s="21">
        <f>IF(AND(C2432&lt;&gt;"", H2432&lt;&gt;""), HYPERLINK("#'" &amp; C2432 &amp; "'!" &amp; H2432, H2432), "")</f>
        <v>0</v>
      </c>
    </row>
    <row r="2433" spans="2:2">
      <c r="B2433" s="21">
        <f>IF(AND(C2433&lt;&gt;"", H2433&lt;&gt;""), HYPERLINK("#'" &amp; C2433 &amp; "'!" &amp; H2433, H2433), "")</f>
        <v>0</v>
      </c>
    </row>
    <row r="2434" spans="2:2">
      <c r="B2434" s="21">
        <f>IF(AND(C2434&lt;&gt;"", H2434&lt;&gt;""), HYPERLINK("#'" &amp; C2434 &amp; "'!" &amp; H2434, H2434), "")</f>
        <v>0</v>
      </c>
    </row>
    <row r="2435" spans="2:2">
      <c r="B2435" s="21">
        <f>IF(AND(C2435&lt;&gt;"", H2435&lt;&gt;""), HYPERLINK("#'" &amp; C2435 &amp; "'!" &amp; H2435, H2435), "")</f>
        <v>0</v>
      </c>
    </row>
    <row r="2436" spans="2:2">
      <c r="B2436" s="21">
        <f>IF(AND(C2436&lt;&gt;"", H2436&lt;&gt;""), HYPERLINK("#'" &amp; C2436 &amp; "'!" &amp; H2436, H2436), "")</f>
        <v>0</v>
      </c>
    </row>
    <row r="2437" spans="2:2">
      <c r="B2437" s="21">
        <f>IF(AND(C2437&lt;&gt;"", H2437&lt;&gt;""), HYPERLINK("#'" &amp; C2437 &amp; "'!" &amp; H2437, H2437), "")</f>
        <v>0</v>
      </c>
    </row>
    <row r="2438" spans="2:2">
      <c r="B2438" s="21">
        <f>IF(AND(C2438&lt;&gt;"", H2438&lt;&gt;""), HYPERLINK("#'" &amp; C2438 &amp; "'!" &amp; H2438, H2438), "")</f>
        <v>0</v>
      </c>
    </row>
    <row r="2439" spans="2:2">
      <c r="B2439" s="21">
        <f>IF(AND(C2439&lt;&gt;"", H2439&lt;&gt;""), HYPERLINK("#'" &amp; C2439 &amp; "'!" &amp; H2439, H2439), "")</f>
        <v>0</v>
      </c>
    </row>
    <row r="2440" spans="2:2">
      <c r="B2440" s="21">
        <f>IF(AND(C2440&lt;&gt;"", H2440&lt;&gt;""), HYPERLINK("#'" &amp; C2440 &amp; "'!" &amp; H2440, H2440), "")</f>
        <v>0</v>
      </c>
    </row>
    <row r="2441" spans="2:2">
      <c r="B2441" s="21">
        <f>IF(AND(C2441&lt;&gt;"", H2441&lt;&gt;""), HYPERLINK("#'" &amp; C2441 &amp; "'!" &amp; H2441, H2441), "")</f>
        <v>0</v>
      </c>
    </row>
    <row r="2442" spans="2:2">
      <c r="B2442" s="21">
        <f>IF(AND(C2442&lt;&gt;"", H2442&lt;&gt;""), HYPERLINK("#'" &amp; C2442 &amp; "'!" &amp; H2442, H2442), "")</f>
        <v>0</v>
      </c>
    </row>
    <row r="2443" spans="2:2">
      <c r="B2443" s="21">
        <f>IF(AND(C2443&lt;&gt;"", H2443&lt;&gt;""), HYPERLINK("#'" &amp; C2443 &amp; "'!" &amp; H2443, H2443), "")</f>
        <v>0</v>
      </c>
    </row>
    <row r="2444" spans="2:2">
      <c r="B2444" s="21">
        <f>IF(AND(C2444&lt;&gt;"", H2444&lt;&gt;""), HYPERLINK("#'" &amp; C2444 &amp; "'!" &amp; H2444, H2444), "")</f>
        <v>0</v>
      </c>
    </row>
    <row r="2445" spans="2:2">
      <c r="B2445" s="21">
        <f>IF(AND(C2445&lt;&gt;"", H2445&lt;&gt;""), HYPERLINK("#'" &amp; C2445 &amp; "'!" &amp; H2445, H2445), "")</f>
        <v>0</v>
      </c>
    </row>
    <row r="2446" spans="2:2">
      <c r="B2446" s="21">
        <f>IF(AND(C2446&lt;&gt;"", H2446&lt;&gt;""), HYPERLINK("#'" &amp; C2446 &amp; "'!" &amp; H2446, H2446), "")</f>
        <v>0</v>
      </c>
    </row>
    <row r="2447" spans="2:2">
      <c r="B2447" s="21">
        <f>IF(AND(C2447&lt;&gt;"", H2447&lt;&gt;""), HYPERLINK("#'" &amp; C2447 &amp; "'!" &amp; H2447, H2447), "")</f>
        <v>0</v>
      </c>
    </row>
    <row r="2448" spans="2:2">
      <c r="B2448" s="21">
        <f>IF(AND(C2448&lt;&gt;"", H2448&lt;&gt;""), HYPERLINK("#'" &amp; C2448 &amp; "'!" &amp; H2448, H2448), "")</f>
        <v>0</v>
      </c>
    </row>
    <row r="2449" spans="2:2">
      <c r="B2449" s="21">
        <f>IF(AND(C2449&lt;&gt;"", H2449&lt;&gt;""), HYPERLINK("#'" &amp; C2449 &amp; "'!" &amp; H2449, H2449), "")</f>
        <v>0</v>
      </c>
    </row>
    <row r="2450" spans="2:2">
      <c r="B2450" s="21">
        <f>IF(AND(C2450&lt;&gt;"", H2450&lt;&gt;""), HYPERLINK("#'" &amp; C2450 &amp; "'!" &amp; H2450, H2450), "")</f>
        <v>0</v>
      </c>
    </row>
    <row r="2451" spans="2:2">
      <c r="B2451" s="21">
        <f>IF(AND(C2451&lt;&gt;"", H2451&lt;&gt;""), HYPERLINK("#'" &amp; C2451 &amp; "'!" &amp; H2451, H2451), "")</f>
        <v>0</v>
      </c>
    </row>
    <row r="2452" spans="2:2">
      <c r="B2452" s="21">
        <f>IF(AND(C2452&lt;&gt;"", H2452&lt;&gt;""), HYPERLINK("#'" &amp; C2452 &amp; "'!" &amp; H2452, H2452), "")</f>
        <v>0</v>
      </c>
    </row>
    <row r="2453" spans="2:2">
      <c r="B2453" s="21">
        <f>IF(AND(C2453&lt;&gt;"", H2453&lt;&gt;""), HYPERLINK("#'" &amp; C2453 &amp; "'!" &amp; H2453, H2453), "")</f>
        <v>0</v>
      </c>
    </row>
    <row r="2454" spans="2:2">
      <c r="B2454" s="21">
        <f>IF(AND(C2454&lt;&gt;"", H2454&lt;&gt;""), HYPERLINK("#'" &amp; C2454 &amp; "'!" &amp; H2454, H2454), "")</f>
        <v>0</v>
      </c>
    </row>
    <row r="2455" spans="2:2">
      <c r="B2455" s="21">
        <f>IF(AND(C2455&lt;&gt;"", H2455&lt;&gt;""), HYPERLINK("#'" &amp; C2455 &amp; "'!" &amp; H2455, H2455), "")</f>
        <v>0</v>
      </c>
    </row>
    <row r="2456" spans="2:2">
      <c r="B2456" s="21">
        <f>IF(AND(C2456&lt;&gt;"", H2456&lt;&gt;""), HYPERLINK("#'" &amp; C2456 &amp; "'!" &amp; H2456, H2456), "")</f>
        <v>0</v>
      </c>
    </row>
    <row r="2457" spans="2:2">
      <c r="B2457" s="21">
        <f>IF(AND(C2457&lt;&gt;"", H2457&lt;&gt;""), HYPERLINK("#'" &amp; C2457 &amp; "'!" &amp; H2457, H2457), "")</f>
        <v>0</v>
      </c>
    </row>
    <row r="2458" spans="2:2">
      <c r="B2458" s="21">
        <f>IF(AND(C2458&lt;&gt;"", H2458&lt;&gt;""), HYPERLINK("#'" &amp; C2458 &amp; "'!" &amp; H2458, H2458), "")</f>
        <v>0</v>
      </c>
    </row>
    <row r="2459" spans="2:2">
      <c r="B2459" s="21">
        <f>IF(AND(C2459&lt;&gt;"", H2459&lt;&gt;""), HYPERLINK("#'" &amp; C2459 &amp; "'!" &amp; H2459, H2459), "")</f>
        <v>0</v>
      </c>
    </row>
    <row r="2460" spans="2:2">
      <c r="B2460" s="21">
        <f>IF(AND(C2460&lt;&gt;"", H2460&lt;&gt;""), HYPERLINK("#'" &amp; C2460 &amp; "'!" &amp; H2460, H2460), "")</f>
        <v>0</v>
      </c>
    </row>
    <row r="2461" spans="2:2">
      <c r="B2461" s="21">
        <f>IF(AND(C2461&lt;&gt;"", H2461&lt;&gt;""), HYPERLINK("#'" &amp; C2461 &amp; "'!" &amp; H2461, H2461), "")</f>
        <v>0</v>
      </c>
    </row>
    <row r="2462" spans="2:2">
      <c r="B2462" s="21">
        <f>IF(AND(C2462&lt;&gt;"", H2462&lt;&gt;""), HYPERLINK("#'" &amp; C2462 &amp; "'!" &amp; H2462, H2462), "")</f>
        <v>0</v>
      </c>
    </row>
    <row r="2463" spans="2:2">
      <c r="B2463" s="21">
        <f>IF(AND(C2463&lt;&gt;"", H2463&lt;&gt;""), HYPERLINK("#'" &amp; C2463 &amp; "'!" &amp; H2463, H2463), "")</f>
        <v>0</v>
      </c>
    </row>
    <row r="2464" spans="2:2">
      <c r="B2464" s="21">
        <f>IF(AND(C2464&lt;&gt;"", H2464&lt;&gt;""), HYPERLINK("#'" &amp; C2464 &amp; "'!" &amp; H2464, H2464), "")</f>
        <v>0</v>
      </c>
    </row>
    <row r="2465" spans="2:2">
      <c r="B2465" s="21">
        <f>IF(AND(C2465&lt;&gt;"", H2465&lt;&gt;""), HYPERLINK("#'" &amp; C2465 &amp; "'!" &amp; H2465, H2465), "")</f>
        <v>0</v>
      </c>
    </row>
    <row r="2466" spans="2:2">
      <c r="B2466" s="21">
        <f>IF(AND(C2466&lt;&gt;"", H2466&lt;&gt;""), HYPERLINK("#'" &amp; C2466 &amp; "'!" &amp; H2466, H2466), "")</f>
        <v>0</v>
      </c>
    </row>
    <row r="2467" spans="2:2">
      <c r="B2467" s="21">
        <f>IF(AND(C2467&lt;&gt;"", H2467&lt;&gt;""), HYPERLINK("#'" &amp; C2467 &amp; "'!" &amp; H2467, H2467), "")</f>
        <v>0</v>
      </c>
    </row>
    <row r="2468" spans="2:2">
      <c r="B2468" s="21">
        <f>IF(AND(C2468&lt;&gt;"", H2468&lt;&gt;""), HYPERLINK("#'" &amp; C2468 &amp; "'!" &amp; H2468, H2468), "")</f>
        <v>0</v>
      </c>
    </row>
    <row r="2469" spans="2:2">
      <c r="B2469" s="21">
        <f>IF(AND(C2469&lt;&gt;"", H2469&lt;&gt;""), HYPERLINK("#'" &amp; C2469 &amp; "'!" &amp; H2469, H2469), "")</f>
        <v>0</v>
      </c>
    </row>
    <row r="2470" spans="2:2">
      <c r="B2470" s="21">
        <f>IF(AND(C2470&lt;&gt;"", H2470&lt;&gt;""), HYPERLINK("#'" &amp; C2470 &amp; "'!" &amp; H2470, H2470), "")</f>
        <v>0</v>
      </c>
    </row>
    <row r="2471" spans="2:2">
      <c r="B2471" s="21">
        <f>IF(AND(C2471&lt;&gt;"", H2471&lt;&gt;""), HYPERLINK("#'" &amp; C2471 &amp; "'!" &amp; H2471, H2471), "")</f>
        <v>0</v>
      </c>
    </row>
    <row r="2472" spans="2:2">
      <c r="B2472" s="21">
        <f>IF(AND(C2472&lt;&gt;"", H2472&lt;&gt;""), HYPERLINK("#'" &amp; C2472 &amp; "'!" &amp; H2472, H2472), "")</f>
        <v>0</v>
      </c>
    </row>
    <row r="2473" spans="2:2">
      <c r="B2473" s="21">
        <f>IF(AND(C2473&lt;&gt;"", H2473&lt;&gt;""), HYPERLINK("#'" &amp; C2473 &amp; "'!" &amp; H2473, H2473), "")</f>
        <v>0</v>
      </c>
    </row>
    <row r="2474" spans="2:2">
      <c r="B2474" s="21">
        <f>IF(AND(C2474&lt;&gt;"", H2474&lt;&gt;""), HYPERLINK("#'" &amp; C2474 &amp; "'!" &amp; H2474, H2474), "")</f>
        <v>0</v>
      </c>
    </row>
    <row r="2475" spans="2:2">
      <c r="B2475" s="21">
        <f>IF(AND(C2475&lt;&gt;"", H2475&lt;&gt;""), HYPERLINK("#'" &amp; C2475 &amp; "'!" &amp; H2475, H2475), "")</f>
        <v>0</v>
      </c>
    </row>
    <row r="2476" spans="2:2">
      <c r="B2476" s="21">
        <f>IF(AND(C2476&lt;&gt;"", H2476&lt;&gt;""), HYPERLINK("#'" &amp; C2476 &amp; "'!" &amp; H2476, H2476), "")</f>
        <v>0</v>
      </c>
    </row>
    <row r="2477" spans="2:2">
      <c r="B2477" s="21">
        <f>IF(AND(C2477&lt;&gt;"", H2477&lt;&gt;""), HYPERLINK("#'" &amp; C2477 &amp; "'!" &amp; H2477, H2477), "")</f>
        <v>0</v>
      </c>
    </row>
    <row r="2478" spans="2:2">
      <c r="B2478" s="21">
        <f>IF(AND(C2478&lt;&gt;"", H2478&lt;&gt;""), HYPERLINK("#'" &amp; C2478 &amp; "'!" &amp; H2478, H2478), "")</f>
        <v>0</v>
      </c>
    </row>
    <row r="2479" spans="2:2">
      <c r="B2479" s="21">
        <f>IF(AND(C2479&lt;&gt;"", H2479&lt;&gt;""), HYPERLINK("#'" &amp; C2479 &amp; "'!" &amp; H2479, H2479), "")</f>
        <v>0</v>
      </c>
    </row>
    <row r="2480" spans="2:2">
      <c r="B2480" s="21">
        <f>IF(AND(C2480&lt;&gt;"", H2480&lt;&gt;""), HYPERLINK("#'" &amp; C2480 &amp; "'!" &amp; H2480, H2480), "")</f>
        <v>0</v>
      </c>
    </row>
    <row r="2481" spans="2:2">
      <c r="B2481" s="21">
        <f>IF(AND(C2481&lt;&gt;"", H2481&lt;&gt;""), HYPERLINK("#'" &amp; C2481 &amp; "'!" &amp; H2481, H2481), "")</f>
        <v>0</v>
      </c>
    </row>
    <row r="2482" spans="2:2">
      <c r="B2482" s="21">
        <f>IF(AND(C2482&lt;&gt;"", H2482&lt;&gt;""), HYPERLINK("#'" &amp; C2482 &amp; "'!" &amp; H2482, H2482), "")</f>
        <v>0</v>
      </c>
    </row>
    <row r="2483" spans="2:2">
      <c r="B2483" s="21">
        <f>IF(AND(C2483&lt;&gt;"", H2483&lt;&gt;""), HYPERLINK("#'" &amp; C2483 &amp; "'!" &amp; H2483, H2483), "")</f>
        <v>0</v>
      </c>
    </row>
    <row r="2484" spans="2:2">
      <c r="B2484" s="21">
        <f>IF(AND(C2484&lt;&gt;"", H2484&lt;&gt;""), HYPERLINK("#'" &amp; C2484 &amp; "'!" &amp; H2484, H2484), "")</f>
        <v>0</v>
      </c>
    </row>
    <row r="2485" spans="2:2">
      <c r="B2485" s="21">
        <f>IF(AND(C2485&lt;&gt;"", H2485&lt;&gt;""), HYPERLINK("#'" &amp; C2485 &amp; "'!" &amp; H2485, H2485), "")</f>
        <v>0</v>
      </c>
    </row>
    <row r="2486" spans="2:2">
      <c r="B2486" s="21">
        <f>IF(AND(C2486&lt;&gt;"", H2486&lt;&gt;""), HYPERLINK("#'" &amp; C2486 &amp; "'!" &amp; H2486, H2486), "")</f>
        <v>0</v>
      </c>
    </row>
    <row r="2487" spans="2:2">
      <c r="B2487" s="21">
        <f>IF(AND(C2487&lt;&gt;"", H2487&lt;&gt;""), HYPERLINK("#'" &amp; C2487 &amp; "'!" &amp; H2487, H2487), "")</f>
        <v>0</v>
      </c>
    </row>
    <row r="2488" spans="2:2">
      <c r="B2488" s="21">
        <f>IF(AND(C2488&lt;&gt;"", H2488&lt;&gt;""), HYPERLINK("#'" &amp; C2488 &amp; "'!" &amp; H2488, H2488), "")</f>
        <v>0</v>
      </c>
    </row>
    <row r="2489" spans="2:2">
      <c r="B2489" s="21">
        <f>IF(AND(C2489&lt;&gt;"", H2489&lt;&gt;""), HYPERLINK("#'" &amp; C2489 &amp; "'!" &amp; H2489, H2489), "")</f>
        <v>0</v>
      </c>
    </row>
    <row r="2490" spans="2:2">
      <c r="B2490" s="21">
        <f>IF(AND(C2490&lt;&gt;"", H2490&lt;&gt;""), HYPERLINK("#'" &amp; C2490 &amp; "'!" &amp; H2490, H2490), "")</f>
        <v>0</v>
      </c>
    </row>
    <row r="2491" spans="2:2">
      <c r="B2491" s="21">
        <f>IF(AND(C2491&lt;&gt;"", H2491&lt;&gt;""), HYPERLINK("#'" &amp; C2491 &amp; "'!" &amp; H2491, H2491), "")</f>
        <v>0</v>
      </c>
    </row>
    <row r="2492" spans="2:2">
      <c r="B2492" s="21">
        <f>IF(AND(C2492&lt;&gt;"", H2492&lt;&gt;""), HYPERLINK("#'" &amp; C2492 &amp; "'!" &amp; H2492, H2492), "")</f>
        <v>0</v>
      </c>
    </row>
    <row r="2493" spans="2:2">
      <c r="B2493" s="21">
        <f>IF(AND(C2493&lt;&gt;"", H2493&lt;&gt;""), HYPERLINK("#'" &amp; C2493 &amp; "'!" &amp; H2493, H2493), "")</f>
        <v>0</v>
      </c>
    </row>
    <row r="2494" spans="2:2">
      <c r="B2494" s="21">
        <f>IF(AND(C2494&lt;&gt;"", H2494&lt;&gt;""), HYPERLINK("#'" &amp; C2494 &amp; "'!" &amp; H2494, H2494), "")</f>
        <v>0</v>
      </c>
    </row>
    <row r="2495" spans="2:2">
      <c r="B2495" s="21">
        <f>IF(AND(C2495&lt;&gt;"", H2495&lt;&gt;""), HYPERLINK("#'" &amp; C2495 &amp; "'!" &amp; H2495, H2495), "")</f>
        <v>0</v>
      </c>
    </row>
    <row r="2496" spans="2:2">
      <c r="B2496" s="21">
        <f>IF(AND(C2496&lt;&gt;"", H2496&lt;&gt;""), HYPERLINK("#'" &amp; C2496 &amp; "'!" &amp; H2496, H2496), "")</f>
        <v>0</v>
      </c>
    </row>
    <row r="2497" spans="2:2">
      <c r="B2497" s="21">
        <f>IF(AND(C2497&lt;&gt;"", H2497&lt;&gt;""), HYPERLINK("#'" &amp; C2497 &amp; "'!" &amp; H2497, H2497), "")</f>
        <v>0</v>
      </c>
    </row>
    <row r="2498" spans="2:2">
      <c r="B2498" s="21">
        <f>IF(AND(C2498&lt;&gt;"", H2498&lt;&gt;""), HYPERLINK("#'" &amp; C2498 &amp; "'!" &amp; H2498, H2498), "")</f>
        <v>0</v>
      </c>
    </row>
    <row r="2499" spans="2:2">
      <c r="B2499" s="21">
        <f>IF(AND(C2499&lt;&gt;"", H2499&lt;&gt;""), HYPERLINK("#'" &amp; C2499 &amp; "'!" &amp; H2499, H2499), "")</f>
        <v>0</v>
      </c>
    </row>
    <row r="2500" spans="2:2">
      <c r="B2500" s="21">
        <f>IF(AND(C2500&lt;&gt;"", H2500&lt;&gt;""), HYPERLINK("#'" &amp; C2500 &amp; "'!" &amp; H2500, H2500), "")</f>
        <v>0</v>
      </c>
    </row>
    <row r="2501" spans="2:2">
      <c r="B2501" s="21">
        <f>IF(AND(C2501&lt;&gt;"", H2501&lt;&gt;""), HYPERLINK("#'" &amp; C2501 &amp; "'!" &amp; H2501, H2501), "")</f>
        <v>0</v>
      </c>
    </row>
    <row r="2502" spans="2:2">
      <c r="B2502" s="21">
        <f>IF(AND(C2502&lt;&gt;"", H2502&lt;&gt;""), HYPERLINK("#'" &amp; C2502 &amp; "'!" &amp; H2502, H2502), "")</f>
        <v>0</v>
      </c>
    </row>
    <row r="2503" spans="2:2">
      <c r="B2503" s="21">
        <f>IF(AND(C2503&lt;&gt;"", H2503&lt;&gt;""), HYPERLINK("#'" &amp; C2503 &amp; "'!" &amp; H2503, H2503), "")</f>
        <v>0</v>
      </c>
    </row>
    <row r="2504" spans="2:2">
      <c r="B2504" s="21">
        <f>IF(AND(C2504&lt;&gt;"", H2504&lt;&gt;""), HYPERLINK("#'" &amp; C2504 &amp; "'!" &amp; H2504, H2504), "")</f>
        <v>0</v>
      </c>
    </row>
    <row r="2505" spans="2:2">
      <c r="B2505" s="21">
        <f>IF(AND(C2505&lt;&gt;"", H2505&lt;&gt;""), HYPERLINK("#'" &amp; C2505 &amp; "'!" &amp; H2505, H2505), "")</f>
        <v>0</v>
      </c>
    </row>
    <row r="2506" spans="2:2">
      <c r="B2506" s="21">
        <f>IF(AND(C2506&lt;&gt;"", H2506&lt;&gt;""), HYPERLINK("#'" &amp; C2506 &amp; "'!" &amp; H2506, H2506), "")</f>
        <v>0</v>
      </c>
    </row>
    <row r="2507" spans="2:2">
      <c r="B2507" s="21">
        <f>IF(AND(C2507&lt;&gt;"", H2507&lt;&gt;""), HYPERLINK("#'" &amp; C2507 &amp; "'!" &amp; H2507, H2507), "")</f>
        <v>0</v>
      </c>
    </row>
    <row r="2508" spans="2:2">
      <c r="B2508" s="21">
        <f>IF(AND(C2508&lt;&gt;"", H2508&lt;&gt;""), HYPERLINK("#'" &amp; C2508 &amp; "'!" &amp; H2508, H2508), "")</f>
        <v>0</v>
      </c>
    </row>
    <row r="2509" spans="2:2">
      <c r="B2509" s="21">
        <f>IF(AND(C2509&lt;&gt;"", H2509&lt;&gt;""), HYPERLINK("#'" &amp; C2509 &amp; "'!" &amp; H2509, H2509), "")</f>
        <v>0</v>
      </c>
    </row>
    <row r="2510" spans="2:2">
      <c r="B2510" s="21">
        <f>IF(AND(C2510&lt;&gt;"", H2510&lt;&gt;""), HYPERLINK("#'" &amp; C2510 &amp; "'!" &amp; H2510, H2510), "")</f>
        <v>0</v>
      </c>
    </row>
    <row r="2511" spans="2:2">
      <c r="B2511" s="21">
        <f>IF(AND(C2511&lt;&gt;"", H2511&lt;&gt;""), HYPERLINK("#'" &amp; C2511 &amp; "'!" &amp; H2511, H2511), "")</f>
        <v>0</v>
      </c>
    </row>
    <row r="2512" spans="2:2">
      <c r="B2512" s="21">
        <f>IF(AND(C2512&lt;&gt;"", H2512&lt;&gt;""), HYPERLINK("#'" &amp; C2512 &amp; "'!" &amp; H2512, H2512), "")</f>
        <v>0</v>
      </c>
    </row>
    <row r="2513" spans="2:2">
      <c r="B2513" s="21">
        <f>IF(AND(C2513&lt;&gt;"", H2513&lt;&gt;""), HYPERLINK("#'" &amp; C2513 &amp; "'!" &amp; H2513, H2513), "")</f>
        <v>0</v>
      </c>
    </row>
    <row r="2514" spans="2:2">
      <c r="B2514" s="21">
        <f>IF(AND(C2514&lt;&gt;"", H2514&lt;&gt;""), HYPERLINK("#'" &amp; C2514 &amp; "'!" &amp; H2514, H2514), "")</f>
        <v>0</v>
      </c>
    </row>
    <row r="2515" spans="2:2">
      <c r="B2515" s="21">
        <f>IF(AND(C2515&lt;&gt;"", H2515&lt;&gt;""), HYPERLINK("#'" &amp; C2515 &amp; "'!" &amp; H2515, H2515), "")</f>
        <v>0</v>
      </c>
    </row>
    <row r="2516" spans="2:2">
      <c r="B2516" s="21">
        <f>IF(AND(C2516&lt;&gt;"", H2516&lt;&gt;""), HYPERLINK("#'" &amp; C2516 &amp; "'!" &amp; H2516, H2516), "")</f>
        <v>0</v>
      </c>
    </row>
    <row r="2517" spans="2:2">
      <c r="B2517" s="21">
        <f>IF(AND(C2517&lt;&gt;"", H2517&lt;&gt;""), HYPERLINK("#'" &amp; C2517 &amp; "'!" &amp; H2517, H2517), "")</f>
        <v>0</v>
      </c>
    </row>
    <row r="2518" spans="2:2">
      <c r="B2518" s="21">
        <f>IF(AND(C2518&lt;&gt;"", H2518&lt;&gt;""), HYPERLINK("#'" &amp; C2518 &amp; "'!" &amp; H2518, H2518), "")</f>
        <v>0</v>
      </c>
    </row>
    <row r="2519" spans="2:2">
      <c r="B2519" s="21">
        <f>IF(AND(C2519&lt;&gt;"", H2519&lt;&gt;""), HYPERLINK("#'" &amp; C2519 &amp; "'!" &amp; H2519, H2519), "")</f>
        <v>0</v>
      </c>
    </row>
    <row r="2520" spans="2:2">
      <c r="B2520" s="21">
        <f>IF(AND(C2520&lt;&gt;"", H2520&lt;&gt;""), HYPERLINK("#'" &amp; C2520 &amp; "'!" &amp; H2520, H2520), "")</f>
        <v>0</v>
      </c>
    </row>
    <row r="2521" spans="2:2">
      <c r="B2521" s="21">
        <f>IF(AND(C2521&lt;&gt;"", H2521&lt;&gt;""), HYPERLINK("#'" &amp; C2521 &amp; "'!" &amp; H2521, H2521), "")</f>
        <v>0</v>
      </c>
    </row>
    <row r="2522" spans="2:2">
      <c r="B2522" s="21">
        <f>IF(AND(C2522&lt;&gt;"", H2522&lt;&gt;""), HYPERLINK("#'" &amp; C2522 &amp; "'!" &amp; H2522, H2522), "")</f>
        <v>0</v>
      </c>
    </row>
    <row r="2523" spans="2:2">
      <c r="B2523" s="21">
        <f>IF(AND(C2523&lt;&gt;"", H2523&lt;&gt;""), HYPERLINK("#'" &amp; C2523 &amp; "'!" &amp; H2523, H2523), "")</f>
        <v>0</v>
      </c>
    </row>
    <row r="2524" spans="2:2">
      <c r="B2524" s="21">
        <f>IF(AND(C2524&lt;&gt;"", H2524&lt;&gt;""), HYPERLINK("#'" &amp; C2524 &amp; "'!" &amp; H2524, H2524), "")</f>
        <v>0</v>
      </c>
    </row>
    <row r="2525" spans="2:2">
      <c r="B2525" s="21">
        <f>IF(AND(C2525&lt;&gt;"", H2525&lt;&gt;""), HYPERLINK("#'" &amp; C2525 &amp; "'!" &amp; H2525, H2525), "")</f>
        <v>0</v>
      </c>
    </row>
    <row r="2526" spans="2:2">
      <c r="B2526" s="21">
        <f>IF(AND(C2526&lt;&gt;"", H2526&lt;&gt;""), HYPERLINK("#'" &amp; C2526 &amp; "'!" &amp; H2526, H2526), "")</f>
        <v>0</v>
      </c>
    </row>
    <row r="2527" spans="2:2">
      <c r="B2527" s="21">
        <f>IF(AND(C2527&lt;&gt;"", H2527&lt;&gt;""), HYPERLINK("#'" &amp; C2527 &amp; "'!" &amp; H2527, H2527), "")</f>
        <v>0</v>
      </c>
    </row>
    <row r="2528" spans="2:2">
      <c r="B2528" s="21">
        <f>IF(AND(C2528&lt;&gt;"", H2528&lt;&gt;""), HYPERLINK("#'" &amp; C2528 &amp; "'!" &amp; H2528, H2528), "")</f>
        <v>0</v>
      </c>
    </row>
    <row r="2529" spans="2:2">
      <c r="B2529" s="21">
        <f>IF(AND(C2529&lt;&gt;"", H2529&lt;&gt;""), HYPERLINK("#'" &amp; C2529 &amp; "'!" &amp; H2529, H2529), "")</f>
        <v>0</v>
      </c>
    </row>
    <row r="2530" spans="2:2">
      <c r="B2530" s="21">
        <f>IF(AND(C2530&lt;&gt;"", H2530&lt;&gt;""), HYPERLINK("#'" &amp; C2530 &amp; "'!" &amp; H2530, H2530), "")</f>
        <v>0</v>
      </c>
    </row>
    <row r="2531" spans="2:2">
      <c r="B2531" s="21">
        <f>IF(AND(C2531&lt;&gt;"", H2531&lt;&gt;""), HYPERLINK("#'" &amp; C2531 &amp; "'!" &amp; H2531, H2531), "")</f>
        <v>0</v>
      </c>
    </row>
    <row r="2532" spans="2:2">
      <c r="B2532" s="21">
        <f>IF(AND(C2532&lt;&gt;"", H2532&lt;&gt;""), HYPERLINK("#'" &amp; C2532 &amp; "'!" &amp; H2532, H2532), "")</f>
        <v>0</v>
      </c>
    </row>
    <row r="2533" spans="2:2">
      <c r="B2533" s="21">
        <f>IF(AND(C2533&lt;&gt;"", H2533&lt;&gt;""), HYPERLINK("#'" &amp; C2533 &amp; "'!" &amp; H2533, H2533), "")</f>
        <v>0</v>
      </c>
    </row>
    <row r="2534" spans="2:2">
      <c r="B2534" s="21">
        <f>IF(AND(C2534&lt;&gt;"", H2534&lt;&gt;""), HYPERLINK("#'" &amp; C2534 &amp; "'!" &amp; H2534, H2534), "")</f>
        <v>0</v>
      </c>
    </row>
    <row r="2535" spans="2:2">
      <c r="B2535" s="21">
        <f>IF(AND(C2535&lt;&gt;"", H2535&lt;&gt;""), HYPERLINK("#'" &amp; C2535 &amp; "'!" &amp; H2535, H2535), "")</f>
        <v>0</v>
      </c>
    </row>
    <row r="2536" spans="2:2">
      <c r="B2536" s="21">
        <f>IF(AND(C2536&lt;&gt;"", H2536&lt;&gt;""), HYPERLINK("#'" &amp; C2536 &amp; "'!" &amp; H2536, H2536), "")</f>
        <v>0</v>
      </c>
    </row>
    <row r="2537" spans="2:2">
      <c r="B2537" s="21">
        <f>IF(AND(C2537&lt;&gt;"", H2537&lt;&gt;""), HYPERLINK("#'" &amp; C2537 &amp; "'!" &amp; H2537, H2537), "")</f>
        <v>0</v>
      </c>
    </row>
    <row r="2538" spans="2:2">
      <c r="B2538" s="21">
        <f>IF(AND(C2538&lt;&gt;"", H2538&lt;&gt;""), HYPERLINK("#'" &amp; C2538 &amp; "'!" &amp; H2538, H2538), "")</f>
        <v>0</v>
      </c>
    </row>
    <row r="2539" spans="2:2">
      <c r="B2539" s="21">
        <f>IF(AND(C2539&lt;&gt;"", H2539&lt;&gt;""), HYPERLINK("#'" &amp; C2539 &amp; "'!" &amp; H2539, H2539), "")</f>
        <v>0</v>
      </c>
    </row>
    <row r="2540" spans="2:2">
      <c r="B2540" s="21">
        <f>IF(AND(C2540&lt;&gt;"", H2540&lt;&gt;""), HYPERLINK("#'" &amp; C2540 &amp; "'!" &amp; H2540, H2540), "")</f>
        <v>0</v>
      </c>
    </row>
    <row r="2541" spans="2:2">
      <c r="B2541" s="21">
        <f>IF(AND(C2541&lt;&gt;"", H2541&lt;&gt;""), HYPERLINK("#'" &amp; C2541 &amp; "'!" &amp; H2541, H2541), "")</f>
        <v>0</v>
      </c>
    </row>
    <row r="2542" spans="2:2">
      <c r="B2542" s="21">
        <f>IF(AND(C2542&lt;&gt;"", H2542&lt;&gt;""), HYPERLINK("#'" &amp; C2542 &amp; "'!" &amp; H2542, H2542), "")</f>
        <v>0</v>
      </c>
    </row>
    <row r="2543" spans="2:2">
      <c r="B2543" s="21">
        <f>IF(AND(C2543&lt;&gt;"", H2543&lt;&gt;""), HYPERLINK("#'" &amp; C2543 &amp; "'!" &amp; H2543, H2543), "")</f>
        <v>0</v>
      </c>
    </row>
    <row r="2544" spans="2:2">
      <c r="B2544" s="21">
        <f>IF(AND(C2544&lt;&gt;"", H2544&lt;&gt;""), HYPERLINK("#'" &amp; C2544 &amp; "'!" &amp; H2544, H2544), "")</f>
        <v>0</v>
      </c>
    </row>
    <row r="2545" spans="2:2">
      <c r="B2545" s="21">
        <f>IF(AND(C2545&lt;&gt;"", H2545&lt;&gt;""), HYPERLINK("#'" &amp; C2545 &amp; "'!" &amp; H2545, H2545), "")</f>
        <v>0</v>
      </c>
    </row>
    <row r="2546" spans="2:2">
      <c r="B2546" s="21">
        <f>IF(AND(C2546&lt;&gt;"", H2546&lt;&gt;""), HYPERLINK("#'" &amp; C2546 &amp; "'!" &amp; H2546, H2546), "")</f>
        <v>0</v>
      </c>
    </row>
    <row r="2547" spans="2:2">
      <c r="B2547" s="21">
        <f>IF(AND(C2547&lt;&gt;"", H2547&lt;&gt;""), HYPERLINK("#'" &amp; C2547 &amp; "'!" &amp; H2547, H2547), "")</f>
        <v>0</v>
      </c>
    </row>
    <row r="2548" spans="2:2">
      <c r="B2548" s="21">
        <f>IF(AND(C2548&lt;&gt;"", H2548&lt;&gt;""), HYPERLINK("#'" &amp; C2548 &amp; "'!" &amp; H2548, H2548), "")</f>
        <v>0</v>
      </c>
    </row>
    <row r="2549" spans="2:2">
      <c r="B2549" s="21">
        <f>IF(AND(C2549&lt;&gt;"", H2549&lt;&gt;""), HYPERLINK("#'" &amp; C2549 &amp; "'!" &amp; H2549, H2549), "")</f>
        <v>0</v>
      </c>
    </row>
    <row r="2550" spans="2:2">
      <c r="B2550" s="21">
        <f>IF(AND(C2550&lt;&gt;"", H2550&lt;&gt;""), HYPERLINK("#'" &amp; C2550 &amp; "'!" &amp; H2550, H2550), "")</f>
        <v>0</v>
      </c>
    </row>
    <row r="2551" spans="2:2">
      <c r="B2551" s="21">
        <f>IF(AND(C2551&lt;&gt;"", H2551&lt;&gt;""), HYPERLINK("#'" &amp; C2551 &amp; "'!" &amp; H2551, H2551), "")</f>
        <v>0</v>
      </c>
    </row>
    <row r="2552" spans="2:2">
      <c r="B2552" s="21">
        <f>IF(AND(C2552&lt;&gt;"", H2552&lt;&gt;""), HYPERLINK("#'" &amp; C2552 &amp; "'!" &amp; H2552, H2552), "")</f>
        <v>0</v>
      </c>
    </row>
    <row r="2553" spans="2:2">
      <c r="B2553" s="21">
        <f>IF(AND(C2553&lt;&gt;"", H2553&lt;&gt;""), HYPERLINK("#'" &amp; C2553 &amp; "'!" &amp; H2553, H2553), "")</f>
        <v>0</v>
      </c>
    </row>
    <row r="2554" spans="2:2">
      <c r="B2554" s="21">
        <f>IF(AND(C2554&lt;&gt;"", H2554&lt;&gt;""), HYPERLINK("#'" &amp; C2554 &amp; "'!" &amp; H2554, H2554), "")</f>
        <v>0</v>
      </c>
    </row>
    <row r="2555" spans="2:2">
      <c r="B2555" s="21">
        <f>IF(AND(C2555&lt;&gt;"", H2555&lt;&gt;""), HYPERLINK("#'" &amp; C2555 &amp; "'!" &amp; H2555, H2555), "")</f>
        <v>0</v>
      </c>
    </row>
    <row r="2556" spans="2:2">
      <c r="B2556" s="21">
        <f>IF(AND(C2556&lt;&gt;"", H2556&lt;&gt;""), HYPERLINK("#'" &amp; C2556 &amp; "'!" &amp; H2556, H2556), "")</f>
        <v>0</v>
      </c>
    </row>
    <row r="2557" spans="2:2">
      <c r="B2557" s="21">
        <f>IF(AND(C2557&lt;&gt;"", H2557&lt;&gt;""), HYPERLINK("#'" &amp; C2557 &amp; "'!" &amp; H2557, H2557), "")</f>
        <v>0</v>
      </c>
    </row>
    <row r="2558" spans="2:2">
      <c r="B2558" s="21">
        <f>IF(AND(C2558&lt;&gt;"", H2558&lt;&gt;""), HYPERLINK("#'" &amp; C2558 &amp; "'!" &amp; H2558, H2558), "")</f>
        <v>0</v>
      </c>
    </row>
    <row r="2559" spans="2:2">
      <c r="B2559" s="21">
        <f>IF(AND(C2559&lt;&gt;"", H2559&lt;&gt;""), HYPERLINK("#'" &amp; C2559 &amp; "'!" &amp; H2559, H2559), "")</f>
        <v>0</v>
      </c>
    </row>
    <row r="2560" spans="2:2">
      <c r="B2560" s="21">
        <f>IF(AND(C2560&lt;&gt;"", H2560&lt;&gt;""), HYPERLINK("#'" &amp; C2560 &amp; "'!" &amp; H2560, H2560), "")</f>
        <v>0</v>
      </c>
    </row>
    <row r="2561" spans="2:2">
      <c r="B2561" s="21">
        <f>IF(AND(C2561&lt;&gt;"", H2561&lt;&gt;""), HYPERLINK("#'" &amp; C2561 &amp; "'!" &amp; H2561, H2561), "")</f>
        <v>0</v>
      </c>
    </row>
    <row r="2562" spans="2:2">
      <c r="B2562" s="21">
        <f>IF(AND(C2562&lt;&gt;"", H2562&lt;&gt;""), HYPERLINK("#'" &amp; C2562 &amp; "'!" &amp; H2562, H2562), "")</f>
        <v>0</v>
      </c>
    </row>
    <row r="2563" spans="2:2">
      <c r="B2563" s="21">
        <f>IF(AND(C2563&lt;&gt;"", H2563&lt;&gt;""), HYPERLINK("#'" &amp; C2563 &amp; "'!" &amp; H2563, H2563), "")</f>
        <v>0</v>
      </c>
    </row>
    <row r="2564" spans="2:2">
      <c r="B2564" s="21">
        <f>IF(AND(C2564&lt;&gt;"", H2564&lt;&gt;""), HYPERLINK("#'" &amp; C2564 &amp; "'!" &amp; H2564, H2564), "")</f>
        <v>0</v>
      </c>
    </row>
    <row r="2565" spans="2:2">
      <c r="B2565" s="21">
        <f>IF(AND(C2565&lt;&gt;"", H2565&lt;&gt;""), HYPERLINK("#'" &amp; C2565 &amp; "'!" &amp; H2565, H2565), "")</f>
        <v>0</v>
      </c>
    </row>
    <row r="2566" spans="2:2">
      <c r="B2566" s="21">
        <f>IF(AND(C2566&lt;&gt;"", H2566&lt;&gt;""), HYPERLINK("#'" &amp; C2566 &amp; "'!" &amp; H2566, H2566), "")</f>
        <v>0</v>
      </c>
    </row>
    <row r="2567" spans="2:2">
      <c r="B2567" s="21">
        <f>IF(AND(C2567&lt;&gt;"", H2567&lt;&gt;""), HYPERLINK("#'" &amp; C2567 &amp; "'!" &amp; H2567, H2567), "")</f>
        <v>0</v>
      </c>
    </row>
    <row r="2568" spans="2:2">
      <c r="B2568" s="21">
        <f>IF(AND(C2568&lt;&gt;"", H2568&lt;&gt;""), HYPERLINK("#'" &amp; C2568 &amp; "'!" &amp; H2568, H2568), "")</f>
        <v>0</v>
      </c>
    </row>
    <row r="2569" spans="2:2">
      <c r="B2569" s="21">
        <f>IF(AND(C2569&lt;&gt;"", H2569&lt;&gt;""), HYPERLINK("#'" &amp; C2569 &amp; "'!" &amp; H2569, H2569), "")</f>
        <v>0</v>
      </c>
    </row>
    <row r="2570" spans="2:2">
      <c r="B2570" s="21">
        <f>IF(AND(C2570&lt;&gt;"", H2570&lt;&gt;""), HYPERLINK("#'" &amp; C2570 &amp; "'!" &amp; H2570, H2570), "")</f>
        <v>0</v>
      </c>
    </row>
    <row r="2571" spans="2:2">
      <c r="B2571" s="21">
        <f>IF(AND(C2571&lt;&gt;"", H2571&lt;&gt;""), HYPERLINK("#'" &amp; C2571 &amp; "'!" &amp; H2571, H2571), "")</f>
        <v>0</v>
      </c>
    </row>
    <row r="2572" spans="2:2">
      <c r="B2572" s="21">
        <f>IF(AND(C2572&lt;&gt;"", H2572&lt;&gt;""), HYPERLINK("#'" &amp; C2572 &amp; "'!" &amp; H2572, H2572), "")</f>
        <v>0</v>
      </c>
    </row>
    <row r="2573" spans="2:2">
      <c r="B2573" s="21">
        <f>IF(AND(C2573&lt;&gt;"", H2573&lt;&gt;""), HYPERLINK("#'" &amp; C2573 &amp; "'!" &amp; H2573, H2573), "")</f>
        <v>0</v>
      </c>
    </row>
    <row r="2574" spans="2:2">
      <c r="B2574" s="21">
        <f>IF(AND(C2574&lt;&gt;"", H2574&lt;&gt;""), HYPERLINK("#'" &amp; C2574 &amp; "'!" &amp; H2574, H2574), "")</f>
        <v>0</v>
      </c>
    </row>
    <row r="2575" spans="2:2">
      <c r="B2575" s="21">
        <f>IF(AND(C2575&lt;&gt;"", H2575&lt;&gt;""), HYPERLINK("#'" &amp; C2575 &amp; "'!" &amp; H2575, H2575), "")</f>
        <v>0</v>
      </c>
    </row>
    <row r="2576" spans="2:2">
      <c r="B2576" s="21">
        <f>IF(AND(C2576&lt;&gt;"", H2576&lt;&gt;""), HYPERLINK("#'" &amp; C2576 &amp; "'!" &amp; H2576, H2576), "")</f>
        <v>0</v>
      </c>
    </row>
    <row r="2577" spans="2:2">
      <c r="B2577" s="21">
        <f>IF(AND(C2577&lt;&gt;"", H2577&lt;&gt;""), HYPERLINK("#'" &amp; C2577 &amp; "'!" &amp; H2577, H2577), "")</f>
        <v>0</v>
      </c>
    </row>
    <row r="2578" spans="2:2">
      <c r="B2578" s="21">
        <f>IF(AND(C2578&lt;&gt;"", H2578&lt;&gt;""), HYPERLINK("#'" &amp; C2578 &amp; "'!" &amp; H2578, H2578), "")</f>
        <v>0</v>
      </c>
    </row>
    <row r="2579" spans="2:2">
      <c r="B2579" s="21">
        <f>IF(AND(C2579&lt;&gt;"", H2579&lt;&gt;""), HYPERLINK("#'" &amp; C2579 &amp; "'!" &amp; H2579, H2579), "")</f>
        <v>0</v>
      </c>
    </row>
    <row r="2580" spans="2:2">
      <c r="B2580" s="21">
        <f>IF(AND(C2580&lt;&gt;"", H2580&lt;&gt;""), HYPERLINK("#'" &amp; C2580 &amp; "'!" &amp; H2580, H2580), "")</f>
        <v>0</v>
      </c>
    </row>
    <row r="2581" spans="2:2">
      <c r="B2581" s="21">
        <f>IF(AND(C2581&lt;&gt;"", H2581&lt;&gt;""), HYPERLINK("#'" &amp; C2581 &amp; "'!" &amp; H2581, H2581), "")</f>
        <v>0</v>
      </c>
    </row>
    <row r="2582" spans="2:2">
      <c r="B2582" s="21">
        <f>IF(AND(C2582&lt;&gt;"", H2582&lt;&gt;""), HYPERLINK("#'" &amp; C2582 &amp; "'!" &amp; H2582, H2582), "")</f>
        <v>0</v>
      </c>
    </row>
    <row r="2583" spans="2:2">
      <c r="B2583" s="21">
        <f>IF(AND(C2583&lt;&gt;"", H2583&lt;&gt;""), HYPERLINK("#'" &amp; C2583 &amp; "'!" &amp; H2583, H2583), "")</f>
        <v>0</v>
      </c>
    </row>
    <row r="2584" spans="2:2">
      <c r="B2584" s="21">
        <f>IF(AND(C2584&lt;&gt;"", H2584&lt;&gt;""), HYPERLINK("#'" &amp; C2584 &amp; "'!" &amp; H2584, H2584), "")</f>
        <v>0</v>
      </c>
    </row>
    <row r="2585" spans="2:2">
      <c r="B2585" s="21">
        <f>IF(AND(C2585&lt;&gt;"", H2585&lt;&gt;""), HYPERLINK("#'" &amp; C2585 &amp; "'!" &amp; H2585, H2585), "")</f>
        <v>0</v>
      </c>
    </row>
    <row r="2586" spans="2:2">
      <c r="B2586" s="21">
        <f>IF(AND(C2586&lt;&gt;"", H2586&lt;&gt;""), HYPERLINK("#'" &amp; C2586 &amp; "'!" &amp; H2586, H2586), "")</f>
        <v>0</v>
      </c>
    </row>
    <row r="2587" spans="2:2">
      <c r="B2587" s="21">
        <f>IF(AND(C2587&lt;&gt;"", H2587&lt;&gt;""), HYPERLINK("#'" &amp; C2587 &amp; "'!" &amp; H2587, H2587), "")</f>
        <v>0</v>
      </c>
    </row>
    <row r="2588" spans="2:2">
      <c r="B2588" s="21">
        <f>IF(AND(C2588&lt;&gt;"", H2588&lt;&gt;""), HYPERLINK("#'" &amp; C2588 &amp; "'!" &amp; H2588, H2588), "")</f>
        <v>0</v>
      </c>
    </row>
    <row r="2589" spans="2:2">
      <c r="B2589" s="21">
        <f>IF(AND(C2589&lt;&gt;"", H2589&lt;&gt;""), HYPERLINK("#'" &amp; C2589 &amp; "'!" &amp; H2589, H2589), "")</f>
        <v>0</v>
      </c>
    </row>
    <row r="2590" spans="2:2">
      <c r="B2590" s="21">
        <f>IF(AND(C2590&lt;&gt;"", H2590&lt;&gt;""), HYPERLINK("#'" &amp; C2590 &amp; "'!" &amp; H2590, H2590), "")</f>
        <v>0</v>
      </c>
    </row>
    <row r="2591" spans="2:2">
      <c r="B2591" s="21">
        <f>IF(AND(C2591&lt;&gt;"", H2591&lt;&gt;""), HYPERLINK("#'" &amp; C2591 &amp; "'!" &amp; H2591, H2591), "")</f>
        <v>0</v>
      </c>
    </row>
    <row r="2592" spans="2:2">
      <c r="B2592" s="21">
        <f>IF(AND(C2592&lt;&gt;"", H2592&lt;&gt;""), HYPERLINK("#'" &amp; C2592 &amp; "'!" &amp; H2592, H2592), "")</f>
        <v>0</v>
      </c>
    </row>
    <row r="2593" spans="2:2">
      <c r="B2593" s="21">
        <f>IF(AND(C2593&lt;&gt;"", H2593&lt;&gt;""), HYPERLINK("#'" &amp; C2593 &amp; "'!" &amp; H2593, H2593), "")</f>
        <v>0</v>
      </c>
    </row>
    <row r="2594" spans="2:2">
      <c r="B2594" s="21">
        <f>IF(AND(C2594&lt;&gt;"", H2594&lt;&gt;""), HYPERLINK("#'" &amp; C2594 &amp; "'!" &amp; H2594, H2594), "")</f>
        <v>0</v>
      </c>
    </row>
    <row r="2595" spans="2:2">
      <c r="B2595" s="21">
        <f>IF(AND(C2595&lt;&gt;"", H2595&lt;&gt;""), HYPERLINK("#'" &amp; C2595 &amp; "'!" &amp; H2595, H2595), "")</f>
        <v>0</v>
      </c>
    </row>
    <row r="2596" spans="2:2">
      <c r="B2596" s="21">
        <f>IF(AND(C2596&lt;&gt;"", H2596&lt;&gt;""), HYPERLINK("#'" &amp; C2596 &amp; "'!" &amp; H2596, H2596), "")</f>
        <v>0</v>
      </c>
    </row>
    <row r="2597" spans="2:2">
      <c r="B2597" s="21">
        <f>IF(AND(C2597&lt;&gt;"", H2597&lt;&gt;""), HYPERLINK("#'" &amp; C2597 &amp; "'!" &amp; H2597, H2597), "")</f>
        <v>0</v>
      </c>
    </row>
    <row r="2598" spans="2:2">
      <c r="B2598" s="21">
        <f>IF(AND(C2598&lt;&gt;"", H2598&lt;&gt;""), HYPERLINK("#'" &amp; C2598 &amp; "'!" &amp; H2598, H2598), "")</f>
        <v>0</v>
      </c>
    </row>
    <row r="2599" spans="2:2">
      <c r="B2599" s="21">
        <f>IF(AND(C2599&lt;&gt;"", H2599&lt;&gt;""), HYPERLINK("#'" &amp; C2599 &amp; "'!" &amp; H2599, H2599), "")</f>
        <v>0</v>
      </c>
    </row>
    <row r="2600" spans="2:2">
      <c r="B2600" s="21">
        <f>IF(AND(C2600&lt;&gt;"", H2600&lt;&gt;""), HYPERLINK("#'" &amp; C2600 &amp; "'!" &amp; H2600, H2600), "")</f>
        <v>0</v>
      </c>
    </row>
    <row r="2601" spans="2:2">
      <c r="B2601" s="21">
        <f>IF(AND(C2601&lt;&gt;"", H2601&lt;&gt;""), HYPERLINK("#'" &amp; C2601 &amp; "'!" &amp; H2601, H2601), "")</f>
        <v>0</v>
      </c>
    </row>
    <row r="2602" spans="2:2">
      <c r="B2602" s="21">
        <f>IF(AND(C2602&lt;&gt;"", H2602&lt;&gt;""), HYPERLINK("#'" &amp; C2602 &amp; "'!" &amp; H2602, H2602), "")</f>
        <v>0</v>
      </c>
    </row>
    <row r="2603" spans="2:2">
      <c r="B2603" s="21">
        <f>IF(AND(C2603&lt;&gt;"", H2603&lt;&gt;""), HYPERLINK("#'" &amp; C2603 &amp; "'!" &amp; H2603, H2603), "")</f>
        <v>0</v>
      </c>
    </row>
    <row r="2604" spans="2:2">
      <c r="B2604" s="21">
        <f>IF(AND(C2604&lt;&gt;"", H2604&lt;&gt;""), HYPERLINK("#'" &amp; C2604 &amp; "'!" &amp; H2604, H2604), "")</f>
        <v>0</v>
      </c>
    </row>
    <row r="2605" spans="2:2">
      <c r="B2605" s="21">
        <f>IF(AND(C2605&lt;&gt;"", H2605&lt;&gt;""), HYPERLINK("#'" &amp; C2605 &amp; "'!" &amp; H2605, H2605), "")</f>
        <v>0</v>
      </c>
    </row>
    <row r="2606" spans="2:2">
      <c r="B2606" s="21">
        <f>IF(AND(C2606&lt;&gt;"", H2606&lt;&gt;""), HYPERLINK("#'" &amp; C2606 &amp; "'!" &amp; H2606, H2606), "")</f>
        <v>0</v>
      </c>
    </row>
    <row r="2607" spans="2:2">
      <c r="B2607" s="21">
        <f>IF(AND(C2607&lt;&gt;"", H2607&lt;&gt;""), HYPERLINK("#'" &amp; C2607 &amp; "'!" &amp; H2607, H2607), "")</f>
        <v>0</v>
      </c>
    </row>
    <row r="2608" spans="2:2">
      <c r="B2608" s="21">
        <f>IF(AND(C2608&lt;&gt;"", H2608&lt;&gt;""), HYPERLINK("#'" &amp; C2608 &amp; "'!" &amp; H2608, H2608), "")</f>
        <v>0</v>
      </c>
    </row>
    <row r="2609" spans="2:2">
      <c r="B2609" s="21">
        <f>IF(AND(C2609&lt;&gt;"", H2609&lt;&gt;""), HYPERLINK("#'" &amp; C2609 &amp; "'!" &amp; H2609, H2609), "")</f>
        <v>0</v>
      </c>
    </row>
    <row r="2610" spans="2:2">
      <c r="B2610" s="21">
        <f>IF(AND(C2610&lt;&gt;"", H2610&lt;&gt;""), HYPERLINK("#'" &amp; C2610 &amp; "'!" &amp; H2610, H2610), "")</f>
        <v>0</v>
      </c>
    </row>
    <row r="2611" spans="2:2">
      <c r="B2611" s="21">
        <f>IF(AND(C2611&lt;&gt;"", H2611&lt;&gt;""), HYPERLINK("#'" &amp; C2611 &amp; "'!" &amp; H2611, H2611), "")</f>
        <v>0</v>
      </c>
    </row>
    <row r="2612" spans="2:2">
      <c r="B2612" s="21">
        <f>IF(AND(C2612&lt;&gt;"", H2612&lt;&gt;""), HYPERLINK("#'" &amp; C2612 &amp; "'!" &amp; H2612, H2612), "")</f>
        <v>0</v>
      </c>
    </row>
    <row r="2613" spans="2:2">
      <c r="B2613" s="21">
        <f>IF(AND(C2613&lt;&gt;"", H2613&lt;&gt;""), HYPERLINK("#'" &amp; C2613 &amp; "'!" &amp; H2613, H2613), "")</f>
        <v>0</v>
      </c>
    </row>
    <row r="2614" spans="2:2">
      <c r="B2614" s="21">
        <f>IF(AND(C2614&lt;&gt;"", H2614&lt;&gt;""), HYPERLINK("#'" &amp; C2614 &amp; "'!" &amp; H2614, H2614), "")</f>
        <v>0</v>
      </c>
    </row>
    <row r="2615" spans="2:2">
      <c r="B2615" s="21">
        <f>IF(AND(C2615&lt;&gt;"", H2615&lt;&gt;""), HYPERLINK("#'" &amp; C2615 &amp; "'!" &amp; H2615, H2615), "")</f>
        <v>0</v>
      </c>
    </row>
    <row r="2616" spans="2:2">
      <c r="B2616" s="21">
        <f>IF(AND(C2616&lt;&gt;"", H2616&lt;&gt;""), HYPERLINK("#'" &amp; C2616 &amp; "'!" &amp; H2616, H2616), "")</f>
        <v>0</v>
      </c>
    </row>
    <row r="2617" spans="2:2">
      <c r="B2617" s="21">
        <f>IF(AND(C2617&lt;&gt;"", H2617&lt;&gt;""), HYPERLINK("#'" &amp; C2617 &amp; "'!" &amp; H2617, H2617), "")</f>
        <v>0</v>
      </c>
    </row>
    <row r="2618" spans="2:2">
      <c r="B2618" s="21">
        <f>IF(AND(C2618&lt;&gt;"", H2618&lt;&gt;""), HYPERLINK("#'" &amp; C2618 &amp; "'!" &amp; H2618, H2618), "")</f>
        <v>0</v>
      </c>
    </row>
    <row r="2619" spans="2:2">
      <c r="B2619" s="21">
        <f>IF(AND(C2619&lt;&gt;"", H2619&lt;&gt;""), HYPERLINK("#'" &amp; C2619 &amp; "'!" &amp; H2619, H2619), "")</f>
        <v>0</v>
      </c>
    </row>
    <row r="2620" spans="2:2">
      <c r="B2620" s="21">
        <f>IF(AND(C2620&lt;&gt;"", H2620&lt;&gt;""), HYPERLINK("#'" &amp; C2620 &amp; "'!" &amp; H2620, H2620), "")</f>
        <v>0</v>
      </c>
    </row>
    <row r="2621" spans="2:2">
      <c r="B2621" s="21">
        <f>IF(AND(C2621&lt;&gt;"", H2621&lt;&gt;""), HYPERLINK("#'" &amp; C2621 &amp; "'!" &amp; H2621, H2621), "")</f>
        <v>0</v>
      </c>
    </row>
    <row r="2622" spans="2:2">
      <c r="B2622" s="21">
        <f>IF(AND(C2622&lt;&gt;"", H2622&lt;&gt;""), HYPERLINK("#'" &amp; C2622 &amp; "'!" &amp; H2622, H2622), "")</f>
        <v>0</v>
      </c>
    </row>
    <row r="2623" spans="2:2">
      <c r="B2623" s="21">
        <f>IF(AND(C2623&lt;&gt;"", H2623&lt;&gt;""), HYPERLINK("#'" &amp; C2623 &amp; "'!" &amp; H2623, H2623), "")</f>
        <v>0</v>
      </c>
    </row>
    <row r="2624" spans="2:2">
      <c r="B2624" s="21">
        <f>IF(AND(C2624&lt;&gt;"", H2624&lt;&gt;""), HYPERLINK("#'" &amp; C2624 &amp; "'!" &amp; H2624, H2624), "")</f>
        <v>0</v>
      </c>
    </row>
    <row r="2625" spans="2:2">
      <c r="B2625" s="21">
        <f>IF(AND(C2625&lt;&gt;"", H2625&lt;&gt;""), HYPERLINK("#'" &amp; C2625 &amp; "'!" &amp; H2625, H2625), "")</f>
        <v>0</v>
      </c>
    </row>
    <row r="2626" spans="2:2">
      <c r="B2626" s="21">
        <f>IF(AND(C2626&lt;&gt;"", H2626&lt;&gt;""), HYPERLINK("#'" &amp; C2626 &amp; "'!" &amp; H2626, H2626), "")</f>
        <v>0</v>
      </c>
    </row>
    <row r="2627" spans="2:2">
      <c r="B2627" s="21">
        <f>IF(AND(C2627&lt;&gt;"", H2627&lt;&gt;""), HYPERLINK("#'" &amp; C2627 &amp; "'!" &amp; H2627, H2627), "")</f>
        <v>0</v>
      </c>
    </row>
    <row r="2628" spans="2:2">
      <c r="B2628" s="21">
        <f>IF(AND(C2628&lt;&gt;"", H2628&lt;&gt;""), HYPERLINK("#'" &amp; C2628 &amp; "'!" &amp; H2628, H2628), "")</f>
        <v>0</v>
      </c>
    </row>
    <row r="2629" spans="2:2">
      <c r="B2629" s="21">
        <f>IF(AND(C2629&lt;&gt;"", H2629&lt;&gt;""), HYPERLINK("#'" &amp; C2629 &amp; "'!" &amp; H2629, H2629), "")</f>
        <v>0</v>
      </c>
    </row>
    <row r="2630" spans="2:2">
      <c r="B2630" s="21">
        <f>IF(AND(C2630&lt;&gt;"", H2630&lt;&gt;""), HYPERLINK("#'" &amp; C2630 &amp; "'!" &amp; H2630, H2630), "")</f>
        <v>0</v>
      </c>
    </row>
    <row r="2631" spans="2:2">
      <c r="B2631" s="21">
        <f>IF(AND(C2631&lt;&gt;"", H2631&lt;&gt;""), HYPERLINK("#'" &amp; C2631 &amp; "'!" &amp; H2631, H2631), "")</f>
        <v>0</v>
      </c>
    </row>
    <row r="2632" spans="2:2">
      <c r="B2632" s="21">
        <f>IF(AND(C2632&lt;&gt;"", H2632&lt;&gt;""), HYPERLINK("#'" &amp; C2632 &amp; "'!" &amp; H2632, H2632), "")</f>
        <v>0</v>
      </c>
    </row>
    <row r="2633" spans="2:2">
      <c r="B2633" s="21">
        <f>IF(AND(C2633&lt;&gt;"", H2633&lt;&gt;""), HYPERLINK("#'" &amp; C2633 &amp; "'!" &amp; H2633, H2633), "")</f>
        <v>0</v>
      </c>
    </row>
    <row r="2634" spans="2:2">
      <c r="B2634" s="21">
        <f>IF(AND(C2634&lt;&gt;"", H2634&lt;&gt;""), HYPERLINK("#'" &amp; C2634 &amp; "'!" &amp; H2634, H2634), "")</f>
        <v>0</v>
      </c>
    </row>
    <row r="2635" spans="2:2">
      <c r="B2635" s="21">
        <f>IF(AND(C2635&lt;&gt;"", H2635&lt;&gt;""), HYPERLINK("#'" &amp; C2635 &amp; "'!" &amp; H2635, H2635), "")</f>
        <v>0</v>
      </c>
    </row>
    <row r="2636" spans="2:2">
      <c r="B2636" s="21">
        <f>IF(AND(C2636&lt;&gt;"", H2636&lt;&gt;""), HYPERLINK("#'" &amp; C2636 &amp; "'!" &amp; H2636, H2636), "")</f>
        <v>0</v>
      </c>
    </row>
    <row r="2637" spans="2:2">
      <c r="B2637" s="21">
        <f>IF(AND(C2637&lt;&gt;"", H2637&lt;&gt;""), HYPERLINK("#'" &amp; C2637 &amp; "'!" &amp; H2637, H2637), "")</f>
        <v>0</v>
      </c>
    </row>
    <row r="2638" spans="2:2">
      <c r="B2638" s="21">
        <f>IF(AND(C2638&lt;&gt;"", H2638&lt;&gt;""), HYPERLINK("#'" &amp; C2638 &amp; "'!" &amp; H2638, H2638), "")</f>
        <v>0</v>
      </c>
    </row>
    <row r="2639" spans="2:2">
      <c r="B2639" s="21">
        <f>IF(AND(C2639&lt;&gt;"", H2639&lt;&gt;""), HYPERLINK("#'" &amp; C2639 &amp; "'!" &amp; H2639, H2639), "")</f>
        <v>0</v>
      </c>
    </row>
    <row r="2640" spans="2:2">
      <c r="B2640" s="21">
        <f>IF(AND(C2640&lt;&gt;"", H2640&lt;&gt;""), HYPERLINK("#'" &amp; C2640 &amp; "'!" &amp; H2640, H2640), "")</f>
        <v>0</v>
      </c>
    </row>
    <row r="2641" spans="2:2">
      <c r="B2641" s="21">
        <f>IF(AND(C2641&lt;&gt;"", H2641&lt;&gt;""), HYPERLINK("#'" &amp; C2641 &amp; "'!" &amp; H2641, H2641), "")</f>
        <v>0</v>
      </c>
    </row>
    <row r="2642" spans="2:2">
      <c r="B2642" s="21">
        <f>IF(AND(C2642&lt;&gt;"", H2642&lt;&gt;""), HYPERLINK("#'" &amp; C2642 &amp; "'!" &amp; H2642, H2642), "")</f>
        <v>0</v>
      </c>
    </row>
    <row r="2643" spans="2:2">
      <c r="B2643" s="21">
        <f>IF(AND(C2643&lt;&gt;"", H2643&lt;&gt;""), HYPERLINK("#'" &amp; C2643 &amp; "'!" &amp; H2643, H2643), "")</f>
        <v>0</v>
      </c>
    </row>
    <row r="2644" spans="2:2">
      <c r="B2644" s="21">
        <f>IF(AND(C2644&lt;&gt;"", H2644&lt;&gt;""), HYPERLINK("#'" &amp; C2644 &amp; "'!" &amp; H2644, H2644), "")</f>
        <v>0</v>
      </c>
    </row>
    <row r="2645" spans="2:2">
      <c r="B2645" s="21">
        <f>IF(AND(C2645&lt;&gt;"", H2645&lt;&gt;""), HYPERLINK("#'" &amp; C2645 &amp; "'!" &amp; H2645, H2645), "")</f>
        <v>0</v>
      </c>
    </row>
    <row r="2646" spans="2:2">
      <c r="B2646" s="21">
        <f>IF(AND(C2646&lt;&gt;"", H2646&lt;&gt;""), HYPERLINK("#'" &amp; C2646 &amp; "'!" &amp; H2646, H2646), "")</f>
        <v>0</v>
      </c>
    </row>
    <row r="2647" spans="2:2">
      <c r="B2647" s="21">
        <f>IF(AND(C2647&lt;&gt;"", H2647&lt;&gt;""), HYPERLINK("#'" &amp; C2647 &amp; "'!" &amp; H2647, H2647), "")</f>
        <v>0</v>
      </c>
    </row>
    <row r="2648" spans="2:2">
      <c r="B2648" s="21">
        <f>IF(AND(C2648&lt;&gt;"", H2648&lt;&gt;""), HYPERLINK("#'" &amp; C2648 &amp; "'!" &amp; H2648, H2648), "")</f>
        <v>0</v>
      </c>
    </row>
    <row r="2649" spans="2:2">
      <c r="B2649" s="21">
        <f>IF(AND(C2649&lt;&gt;"", H2649&lt;&gt;""), HYPERLINK("#'" &amp; C2649 &amp; "'!" &amp; H2649, H2649), "")</f>
        <v>0</v>
      </c>
    </row>
    <row r="2650" spans="2:2">
      <c r="B2650" s="21">
        <f>IF(AND(C2650&lt;&gt;"", H2650&lt;&gt;""), HYPERLINK("#'" &amp; C2650 &amp; "'!" &amp; H2650, H2650), "")</f>
        <v>0</v>
      </c>
    </row>
    <row r="2651" spans="2:2">
      <c r="B2651" s="21">
        <f>IF(AND(C2651&lt;&gt;"", H2651&lt;&gt;""), HYPERLINK("#'" &amp; C2651 &amp; "'!" &amp; H2651, H2651), "")</f>
        <v>0</v>
      </c>
    </row>
    <row r="2652" spans="2:2">
      <c r="B2652" s="21">
        <f>IF(AND(C2652&lt;&gt;"", H2652&lt;&gt;""), HYPERLINK("#'" &amp; C2652 &amp; "'!" &amp; H2652, H2652), "")</f>
        <v>0</v>
      </c>
    </row>
    <row r="2653" spans="2:2">
      <c r="B2653" s="21">
        <f>IF(AND(C2653&lt;&gt;"", H2653&lt;&gt;""), HYPERLINK("#'" &amp; C2653 &amp; "'!" &amp; H2653, H2653), "")</f>
        <v>0</v>
      </c>
    </row>
    <row r="2654" spans="2:2">
      <c r="B2654" s="21">
        <f>IF(AND(C2654&lt;&gt;"", H2654&lt;&gt;""), HYPERLINK("#'" &amp; C2654 &amp; "'!" &amp; H2654, H2654), "")</f>
        <v>0</v>
      </c>
    </row>
    <row r="2655" spans="2:2">
      <c r="B2655" s="21">
        <f>IF(AND(C2655&lt;&gt;"", H2655&lt;&gt;""), HYPERLINK("#'" &amp; C2655 &amp; "'!" &amp; H2655, H2655), "")</f>
        <v>0</v>
      </c>
    </row>
    <row r="2656" spans="2:2">
      <c r="B2656" s="21">
        <f>IF(AND(C2656&lt;&gt;"", H2656&lt;&gt;""), HYPERLINK("#'" &amp; C2656 &amp; "'!" &amp; H2656, H2656), "")</f>
        <v>0</v>
      </c>
    </row>
    <row r="2657" spans="2:2">
      <c r="B2657" s="21">
        <f>IF(AND(C2657&lt;&gt;"", H2657&lt;&gt;""), HYPERLINK("#'" &amp; C2657 &amp; "'!" &amp; H2657, H2657), "")</f>
        <v>0</v>
      </c>
    </row>
    <row r="2658" spans="2:2">
      <c r="B2658" s="21">
        <f>IF(AND(C2658&lt;&gt;"", H2658&lt;&gt;""), HYPERLINK("#'" &amp; C2658 &amp; "'!" &amp; H2658, H2658), "")</f>
        <v>0</v>
      </c>
    </row>
    <row r="2659" spans="2:2">
      <c r="B2659" s="21">
        <f>IF(AND(C2659&lt;&gt;"", H2659&lt;&gt;""), HYPERLINK("#'" &amp; C2659 &amp; "'!" &amp; H2659, H2659), "")</f>
        <v>0</v>
      </c>
    </row>
    <row r="2660" spans="2:2">
      <c r="B2660" s="21">
        <f>IF(AND(C2660&lt;&gt;"", H2660&lt;&gt;""), HYPERLINK("#'" &amp; C2660 &amp; "'!" &amp; H2660, H2660), "")</f>
        <v>0</v>
      </c>
    </row>
    <row r="2661" spans="2:2">
      <c r="B2661" s="21">
        <f>IF(AND(C2661&lt;&gt;"", H2661&lt;&gt;""), HYPERLINK("#'" &amp; C2661 &amp; "'!" &amp; H2661, H2661), "")</f>
        <v>0</v>
      </c>
    </row>
    <row r="2662" spans="2:2">
      <c r="B2662" s="21">
        <f>IF(AND(C2662&lt;&gt;"", H2662&lt;&gt;""), HYPERLINK("#'" &amp; C2662 &amp; "'!" &amp; H2662, H2662), "")</f>
        <v>0</v>
      </c>
    </row>
    <row r="2663" spans="2:2">
      <c r="B2663" s="21">
        <f>IF(AND(C2663&lt;&gt;"", H2663&lt;&gt;""), HYPERLINK("#'" &amp; C2663 &amp; "'!" &amp; H2663, H2663), "")</f>
        <v>0</v>
      </c>
    </row>
    <row r="2664" spans="2:2">
      <c r="B2664" s="21">
        <f>IF(AND(C2664&lt;&gt;"", H2664&lt;&gt;""), HYPERLINK("#'" &amp; C2664 &amp; "'!" &amp; H2664, H2664), "")</f>
        <v>0</v>
      </c>
    </row>
    <row r="2665" spans="2:2">
      <c r="B2665" s="21">
        <f>IF(AND(C2665&lt;&gt;"", H2665&lt;&gt;""), HYPERLINK("#'" &amp; C2665 &amp; "'!" &amp; H2665, H2665), "")</f>
        <v>0</v>
      </c>
    </row>
    <row r="2666" spans="2:2">
      <c r="B2666" s="21">
        <f>IF(AND(C2666&lt;&gt;"", H2666&lt;&gt;""), HYPERLINK("#'" &amp; C2666 &amp; "'!" &amp; H2666, H2666), "")</f>
        <v>0</v>
      </c>
    </row>
    <row r="2667" spans="2:2">
      <c r="B2667" s="21">
        <f>IF(AND(C2667&lt;&gt;"", H2667&lt;&gt;""), HYPERLINK("#'" &amp; C2667 &amp; "'!" &amp; H2667, H2667), "")</f>
        <v>0</v>
      </c>
    </row>
    <row r="2668" spans="2:2">
      <c r="B2668" s="21">
        <f>IF(AND(C2668&lt;&gt;"", H2668&lt;&gt;""), HYPERLINK("#'" &amp; C2668 &amp; "'!" &amp; H2668, H2668), "")</f>
        <v>0</v>
      </c>
    </row>
    <row r="2669" spans="2:2">
      <c r="B2669" s="21">
        <f>IF(AND(C2669&lt;&gt;"", H2669&lt;&gt;""), HYPERLINK("#'" &amp; C2669 &amp; "'!" &amp; H2669, H2669), "")</f>
        <v>0</v>
      </c>
    </row>
    <row r="2670" spans="2:2">
      <c r="B2670" s="21">
        <f>IF(AND(C2670&lt;&gt;"", H2670&lt;&gt;""), HYPERLINK("#'" &amp; C2670 &amp; "'!" &amp; H2670, H2670), "")</f>
        <v>0</v>
      </c>
    </row>
    <row r="2671" spans="2:2">
      <c r="B2671" s="21">
        <f>IF(AND(C2671&lt;&gt;"", H2671&lt;&gt;""), HYPERLINK("#'" &amp; C2671 &amp; "'!" &amp; H2671, H2671), "")</f>
        <v>0</v>
      </c>
    </row>
    <row r="2672" spans="2:2">
      <c r="B2672" s="21">
        <f>IF(AND(C2672&lt;&gt;"", H2672&lt;&gt;""), HYPERLINK("#'" &amp; C2672 &amp; "'!" &amp; H2672, H2672), "")</f>
        <v>0</v>
      </c>
    </row>
    <row r="2673" spans="2:2">
      <c r="B2673" s="21">
        <f>IF(AND(C2673&lt;&gt;"", H2673&lt;&gt;""), HYPERLINK("#'" &amp; C2673 &amp; "'!" &amp; H2673, H2673), "")</f>
        <v>0</v>
      </c>
    </row>
    <row r="2674" spans="2:2">
      <c r="B2674" s="21">
        <f>IF(AND(C2674&lt;&gt;"", H2674&lt;&gt;""), HYPERLINK("#'" &amp; C2674 &amp; "'!" &amp; H2674, H2674), "")</f>
        <v>0</v>
      </c>
    </row>
    <row r="2675" spans="2:2">
      <c r="B2675" s="21">
        <f>IF(AND(C2675&lt;&gt;"", H2675&lt;&gt;""), HYPERLINK("#'" &amp; C2675 &amp; "'!" &amp; H2675, H2675), "")</f>
        <v>0</v>
      </c>
    </row>
    <row r="2676" spans="2:2">
      <c r="B2676" s="21">
        <f>IF(AND(C2676&lt;&gt;"", H2676&lt;&gt;""), HYPERLINK("#'" &amp; C2676 &amp; "'!" &amp; H2676, H2676), "")</f>
        <v>0</v>
      </c>
    </row>
    <row r="2677" spans="2:2">
      <c r="B2677" s="21">
        <f>IF(AND(C2677&lt;&gt;"", H2677&lt;&gt;""), HYPERLINK("#'" &amp; C2677 &amp; "'!" &amp; H2677, H2677), "")</f>
        <v>0</v>
      </c>
    </row>
    <row r="2678" spans="2:2">
      <c r="B2678" s="21">
        <f>IF(AND(C2678&lt;&gt;"", H2678&lt;&gt;""), HYPERLINK("#'" &amp; C2678 &amp; "'!" &amp; H2678, H2678), "")</f>
        <v>0</v>
      </c>
    </row>
    <row r="2679" spans="2:2">
      <c r="B2679" s="21">
        <f>IF(AND(C2679&lt;&gt;"", H2679&lt;&gt;""), HYPERLINK("#'" &amp; C2679 &amp; "'!" &amp; H2679, H2679), "")</f>
        <v>0</v>
      </c>
    </row>
    <row r="2680" spans="2:2">
      <c r="B2680" s="21">
        <f>IF(AND(C2680&lt;&gt;"", H2680&lt;&gt;""), HYPERLINK("#'" &amp; C2680 &amp; "'!" &amp; H2680, H2680), "")</f>
        <v>0</v>
      </c>
    </row>
    <row r="2681" spans="2:2">
      <c r="B2681" s="21">
        <f>IF(AND(C2681&lt;&gt;"", H2681&lt;&gt;""), HYPERLINK("#'" &amp; C2681 &amp; "'!" &amp; H2681, H2681), "")</f>
        <v>0</v>
      </c>
    </row>
    <row r="2682" spans="2:2">
      <c r="B2682" s="21">
        <f>IF(AND(C2682&lt;&gt;"", H2682&lt;&gt;""), HYPERLINK("#'" &amp; C2682 &amp; "'!" &amp; H2682, H2682), "")</f>
        <v>0</v>
      </c>
    </row>
    <row r="2683" spans="2:2">
      <c r="B2683" s="21">
        <f>IF(AND(C2683&lt;&gt;"", H2683&lt;&gt;""), HYPERLINK("#'" &amp; C2683 &amp; "'!" &amp; H2683, H2683), "")</f>
        <v>0</v>
      </c>
    </row>
    <row r="2684" spans="2:2">
      <c r="B2684" s="21">
        <f>IF(AND(C2684&lt;&gt;"", H2684&lt;&gt;""), HYPERLINK("#'" &amp; C2684 &amp; "'!" &amp; H2684, H2684), "")</f>
        <v>0</v>
      </c>
    </row>
    <row r="2685" spans="2:2">
      <c r="B2685" s="21">
        <f>IF(AND(C2685&lt;&gt;"", H2685&lt;&gt;""), HYPERLINK("#'" &amp; C2685 &amp; "'!" &amp; H2685, H2685), "")</f>
        <v>0</v>
      </c>
    </row>
    <row r="2686" spans="2:2">
      <c r="B2686" s="21">
        <f>IF(AND(C2686&lt;&gt;"", H2686&lt;&gt;""), HYPERLINK("#'" &amp; C2686 &amp; "'!" &amp; H2686, H2686), "")</f>
        <v>0</v>
      </c>
    </row>
    <row r="2687" spans="2:2">
      <c r="B2687" s="21">
        <f>IF(AND(C2687&lt;&gt;"", H2687&lt;&gt;""), HYPERLINK("#'" &amp; C2687 &amp; "'!" &amp; H2687, H2687), "")</f>
        <v>0</v>
      </c>
    </row>
    <row r="2688" spans="2:2">
      <c r="B2688" s="21">
        <f>IF(AND(C2688&lt;&gt;"", H2688&lt;&gt;""), HYPERLINK("#'" &amp; C2688 &amp; "'!" &amp; H2688, H2688), "")</f>
        <v>0</v>
      </c>
    </row>
    <row r="2689" spans="2:2">
      <c r="B2689" s="21">
        <f>IF(AND(C2689&lt;&gt;"", H2689&lt;&gt;""), HYPERLINK("#'" &amp; C2689 &amp; "'!" &amp; H2689, H2689), "")</f>
        <v>0</v>
      </c>
    </row>
    <row r="2690" spans="2:2">
      <c r="B2690" s="21">
        <f>IF(AND(C2690&lt;&gt;"", H2690&lt;&gt;""), HYPERLINK("#'" &amp; C2690 &amp; "'!" &amp; H2690, H2690), "")</f>
        <v>0</v>
      </c>
    </row>
    <row r="2691" spans="2:2">
      <c r="B2691" s="21">
        <f>IF(AND(C2691&lt;&gt;"", H2691&lt;&gt;""), HYPERLINK("#'" &amp; C2691 &amp; "'!" &amp; H2691, H2691), "")</f>
        <v>0</v>
      </c>
    </row>
    <row r="2692" spans="2:2">
      <c r="B2692" s="21">
        <f>IF(AND(C2692&lt;&gt;"", H2692&lt;&gt;""), HYPERLINK("#'" &amp; C2692 &amp; "'!" &amp; H2692, H2692), "")</f>
        <v>0</v>
      </c>
    </row>
    <row r="2693" spans="2:2">
      <c r="B2693" s="21">
        <f>IF(AND(C2693&lt;&gt;"", H2693&lt;&gt;""), HYPERLINK("#'" &amp; C2693 &amp; "'!" &amp; H2693, H2693), "")</f>
        <v>0</v>
      </c>
    </row>
    <row r="2694" spans="2:2">
      <c r="B2694" s="21">
        <f>IF(AND(C2694&lt;&gt;"", H2694&lt;&gt;""), HYPERLINK("#'" &amp; C2694 &amp; "'!" &amp; H2694, H2694), "")</f>
        <v>0</v>
      </c>
    </row>
    <row r="2695" spans="2:2">
      <c r="B2695" s="21">
        <f>IF(AND(C2695&lt;&gt;"", H2695&lt;&gt;""), HYPERLINK("#'" &amp; C2695 &amp; "'!" &amp; H2695, H2695), "")</f>
        <v>0</v>
      </c>
    </row>
    <row r="2696" spans="2:2">
      <c r="B2696" s="21">
        <f>IF(AND(C2696&lt;&gt;"", H2696&lt;&gt;""), HYPERLINK("#'" &amp; C2696 &amp; "'!" &amp; H2696, H2696), "")</f>
        <v>0</v>
      </c>
    </row>
    <row r="2697" spans="2:2">
      <c r="B2697" s="21">
        <f>IF(AND(C2697&lt;&gt;"", H2697&lt;&gt;""), HYPERLINK("#'" &amp; C2697 &amp; "'!" &amp; H2697, H2697), "")</f>
        <v>0</v>
      </c>
    </row>
    <row r="2698" spans="2:2">
      <c r="B2698" s="21">
        <f>IF(AND(C2698&lt;&gt;"", H2698&lt;&gt;""), HYPERLINK("#'" &amp; C2698 &amp; "'!" &amp; H2698, H2698), "")</f>
        <v>0</v>
      </c>
    </row>
    <row r="2699" spans="2:2">
      <c r="B2699" s="21">
        <f>IF(AND(C2699&lt;&gt;"", H2699&lt;&gt;""), HYPERLINK("#'" &amp; C2699 &amp; "'!" &amp; H2699, H2699), "")</f>
        <v>0</v>
      </c>
    </row>
    <row r="2700" spans="2:2">
      <c r="B2700" s="21">
        <f>IF(AND(C2700&lt;&gt;"", H2700&lt;&gt;""), HYPERLINK("#'" &amp; C2700 &amp; "'!" &amp; H2700, H2700), "")</f>
        <v>0</v>
      </c>
    </row>
    <row r="2701" spans="2:2">
      <c r="B2701" s="21">
        <f>IF(AND(C2701&lt;&gt;"", H2701&lt;&gt;""), HYPERLINK("#'" &amp; C2701 &amp; "'!" &amp; H2701, H2701), "")</f>
        <v>0</v>
      </c>
    </row>
    <row r="2702" spans="2:2">
      <c r="B2702" s="21">
        <f>IF(AND(C2702&lt;&gt;"", H2702&lt;&gt;""), HYPERLINK("#'" &amp; C2702 &amp; "'!" &amp; H2702, H2702), "")</f>
        <v>0</v>
      </c>
    </row>
    <row r="2703" spans="2:2">
      <c r="B2703" s="21">
        <f>IF(AND(C2703&lt;&gt;"", H2703&lt;&gt;""), HYPERLINK("#'" &amp; C2703 &amp; "'!" &amp; H2703, H2703), "")</f>
        <v>0</v>
      </c>
    </row>
    <row r="2704" spans="2:2">
      <c r="B2704" s="21">
        <f>IF(AND(C2704&lt;&gt;"", H2704&lt;&gt;""), HYPERLINK("#'" &amp; C2704 &amp; "'!" &amp; H2704, H2704), "")</f>
        <v>0</v>
      </c>
    </row>
    <row r="2705" spans="2:2">
      <c r="B2705" s="21">
        <f>IF(AND(C2705&lt;&gt;"", H2705&lt;&gt;""), HYPERLINK("#'" &amp; C2705 &amp; "'!" &amp; H2705, H2705), "")</f>
        <v>0</v>
      </c>
    </row>
    <row r="2706" spans="2:2">
      <c r="B2706" s="21">
        <f>IF(AND(C2706&lt;&gt;"", H2706&lt;&gt;""), HYPERLINK("#'" &amp; C2706 &amp; "'!" &amp; H2706, H2706), "")</f>
        <v>0</v>
      </c>
    </row>
    <row r="2707" spans="2:2">
      <c r="B2707" s="21">
        <f>IF(AND(C2707&lt;&gt;"", H2707&lt;&gt;""), HYPERLINK("#'" &amp; C2707 &amp; "'!" &amp; H2707, H2707), "")</f>
        <v>0</v>
      </c>
    </row>
    <row r="2708" spans="2:2">
      <c r="B2708" s="21">
        <f>IF(AND(C2708&lt;&gt;"", H2708&lt;&gt;""), HYPERLINK("#'" &amp; C2708 &amp; "'!" &amp; H2708, H2708), "")</f>
        <v>0</v>
      </c>
    </row>
    <row r="2709" spans="2:2">
      <c r="B2709" s="21">
        <f>IF(AND(C2709&lt;&gt;"", H2709&lt;&gt;""), HYPERLINK("#'" &amp; C2709 &amp; "'!" &amp; H2709, H2709), "")</f>
        <v>0</v>
      </c>
    </row>
    <row r="2710" spans="2:2">
      <c r="B2710" s="21">
        <f>IF(AND(C2710&lt;&gt;"", H2710&lt;&gt;""), HYPERLINK("#'" &amp; C2710 &amp; "'!" &amp; H2710, H2710), "")</f>
        <v>0</v>
      </c>
    </row>
    <row r="2711" spans="2:2">
      <c r="B2711" s="21">
        <f>IF(AND(C2711&lt;&gt;"", H2711&lt;&gt;""), HYPERLINK("#'" &amp; C2711 &amp; "'!" &amp; H2711, H2711), "")</f>
        <v>0</v>
      </c>
    </row>
    <row r="2712" spans="2:2">
      <c r="B2712" s="21">
        <f>IF(AND(C2712&lt;&gt;"", H2712&lt;&gt;""), HYPERLINK("#'" &amp; C2712 &amp; "'!" &amp; H2712, H2712), "")</f>
        <v>0</v>
      </c>
    </row>
    <row r="2713" spans="2:2">
      <c r="B2713" s="21">
        <f>IF(AND(C2713&lt;&gt;"", H2713&lt;&gt;""), HYPERLINK("#'" &amp; C2713 &amp; "'!" &amp; H2713, H2713), "")</f>
        <v>0</v>
      </c>
    </row>
    <row r="2714" spans="2:2">
      <c r="B2714" s="21">
        <f>IF(AND(C2714&lt;&gt;"", H2714&lt;&gt;""), HYPERLINK("#'" &amp; C2714 &amp; "'!" &amp; H2714, H2714), "")</f>
        <v>0</v>
      </c>
    </row>
    <row r="2715" spans="2:2">
      <c r="B2715" s="21">
        <f>IF(AND(C2715&lt;&gt;"", H2715&lt;&gt;""), HYPERLINK("#'" &amp; C2715 &amp; "'!" &amp; H2715, H2715), "")</f>
        <v>0</v>
      </c>
    </row>
    <row r="2716" spans="2:2">
      <c r="B2716" s="21">
        <f>IF(AND(C2716&lt;&gt;"", H2716&lt;&gt;""), HYPERLINK("#'" &amp; C2716 &amp; "'!" &amp; H2716, H2716), "")</f>
        <v>0</v>
      </c>
    </row>
    <row r="2717" spans="2:2">
      <c r="B2717" s="21">
        <f>IF(AND(C2717&lt;&gt;"", H2717&lt;&gt;""), HYPERLINK("#'" &amp; C2717 &amp; "'!" &amp; H2717, H2717), "")</f>
        <v>0</v>
      </c>
    </row>
    <row r="2718" spans="2:2">
      <c r="B2718" s="21">
        <f>IF(AND(C2718&lt;&gt;"", H2718&lt;&gt;""), HYPERLINK("#'" &amp; C2718 &amp; "'!" &amp; H2718, H2718), "")</f>
        <v>0</v>
      </c>
    </row>
    <row r="2719" spans="2:2">
      <c r="B2719" s="21">
        <f>IF(AND(C2719&lt;&gt;"", H2719&lt;&gt;""), HYPERLINK("#'" &amp; C2719 &amp; "'!" &amp; H2719, H2719), "")</f>
        <v>0</v>
      </c>
    </row>
    <row r="2720" spans="2:2">
      <c r="B2720" s="21">
        <f>IF(AND(C2720&lt;&gt;"", H2720&lt;&gt;""), HYPERLINK("#'" &amp; C2720 &amp; "'!" &amp; H2720, H2720), "")</f>
        <v>0</v>
      </c>
    </row>
    <row r="2721" spans="2:2">
      <c r="B2721" s="21">
        <f>IF(AND(C2721&lt;&gt;"", H2721&lt;&gt;""), HYPERLINK("#'" &amp; C2721 &amp; "'!" &amp; H2721, H2721), "")</f>
        <v>0</v>
      </c>
    </row>
    <row r="2722" spans="2:2">
      <c r="B2722" s="21">
        <f>IF(AND(C2722&lt;&gt;"", H2722&lt;&gt;""), HYPERLINK("#'" &amp; C2722 &amp; "'!" &amp; H2722, H2722), "")</f>
        <v>0</v>
      </c>
    </row>
    <row r="2723" spans="2:2">
      <c r="B2723" s="21">
        <f>IF(AND(C2723&lt;&gt;"", H2723&lt;&gt;""), HYPERLINK("#'" &amp; C2723 &amp; "'!" &amp; H2723, H2723), "")</f>
        <v>0</v>
      </c>
    </row>
    <row r="2724" spans="2:2">
      <c r="B2724" s="21">
        <f>IF(AND(C2724&lt;&gt;"", H2724&lt;&gt;""), HYPERLINK("#'" &amp; C2724 &amp; "'!" &amp; H2724, H2724), "")</f>
        <v>0</v>
      </c>
    </row>
    <row r="2725" spans="2:2">
      <c r="B2725" s="21">
        <f>IF(AND(C2725&lt;&gt;"", H2725&lt;&gt;""), HYPERLINK("#'" &amp; C2725 &amp; "'!" &amp; H2725, H2725), "")</f>
        <v>0</v>
      </c>
    </row>
    <row r="2726" spans="2:2">
      <c r="B2726" s="21">
        <f>IF(AND(C2726&lt;&gt;"", H2726&lt;&gt;""), HYPERLINK("#'" &amp; C2726 &amp; "'!" &amp; H2726, H2726), "")</f>
        <v>0</v>
      </c>
    </row>
    <row r="2727" spans="2:2">
      <c r="B2727" s="21">
        <f>IF(AND(C2727&lt;&gt;"", H2727&lt;&gt;""), HYPERLINK("#'" &amp; C2727 &amp; "'!" &amp; H2727, H2727), "")</f>
        <v>0</v>
      </c>
    </row>
    <row r="2728" spans="2:2">
      <c r="B2728" s="21">
        <f>IF(AND(C2728&lt;&gt;"", H2728&lt;&gt;""), HYPERLINK("#'" &amp; C2728 &amp; "'!" &amp; H2728, H2728), "")</f>
        <v>0</v>
      </c>
    </row>
    <row r="2729" spans="2:2">
      <c r="B2729" s="21">
        <f>IF(AND(C2729&lt;&gt;"", H2729&lt;&gt;""), HYPERLINK("#'" &amp; C2729 &amp; "'!" &amp; H2729, H2729), "")</f>
        <v>0</v>
      </c>
    </row>
    <row r="2730" spans="2:2">
      <c r="B2730" s="21">
        <f>IF(AND(C2730&lt;&gt;"", H2730&lt;&gt;""), HYPERLINK("#'" &amp; C2730 &amp; "'!" &amp; H2730, H2730), "")</f>
        <v>0</v>
      </c>
    </row>
    <row r="2731" spans="2:2">
      <c r="B2731" s="21">
        <f>IF(AND(C2731&lt;&gt;"", H2731&lt;&gt;""), HYPERLINK("#'" &amp; C2731 &amp; "'!" &amp; H2731, H2731), "")</f>
        <v>0</v>
      </c>
    </row>
    <row r="2732" spans="2:2">
      <c r="B2732" s="21">
        <f>IF(AND(C2732&lt;&gt;"", H2732&lt;&gt;""), HYPERLINK("#'" &amp; C2732 &amp; "'!" &amp; H2732, H2732), "")</f>
        <v>0</v>
      </c>
    </row>
    <row r="2733" spans="2:2">
      <c r="B2733" s="21">
        <f>IF(AND(C2733&lt;&gt;"", H2733&lt;&gt;""), HYPERLINK("#'" &amp; C2733 &amp; "'!" &amp; H2733, H2733), "")</f>
        <v>0</v>
      </c>
    </row>
    <row r="2734" spans="2:2">
      <c r="B2734" s="21">
        <f>IF(AND(C2734&lt;&gt;"", H2734&lt;&gt;""), HYPERLINK("#'" &amp; C2734 &amp; "'!" &amp; H2734, H2734), "")</f>
        <v>0</v>
      </c>
    </row>
    <row r="2735" spans="2:2">
      <c r="B2735" s="21">
        <f>IF(AND(C2735&lt;&gt;"", H2735&lt;&gt;""), HYPERLINK("#'" &amp; C2735 &amp; "'!" &amp; H2735, H2735), "")</f>
        <v>0</v>
      </c>
    </row>
    <row r="2736" spans="2:2">
      <c r="B2736" s="21">
        <f>IF(AND(C2736&lt;&gt;"", H2736&lt;&gt;""), HYPERLINK("#'" &amp; C2736 &amp; "'!" &amp; H2736, H2736), "")</f>
        <v>0</v>
      </c>
    </row>
    <row r="2737" spans="2:2">
      <c r="B2737" s="21">
        <f>IF(AND(C2737&lt;&gt;"", H2737&lt;&gt;""), HYPERLINK("#'" &amp; C2737 &amp; "'!" &amp; H2737, H2737), "")</f>
        <v>0</v>
      </c>
    </row>
    <row r="2738" spans="2:2">
      <c r="B2738" s="21">
        <f>IF(AND(C2738&lt;&gt;"", H2738&lt;&gt;""), HYPERLINK("#'" &amp; C2738 &amp; "'!" &amp; H2738, H2738), "")</f>
        <v>0</v>
      </c>
    </row>
    <row r="2739" spans="2:2">
      <c r="B2739" s="21">
        <f>IF(AND(C2739&lt;&gt;"", H2739&lt;&gt;""), HYPERLINK("#'" &amp; C2739 &amp; "'!" &amp; H2739, H2739), "")</f>
        <v>0</v>
      </c>
    </row>
    <row r="2740" spans="2:2">
      <c r="B2740" s="21">
        <f>IF(AND(C2740&lt;&gt;"", H2740&lt;&gt;""), HYPERLINK("#'" &amp; C2740 &amp; "'!" &amp; H2740, H2740), "")</f>
        <v>0</v>
      </c>
    </row>
    <row r="2741" spans="2:2">
      <c r="B2741" s="21">
        <f>IF(AND(C2741&lt;&gt;"", H2741&lt;&gt;""), HYPERLINK("#'" &amp; C2741 &amp; "'!" &amp; H2741, H2741), "")</f>
        <v>0</v>
      </c>
    </row>
    <row r="2742" spans="2:2">
      <c r="B2742" s="21">
        <f>IF(AND(C2742&lt;&gt;"", H2742&lt;&gt;""), HYPERLINK("#'" &amp; C2742 &amp; "'!" &amp; H2742, H2742), "")</f>
        <v>0</v>
      </c>
    </row>
    <row r="2743" spans="2:2">
      <c r="B2743" s="21">
        <f>IF(AND(C2743&lt;&gt;"", H2743&lt;&gt;""), HYPERLINK("#'" &amp; C2743 &amp; "'!" &amp; H2743, H2743), "")</f>
        <v>0</v>
      </c>
    </row>
    <row r="2744" spans="2:2">
      <c r="B2744" s="21">
        <f>IF(AND(C2744&lt;&gt;"", H2744&lt;&gt;""), HYPERLINK("#'" &amp; C2744 &amp; "'!" &amp; H2744, H2744), "")</f>
        <v>0</v>
      </c>
    </row>
    <row r="2745" spans="2:2">
      <c r="B2745" s="21">
        <f>IF(AND(C2745&lt;&gt;"", H2745&lt;&gt;""), HYPERLINK("#'" &amp; C2745 &amp; "'!" &amp; H2745, H2745), "")</f>
        <v>0</v>
      </c>
    </row>
    <row r="2746" spans="2:2">
      <c r="B2746" s="21">
        <f>IF(AND(C2746&lt;&gt;"", H2746&lt;&gt;""), HYPERLINK("#'" &amp; C2746 &amp; "'!" &amp; H2746, H2746), "")</f>
        <v>0</v>
      </c>
    </row>
    <row r="2747" spans="2:2">
      <c r="B2747" s="21">
        <f>IF(AND(C2747&lt;&gt;"", H2747&lt;&gt;""), HYPERLINK("#'" &amp; C2747 &amp; "'!" &amp; H2747, H2747), "")</f>
        <v>0</v>
      </c>
    </row>
    <row r="2748" spans="2:2">
      <c r="B2748" s="21">
        <f>IF(AND(C2748&lt;&gt;"", H2748&lt;&gt;""), HYPERLINK("#'" &amp; C2748 &amp; "'!" &amp; H2748, H2748), "")</f>
        <v>0</v>
      </c>
    </row>
    <row r="2749" spans="2:2">
      <c r="B2749" s="21">
        <f>IF(AND(C2749&lt;&gt;"", H2749&lt;&gt;""), HYPERLINK("#'" &amp; C2749 &amp; "'!" &amp; H2749, H2749), "")</f>
        <v>0</v>
      </c>
    </row>
    <row r="2750" spans="2:2">
      <c r="B2750" s="21">
        <f>IF(AND(C2750&lt;&gt;"", H2750&lt;&gt;""), HYPERLINK("#'" &amp; C2750 &amp; "'!" &amp; H2750, H2750), "")</f>
        <v>0</v>
      </c>
    </row>
    <row r="2751" spans="2:2">
      <c r="B2751" s="21">
        <f>IF(AND(C2751&lt;&gt;"", H2751&lt;&gt;""), HYPERLINK("#'" &amp; C2751 &amp; "'!" &amp; H2751, H2751), "")</f>
        <v>0</v>
      </c>
    </row>
    <row r="2752" spans="2:2">
      <c r="B2752" s="21">
        <f>IF(AND(C2752&lt;&gt;"", H2752&lt;&gt;""), HYPERLINK("#'" &amp; C2752 &amp; "'!" &amp; H2752, H2752), "")</f>
        <v>0</v>
      </c>
    </row>
    <row r="2753" spans="2:2">
      <c r="B2753" s="21">
        <f>IF(AND(C2753&lt;&gt;"", H2753&lt;&gt;""), HYPERLINK("#'" &amp; C2753 &amp; "'!" &amp; H2753, H2753), "")</f>
        <v>0</v>
      </c>
    </row>
    <row r="2754" spans="2:2">
      <c r="B2754" s="21">
        <f>IF(AND(C2754&lt;&gt;"", H2754&lt;&gt;""), HYPERLINK("#'" &amp; C2754 &amp; "'!" &amp; H2754, H2754), "")</f>
        <v>0</v>
      </c>
    </row>
    <row r="2755" spans="2:2">
      <c r="B2755" s="21">
        <f>IF(AND(C2755&lt;&gt;"", H2755&lt;&gt;""), HYPERLINK("#'" &amp; C2755 &amp; "'!" &amp; H2755, H2755), "")</f>
        <v>0</v>
      </c>
    </row>
    <row r="2756" spans="2:2">
      <c r="B2756" s="21">
        <f>IF(AND(C2756&lt;&gt;"", H2756&lt;&gt;""), HYPERLINK("#'" &amp; C2756 &amp; "'!" &amp; H2756, H2756), "")</f>
        <v>0</v>
      </c>
    </row>
    <row r="2757" spans="2:2">
      <c r="B2757" s="21">
        <f>IF(AND(C2757&lt;&gt;"", H2757&lt;&gt;""), HYPERLINK("#'" &amp; C2757 &amp; "'!" &amp; H2757, H2757), "")</f>
        <v>0</v>
      </c>
    </row>
    <row r="2758" spans="2:2">
      <c r="B2758" s="21">
        <f>IF(AND(C2758&lt;&gt;"", H2758&lt;&gt;""), HYPERLINK("#'" &amp; C2758 &amp; "'!" &amp; H2758, H2758), "")</f>
        <v>0</v>
      </c>
    </row>
    <row r="2759" spans="2:2">
      <c r="B2759" s="21">
        <f>IF(AND(C2759&lt;&gt;"", H2759&lt;&gt;""), HYPERLINK("#'" &amp; C2759 &amp; "'!" &amp; H2759, H2759), "")</f>
        <v>0</v>
      </c>
    </row>
    <row r="2760" spans="2:2">
      <c r="B2760" s="21">
        <f>IF(AND(C2760&lt;&gt;"", H2760&lt;&gt;""), HYPERLINK("#'" &amp; C2760 &amp; "'!" &amp; H2760, H2760), "")</f>
        <v>0</v>
      </c>
    </row>
    <row r="2761" spans="2:2">
      <c r="B2761" s="21">
        <f>IF(AND(C2761&lt;&gt;"", H2761&lt;&gt;""), HYPERLINK("#'" &amp; C2761 &amp; "'!" &amp; H2761, H2761), "")</f>
        <v>0</v>
      </c>
    </row>
    <row r="2762" spans="2:2">
      <c r="B2762" s="21">
        <f>IF(AND(C2762&lt;&gt;"", H2762&lt;&gt;""), HYPERLINK("#'" &amp; C2762 &amp; "'!" &amp; H2762, H2762), "")</f>
        <v>0</v>
      </c>
    </row>
    <row r="2763" spans="2:2">
      <c r="B2763" s="21">
        <f>IF(AND(C2763&lt;&gt;"", H2763&lt;&gt;""), HYPERLINK("#'" &amp; C2763 &amp; "'!" &amp; H2763, H2763), "")</f>
        <v>0</v>
      </c>
    </row>
    <row r="2764" spans="2:2">
      <c r="B2764" s="21">
        <f>IF(AND(C2764&lt;&gt;"", H2764&lt;&gt;""), HYPERLINK("#'" &amp; C2764 &amp; "'!" &amp; H2764, H2764), "")</f>
        <v>0</v>
      </c>
    </row>
    <row r="2765" spans="2:2">
      <c r="B2765" s="21">
        <f>IF(AND(C2765&lt;&gt;"", H2765&lt;&gt;""), HYPERLINK("#'" &amp; C2765 &amp; "'!" &amp; H2765, H2765), "")</f>
        <v>0</v>
      </c>
    </row>
    <row r="2766" spans="2:2">
      <c r="B2766" s="21">
        <f>IF(AND(C2766&lt;&gt;"", H2766&lt;&gt;""), HYPERLINK("#'" &amp; C2766 &amp; "'!" &amp; H2766, H2766), "")</f>
        <v>0</v>
      </c>
    </row>
    <row r="2767" spans="2:2">
      <c r="B2767" s="21">
        <f>IF(AND(C2767&lt;&gt;"", H2767&lt;&gt;""), HYPERLINK("#'" &amp; C2767 &amp; "'!" &amp; H2767, H2767), "")</f>
        <v>0</v>
      </c>
    </row>
    <row r="2768" spans="2:2">
      <c r="B2768" s="21">
        <f>IF(AND(C2768&lt;&gt;"", H2768&lt;&gt;""), HYPERLINK("#'" &amp; C2768 &amp; "'!" &amp; H2768, H2768), "")</f>
        <v>0</v>
      </c>
    </row>
    <row r="2769" spans="2:2">
      <c r="B2769" s="21">
        <f>IF(AND(C2769&lt;&gt;"", H2769&lt;&gt;""), HYPERLINK("#'" &amp; C2769 &amp; "'!" &amp; H2769, H2769), "")</f>
        <v>0</v>
      </c>
    </row>
    <row r="2770" spans="2:2">
      <c r="B2770" s="21">
        <f>IF(AND(C2770&lt;&gt;"", H2770&lt;&gt;""), HYPERLINK("#'" &amp; C2770 &amp; "'!" &amp; H2770, H2770), "")</f>
        <v>0</v>
      </c>
    </row>
    <row r="2771" spans="2:2">
      <c r="B2771" s="21">
        <f>IF(AND(C2771&lt;&gt;"", H2771&lt;&gt;""), HYPERLINK("#'" &amp; C2771 &amp; "'!" &amp; H2771, H2771), "")</f>
        <v>0</v>
      </c>
    </row>
    <row r="2772" spans="2:2">
      <c r="B2772" s="21">
        <f>IF(AND(C2772&lt;&gt;"", H2772&lt;&gt;""), HYPERLINK("#'" &amp; C2772 &amp; "'!" &amp; H2772, H2772), "")</f>
        <v>0</v>
      </c>
    </row>
    <row r="2773" spans="2:2">
      <c r="B2773" s="21">
        <f>IF(AND(C2773&lt;&gt;"", H2773&lt;&gt;""), HYPERLINK("#'" &amp; C2773 &amp; "'!" &amp; H2773, H2773), "")</f>
        <v>0</v>
      </c>
    </row>
    <row r="2774" spans="2:2">
      <c r="B2774" s="21">
        <f>IF(AND(C2774&lt;&gt;"", H2774&lt;&gt;""), HYPERLINK("#'" &amp; C2774 &amp; "'!" &amp; H2774, H2774), "")</f>
        <v>0</v>
      </c>
    </row>
    <row r="2775" spans="2:2">
      <c r="B2775" s="21">
        <f>IF(AND(C2775&lt;&gt;"", H2775&lt;&gt;""), HYPERLINK("#'" &amp; C2775 &amp; "'!" &amp; H2775, H2775), "")</f>
        <v>0</v>
      </c>
    </row>
    <row r="2776" spans="2:2">
      <c r="B2776" s="21">
        <f>IF(AND(C2776&lt;&gt;"", H2776&lt;&gt;""), HYPERLINK("#'" &amp; C2776 &amp; "'!" &amp; H2776, H2776), "")</f>
        <v>0</v>
      </c>
    </row>
    <row r="2777" spans="2:2">
      <c r="B2777" s="21">
        <f>IF(AND(C2777&lt;&gt;"", H2777&lt;&gt;""), HYPERLINK("#'" &amp; C2777 &amp; "'!" &amp; H2777, H2777), "")</f>
        <v>0</v>
      </c>
    </row>
    <row r="2778" spans="2:2">
      <c r="B2778" s="21">
        <f>IF(AND(C2778&lt;&gt;"", H2778&lt;&gt;""), HYPERLINK("#'" &amp; C2778 &amp; "'!" &amp; H2778, H2778), "")</f>
        <v>0</v>
      </c>
    </row>
    <row r="2779" spans="2:2">
      <c r="B2779" s="21">
        <f>IF(AND(C2779&lt;&gt;"", H2779&lt;&gt;""), HYPERLINK("#'" &amp; C2779 &amp; "'!" &amp; H2779, H2779), "")</f>
        <v>0</v>
      </c>
    </row>
    <row r="2780" spans="2:2">
      <c r="B2780" s="21">
        <f>IF(AND(C2780&lt;&gt;"", H2780&lt;&gt;""), HYPERLINK("#'" &amp; C2780 &amp; "'!" &amp; H2780, H2780), "")</f>
        <v>0</v>
      </c>
    </row>
    <row r="2781" spans="2:2">
      <c r="B2781" s="21">
        <f>IF(AND(C2781&lt;&gt;"", H2781&lt;&gt;""), HYPERLINK("#'" &amp; C2781 &amp; "'!" &amp; H2781, H2781), "")</f>
        <v>0</v>
      </c>
    </row>
    <row r="2782" spans="2:2">
      <c r="B2782" s="21">
        <f>IF(AND(C2782&lt;&gt;"", H2782&lt;&gt;""), HYPERLINK("#'" &amp; C2782 &amp; "'!" &amp; H2782, H2782), "")</f>
        <v>0</v>
      </c>
    </row>
    <row r="2783" spans="2:2">
      <c r="B2783" s="21">
        <f>IF(AND(C2783&lt;&gt;"", H2783&lt;&gt;""), HYPERLINK("#'" &amp; C2783 &amp; "'!" &amp; H2783, H2783), "")</f>
        <v>0</v>
      </c>
    </row>
    <row r="2784" spans="2:2">
      <c r="B2784" s="21">
        <f>IF(AND(C2784&lt;&gt;"", H2784&lt;&gt;""), HYPERLINK("#'" &amp; C2784 &amp; "'!" &amp; H2784, H2784), "")</f>
        <v>0</v>
      </c>
    </row>
    <row r="2785" spans="2:2">
      <c r="B2785" s="21">
        <f>IF(AND(C2785&lt;&gt;"", H2785&lt;&gt;""), HYPERLINK("#'" &amp; C2785 &amp; "'!" &amp; H2785, H2785), "")</f>
        <v>0</v>
      </c>
    </row>
    <row r="2786" spans="2:2">
      <c r="B2786" s="21">
        <f>IF(AND(C2786&lt;&gt;"", H2786&lt;&gt;""), HYPERLINK("#'" &amp; C2786 &amp; "'!" &amp; H2786, H2786), "")</f>
        <v>0</v>
      </c>
    </row>
    <row r="2787" spans="2:2">
      <c r="B2787" s="21">
        <f>IF(AND(C2787&lt;&gt;"", H2787&lt;&gt;""), HYPERLINK("#'" &amp; C2787 &amp; "'!" &amp; H2787, H2787), "")</f>
        <v>0</v>
      </c>
    </row>
    <row r="2788" spans="2:2">
      <c r="B2788" s="21">
        <f>IF(AND(C2788&lt;&gt;"", H2788&lt;&gt;""), HYPERLINK("#'" &amp; C2788 &amp; "'!" &amp; H2788, H2788), "")</f>
        <v>0</v>
      </c>
    </row>
    <row r="2789" spans="2:2">
      <c r="B2789" s="21">
        <f>IF(AND(C2789&lt;&gt;"", H2789&lt;&gt;""), HYPERLINK("#'" &amp; C2789 &amp; "'!" &amp; H2789, H2789), "")</f>
        <v>0</v>
      </c>
    </row>
    <row r="2790" spans="2:2">
      <c r="B2790" s="21">
        <f>IF(AND(C2790&lt;&gt;"", H2790&lt;&gt;""), HYPERLINK("#'" &amp; C2790 &amp; "'!" &amp; H2790, H2790), "")</f>
        <v>0</v>
      </c>
    </row>
    <row r="2791" spans="2:2">
      <c r="B2791" s="21">
        <f>IF(AND(C2791&lt;&gt;"", H2791&lt;&gt;""), HYPERLINK("#'" &amp; C2791 &amp; "'!" &amp; H2791, H2791), "")</f>
        <v>0</v>
      </c>
    </row>
    <row r="2792" spans="2:2">
      <c r="B2792" s="21">
        <f>IF(AND(C2792&lt;&gt;"", H2792&lt;&gt;""), HYPERLINK("#'" &amp; C2792 &amp; "'!" &amp; H2792, H2792), "")</f>
        <v>0</v>
      </c>
    </row>
    <row r="2793" spans="2:2">
      <c r="B2793" s="21">
        <f>IF(AND(C2793&lt;&gt;"", H2793&lt;&gt;""), HYPERLINK("#'" &amp; C2793 &amp; "'!" &amp; H2793, H2793), "")</f>
        <v>0</v>
      </c>
    </row>
    <row r="2794" spans="2:2">
      <c r="B2794" s="21">
        <f>IF(AND(C2794&lt;&gt;"", H2794&lt;&gt;""), HYPERLINK("#'" &amp; C2794 &amp; "'!" &amp; H2794, H2794), "")</f>
        <v>0</v>
      </c>
    </row>
    <row r="2795" spans="2:2">
      <c r="B2795" s="21">
        <f>IF(AND(C2795&lt;&gt;"", H2795&lt;&gt;""), HYPERLINK("#'" &amp; C2795 &amp; "'!" &amp; H2795, H2795), "")</f>
        <v>0</v>
      </c>
    </row>
    <row r="2796" spans="2:2">
      <c r="B2796" s="21">
        <f>IF(AND(C2796&lt;&gt;"", H2796&lt;&gt;""), HYPERLINK("#'" &amp; C2796 &amp; "'!" &amp; H2796, H2796), "")</f>
        <v>0</v>
      </c>
    </row>
    <row r="2797" spans="2:2">
      <c r="B2797" s="21">
        <f>IF(AND(C2797&lt;&gt;"", H2797&lt;&gt;""), HYPERLINK("#'" &amp; C2797 &amp; "'!" &amp; H2797, H2797), "")</f>
        <v>0</v>
      </c>
    </row>
    <row r="2798" spans="2:2">
      <c r="B2798" s="21">
        <f>IF(AND(C2798&lt;&gt;"", H2798&lt;&gt;""), HYPERLINK("#'" &amp; C2798 &amp; "'!" &amp; H2798, H2798), "")</f>
        <v>0</v>
      </c>
    </row>
    <row r="2799" spans="2:2">
      <c r="B2799" s="21">
        <f>IF(AND(C2799&lt;&gt;"", H2799&lt;&gt;""), HYPERLINK("#'" &amp; C2799 &amp; "'!" &amp; H2799, H2799), "")</f>
        <v>0</v>
      </c>
    </row>
    <row r="2800" spans="2:2">
      <c r="B2800" s="21">
        <f>IF(AND(C2800&lt;&gt;"", H2800&lt;&gt;""), HYPERLINK("#'" &amp; C2800 &amp; "'!" &amp; H2800, H2800), "")</f>
        <v>0</v>
      </c>
    </row>
    <row r="2801" spans="2:2">
      <c r="B2801" s="21">
        <f>IF(AND(C2801&lt;&gt;"", H2801&lt;&gt;""), HYPERLINK("#'" &amp; C2801 &amp; "'!" &amp; H2801, H2801), "")</f>
        <v>0</v>
      </c>
    </row>
    <row r="2802" spans="2:2">
      <c r="B2802" s="21">
        <f>IF(AND(C2802&lt;&gt;"", H2802&lt;&gt;""), HYPERLINK("#'" &amp; C2802 &amp; "'!" &amp; H2802, H2802), "")</f>
        <v>0</v>
      </c>
    </row>
    <row r="2803" spans="2:2">
      <c r="B2803" s="21">
        <f>IF(AND(C2803&lt;&gt;"", H2803&lt;&gt;""), HYPERLINK("#'" &amp; C2803 &amp; "'!" &amp; H2803, H2803), "")</f>
        <v>0</v>
      </c>
    </row>
    <row r="2804" spans="2:2">
      <c r="B2804" s="21">
        <f>IF(AND(C2804&lt;&gt;"", H2804&lt;&gt;""), HYPERLINK("#'" &amp; C2804 &amp; "'!" &amp; H2804, H2804), "")</f>
        <v>0</v>
      </c>
    </row>
    <row r="2805" spans="2:2">
      <c r="B2805" s="21">
        <f>IF(AND(C2805&lt;&gt;"", H2805&lt;&gt;""), HYPERLINK("#'" &amp; C2805 &amp; "'!" &amp; H2805, H2805), "")</f>
        <v>0</v>
      </c>
    </row>
    <row r="2806" spans="2:2">
      <c r="B2806" s="21">
        <f>IF(AND(C2806&lt;&gt;"", H2806&lt;&gt;""), HYPERLINK("#'" &amp; C2806 &amp; "'!" &amp; H2806, H2806), "")</f>
        <v>0</v>
      </c>
    </row>
    <row r="2807" spans="2:2">
      <c r="B2807" s="21">
        <f>IF(AND(C2807&lt;&gt;"", H2807&lt;&gt;""), HYPERLINK("#'" &amp; C2807 &amp; "'!" &amp; H2807, H2807), "")</f>
        <v>0</v>
      </c>
    </row>
    <row r="2808" spans="2:2">
      <c r="B2808" s="21">
        <f>IF(AND(C2808&lt;&gt;"", H2808&lt;&gt;""), HYPERLINK("#'" &amp; C2808 &amp; "'!" &amp; H2808, H2808), "")</f>
        <v>0</v>
      </c>
    </row>
    <row r="2809" spans="2:2">
      <c r="B2809" s="21">
        <f>IF(AND(C2809&lt;&gt;"", H2809&lt;&gt;""), HYPERLINK("#'" &amp; C2809 &amp; "'!" &amp; H2809, H2809), "")</f>
        <v>0</v>
      </c>
    </row>
    <row r="2810" spans="2:2">
      <c r="B2810" s="21">
        <f>IF(AND(C2810&lt;&gt;"", H2810&lt;&gt;""), HYPERLINK("#'" &amp; C2810 &amp; "'!" &amp; H2810, H2810), "")</f>
        <v>0</v>
      </c>
    </row>
    <row r="2811" spans="2:2">
      <c r="B2811" s="21">
        <f>IF(AND(C2811&lt;&gt;"", H2811&lt;&gt;""), HYPERLINK("#'" &amp; C2811 &amp; "'!" &amp; H2811, H2811), "")</f>
        <v>0</v>
      </c>
    </row>
    <row r="2812" spans="2:2">
      <c r="B2812" s="21">
        <f>IF(AND(C2812&lt;&gt;"", H2812&lt;&gt;""), HYPERLINK("#'" &amp; C2812 &amp; "'!" &amp; H2812, H2812), "")</f>
        <v>0</v>
      </c>
    </row>
    <row r="2813" spans="2:2">
      <c r="B2813" s="21">
        <f>IF(AND(C2813&lt;&gt;"", H2813&lt;&gt;""), HYPERLINK("#'" &amp; C2813 &amp; "'!" &amp; H2813, H2813), "")</f>
        <v>0</v>
      </c>
    </row>
    <row r="2814" spans="2:2">
      <c r="B2814" s="21">
        <f>IF(AND(C2814&lt;&gt;"", H2814&lt;&gt;""), HYPERLINK("#'" &amp; C2814 &amp; "'!" &amp; H2814, H2814), "")</f>
        <v>0</v>
      </c>
    </row>
    <row r="2815" spans="2:2">
      <c r="B2815" s="21">
        <f>IF(AND(C2815&lt;&gt;"", H2815&lt;&gt;""), HYPERLINK("#'" &amp; C2815 &amp; "'!" &amp; H2815, H2815), "")</f>
        <v>0</v>
      </c>
    </row>
    <row r="2816" spans="2:2">
      <c r="B2816" s="21">
        <f>IF(AND(C2816&lt;&gt;"", H2816&lt;&gt;""), HYPERLINK("#'" &amp; C2816 &amp; "'!" &amp; H2816, H2816), "")</f>
        <v>0</v>
      </c>
    </row>
    <row r="2817" spans="2:2">
      <c r="B2817" s="21">
        <f>IF(AND(C2817&lt;&gt;"", H2817&lt;&gt;""), HYPERLINK("#'" &amp; C2817 &amp; "'!" &amp; H2817, H2817), "")</f>
        <v>0</v>
      </c>
    </row>
    <row r="2818" spans="2:2">
      <c r="B2818" s="21">
        <f>IF(AND(C2818&lt;&gt;"", H2818&lt;&gt;""), HYPERLINK("#'" &amp; C2818 &amp; "'!" &amp; H2818, H2818), "")</f>
        <v>0</v>
      </c>
    </row>
    <row r="2819" spans="2:2">
      <c r="B2819" s="21">
        <f>IF(AND(C2819&lt;&gt;"", H2819&lt;&gt;""), HYPERLINK("#'" &amp; C2819 &amp; "'!" &amp; H2819, H2819), "")</f>
        <v>0</v>
      </c>
    </row>
    <row r="2820" spans="2:2">
      <c r="B2820" s="21">
        <f>IF(AND(C2820&lt;&gt;"", H2820&lt;&gt;""), HYPERLINK("#'" &amp; C2820 &amp; "'!" &amp; H2820, H2820), "")</f>
        <v>0</v>
      </c>
    </row>
    <row r="2821" spans="2:2">
      <c r="B2821" s="21">
        <f>IF(AND(C2821&lt;&gt;"", H2821&lt;&gt;""), HYPERLINK("#'" &amp; C2821 &amp; "'!" &amp; H2821, H2821), "")</f>
        <v>0</v>
      </c>
    </row>
    <row r="2822" spans="2:2">
      <c r="B2822" s="21">
        <f>IF(AND(C2822&lt;&gt;"", H2822&lt;&gt;""), HYPERLINK("#'" &amp; C2822 &amp; "'!" &amp; H2822, H2822), "")</f>
        <v>0</v>
      </c>
    </row>
    <row r="2823" spans="2:2">
      <c r="B2823" s="21">
        <f>IF(AND(C2823&lt;&gt;"", H2823&lt;&gt;""), HYPERLINK("#'" &amp; C2823 &amp; "'!" &amp; H2823, H2823), "")</f>
        <v>0</v>
      </c>
    </row>
    <row r="2824" spans="2:2">
      <c r="B2824" s="21">
        <f>IF(AND(C2824&lt;&gt;"", H2824&lt;&gt;""), HYPERLINK("#'" &amp; C2824 &amp; "'!" &amp; H2824, H2824), "")</f>
        <v>0</v>
      </c>
    </row>
    <row r="2825" spans="2:2">
      <c r="B2825" s="21">
        <f>IF(AND(C2825&lt;&gt;"", H2825&lt;&gt;""), HYPERLINK("#'" &amp; C2825 &amp; "'!" &amp; H2825, H2825), "")</f>
        <v>0</v>
      </c>
    </row>
    <row r="2826" spans="2:2">
      <c r="B2826" s="21">
        <f>IF(AND(C2826&lt;&gt;"", H2826&lt;&gt;""), HYPERLINK("#'" &amp; C2826 &amp; "'!" &amp; H2826, H2826), "")</f>
        <v>0</v>
      </c>
    </row>
    <row r="2827" spans="2:2">
      <c r="B2827" s="21">
        <f>IF(AND(C2827&lt;&gt;"", H2827&lt;&gt;""), HYPERLINK("#'" &amp; C2827 &amp; "'!" &amp; H2827, H2827), "")</f>
        <v>0</v>
      </c>
    </row>
    <row r="2828" spans="2:2">
      <c r="B2828" s="21">
        <f>IF(AND(C2828&lt;&gt;"", H2828&lt;&gt;""), HYPERLINK("#'" &amp; C2828 &amp; "'!" &amp; H2828, H2828), "")</f>
        <v>0</v>
      </c>
    </row>
    <row r="2829" spans="2:2">
      <c r="B2829" s="21">
        <f>IF(AND(C2829&lt;&gt;"", H2829&lt;&gt;""), HYPERLINK("#'" &amp; C2829 &amp; "'!" &amp; H2829, H2829), "")</f>
        <v>0</v>
      </c>
    </row>
    <row r="2830" spans="2:2">
      <c r="B2830" s="21">
        <f>IF(AND(C2830&lt;&gt;"", H2830&lt;&gt;""), HYPERLINK("#'" &amp; C2830 &amp; "'!" &amp; H2830, H2830), "")</f>
        <v>0</v>
      </c>
    </row>
    <row r="2831" spans="2:2">
      <c r="B2831" s="21">
        <f>IF(AND(C2831&lt;&gt;"", H2831&lt;&gt;""), HYPERLINK("#'" &amp; C2831 &amp; "'!" &amp; H2831, H2831), "")</f>
        <v>0</v>
      </c>
    </row>
    <row r="2832" spans="2:2">
      <c r="B2832" s="21">
        <f>IF(AND(C2832&lt;&gt;"", H2832&lt;&gt;""), HYPERLINK("#'" &amp; C2832 &amp; "'!" &amp; H2832, H2832), "")</f>
        <v>0</v>
      </c>
    </row>
    <row r="2833" spans="2:2">
      <c r="B2833" s="21">
        <f>IF(AND(C2833&lt;&gt;"", H2833&lt;&gt;""), HYPERLINK("#'" &amp; C2833 &amp; "'!" &amp; H2833, H2833), "")</f>
        <v>0</v>
      </c>
    </row>
    <row r="2834" spans="2:2">
      <c r="B2834" s="21">
        <f>IF(AND(C2834&lt;&gt;"", H2834&lt;&gt;""), HYPERLINK("#'" &amp; C2834 &amp; "'!" &amp; H2834, H2834), "")</f>
        <v>0</v>
      </c>
    </row>
    <row r="2835" spans="2:2">
      <c r="B2835" s="21">
        <f>IF(AND(C2835&lt;&gt;"", H2835&lt;&gt;""), HYPERLINK("#'" &amp; C2835 &amp; "'!" &amp; H2835, H2835), "")</f>
        <v>0</v>
      </c>
    </row>
    <row r="2836" spans="2:2">
      <c r="B2836" s="21">
        <f>IF(AND(C2836&lt;&gt;"", H2836&lt;&gt;""), HYPERLINK("#'" &amp; C2836 &amp; "'!" &amp; H2836, H2836), "")</f>
        <v>0</v>
      </c>
    </row>
    <row r="2837" spans="2:2">
      <c r="B2837" s="21">
        <f>IF(AND(C2837&lt;&gt;"", H2837&lt;&gt;""), HYPERLINK("#'" &amp; C2837 &amp; "'!" &amp; H2837, H2837), "")</f>
        <v>0</v>
      </c>
    </row>
    <row r="2838" spans="2:2">
      <c r="B2838" s="21">
        <f>IF(AND(C2838&lt;&gt;"", H2838&lt;&gt;""), HYPERLINK("#'" &amp; C2838 &amp; "'!" &amp; H2838, H2838), "")</f>
        <v>0</v>
      </c>
    </row>
    <row r="2839" spans="2:2">
      <c r="B2839" s="21">
        <f>IF(AND(C2839&lt;&gt;"", H2839&lt;&gt;""), HYPERLINK("#'" &amp; C2839 &amp; "'!" &amp; H2839, H2839), "")</f>
        <v>0</v>
      </c>
    </row>
    <row r="2840" spans="2:2">
      <c r="B2840" s="21">
        <f>IF(AND(C2840&lt;&gt;"", H2840&lt;&gt;""), HYPERLINK("#'" &amp; C2840 &amp; "'!" &amp; H2840, H2840), "")</f>
        <v>0</v>
      </c>
    </row>
    <row r="2841" spans="2:2">
      <c r="B2841" s="21">
        <f>IF(AND(C2841&lt;&gt;"", H2841&lt;&gt;""), HYPERLINK("#'" &amp; C2841 &amp; "'!" &amp; H2841, H2841), "")</f>
        <v>0</v>
      </c>
    </row>
    <row r="2842" spans="2:2">
      <c r="B2842" s="21">
        <f>IF(AND(C2842&lt;&gt;"", H2842&lt;&gt;""), HYPERLINK("#'" &amp; C2842 &amp; "'!" &amp; H2842, H2842), "")</f>
        <v>0</v>
      </c>
    </row>
    <row r="2843" spans="2:2">
      <c r="B2843" s="21">
        <f>IF(AND(C2843&lt;&gt;"", H2843&lt;&gt;""), HYPERLINK("#'" &amp; C2843 &amp; "'!" &amp; H2843, H2843), "")</f>
        <v>0</v>
      </c>
    </row>
    <row r="2844" spans="2:2">
      <c r="B2844" s="21">
        <f>IF(AND(C2844&lt;&gt;"", H2844&lt;&gt;""), HYPERLINK("#'" &amp; C2844 &amp; "'!" &amp; H2844, H2844), "")</f>
        <v>0</v>
      </c>
    </row>
    <row r="2845" spans="2:2">
      <c r="B2845" s="21">
        <f>IF(AND(C2845&lt;&gt;"", H2845&lt;&gt;""), HYPERLINK("#'" &amp; C2845 &amp; "'!" &amp; H2845, H2845), "")</f>
        <v>0</v>
      </c>
    </row>
    <row r="2846" spans="2:2">
      <c r="B2846" s="21">
        <f>IF(AND(C2846&lt;&gt;"", H2846&lt;&gt;""), HYPERLINK("#'" &amp; C2846 &amp; "'!" &amp; H2846, H2846), "")</f>
        <v>0</v>
      </c>
    </row>
    <row r="2847" spans="2:2">
      <c r="B2847" s="21">
        <f>IF(AND(C2847&lt;&gt;"", H2847&lt;&gt;""), HYPERLINK("#'" &amp; C2847 &amp; "'!" &amp; H2847, H2847), "")</f>
        <v>0</v>
      </c>
    </row>
    <row r="2848" spans="2:2">
      <c r="B2848" s="21">
        <f>IF(AND(C2848&lt;&gt;"", H2848&lt;&gt;""), HYPERLINK("#'" &amp; C2848 &amp; "'!" &amp; H2848, H2848), "")</f>
        <v>0</v>
      </c>
    </row>
    <row r="2849" spans="2:2">
      <c r="B2849" s="21">
        <f>IF(AND(C2849&lt;&gt;"", H2849&lt;&gt;""), HYPERLINK("#'" &amp; C2849 &amp; "'!" &amp; H2849, H2849), "")</f>
        <v>0</v>
      </c>
    </row>
    <row r="2850" spans="2:2">
      <c r="B2850" s="21">
        <f>IF(AND(C2850&lt;&gt;"", H2850&lt;&gt;""), HYPERLINK("#'" &amp; C2850 &amp; "'!" &amp; H2850, H2850), "")</f>
        <v>0</v>
      </c>
    </row>
    <row r="2851" spans="2:2">
      <c r="B2851" s="21">
        <f>IF(AND(C2851&lt;&gt;"", H2851&lt;&gt;""), HYPERLINK("#'" &amp; C2851 &amp; "'!" &amp; H2851, H2851), "")</f>
        <v>0</v>
      </c>
    </row>
    <row r="2852" spans="2:2">
      <c r="B2852" s="21">
        <f>IF(AND(C2852&lt;&gt;"", H2852&lt;&gt;""), HYPERLINK("#'" &amp; C2852 &amp; "'!" &amp; H2852, H2852), "")</f>
        <v>0</v>
      </c>
    </row>
    <row r="2853" spans="2:2">
      <c r="B2853" s="21">
        <f>IF(AND(C2853&lt;&gt;"", H2853&lt;&gt;""), HYPERLINK("#'" &amp; C2853 &amp; "'!" &amp; H2853, H2853), "")</f>
        <v>0</v>
      </c>
    </row>
    <row r="2854" spans="2:2">
      <c r="B2854" s="21">
        <f>IF(AND(C2854&lt;&gt;"", H2854&lt;&gt;""), HYPERLINK("#'" &amp; C2854 &amp; "'!" &amp; H2854, H2854), "")</f>
        <v>0</v>
      </c>
    </row>
    <row r="2855" spans="2:2">
      <c r="B2855" s="21">
        <f>IF(AND(C2855&lt;&gt;"", H2855&lt;&gt;""), HYPERLINK("#'" &amp; C2855 &amp; "'!" &amp; H2855, H2855), "")</f>
        <v>0</v>
      </c>
    </row>
    <row r="2856" spans="2:2">
      <c r="B2856" s="21">
        <f>IF(AND(C2856&lt;&gt;"", H2856&lt;&gt;""), HYPERLINK("#'" &amp; C2856 &amp; "'!" &amp; H2856, H2856), "")</f>
        <v>0</v>
      </c>
    </row>
    <row r="2857" spans="2:2">
      <c r="B2857" s="21">
        <f>IF(AND(C2857&lt;&gt;"", H2857&lt;&gt;""), HYPERLINK("#'" &amp; C2857 &amp; "'!" &amp; H2857, H2857), "")</f>
        <v>0</v>
      </c>
    </row>
    <row r="2858" spans="2:2">
      <c r="B2858" s="21">
        <f>IF(AND(C2858&lt;&gt;"", H2858&lt;&gt;""), HYPERLINK("#'" &amp; C2858 &amp; "'!" &amp; H2858, H2858), "")</f>
        <v>0</v>
      </c>
    </row>
    <row r="2859" spans="2:2">
      <c r="B2859" s="21">
        <f>IF(AND(C2859&lt;&gt;"", H2859&lt;&gt;""), HYPERLINK("#'" &amp; C2859 &amp; "'!" &amp; H2859, H2859), "")</f>
        <v>0</v>
      </c>
    </row>
    <row r="2860" spans="2:2">
      <c r="B2860" s="21">
        <f>IF(AND(C2860&lt;&gt;"", H2860&lt;&gt;""), HYPERLINK("#'" &amp; C2860 &amp; "'!" &amp; H2860, H2860), "")</f>
        <v>0</v>
      </c>
    </row>
    <row r="2861" spans="2:2">
      <c r="B2861" s="21">
        <f>IF(AND(C2861&lt;&gt;"", H2861&lt;&gt;""), HYPERLINK("#'" &amp; C2861 &amp; "'!" &amp; H2861, H2861), "")</f>
        <v>0</v>
      </c>
    </row>
    <row r="2862" spans="2:2">
      <c r="B2862" s="21">
        <f>IF(AND(C2862&lt;&gt;"", H2862&lt;&gt;""), HYPERLINK("#'" &amp; C2862 &amp; "'!" &amp; H2862, H2862), "")</f>
        <v>0</v>
      </c>
    </row>
    <row r="2863" spans="2:2">
      <c r="B2863" s="21">
        <f>IF(AND(C2863&lt;&gt;"", H2863&lt;&gt;""), HYPERLINK("#'" &amp; C2863 &amp; "'!" &amp; H2863, H2863), "")</f>
        <v>0</v>
      </c>
    </row>
    <row r="2864" spans="2:2">
      <c r="B2864" s="21">
        <f>IF(AND(C2864&lt;&gt;"", H2864&lt;&gt;""), HYPERLINK("#'" &amp; C2864 &amp; "'!" &amp; H2864, H2864), "")</f>
        <v>0</v>
      </c>
    </row>
    <row r="2865" spans="2:2">
      <c r="B2865" s="21">
        <f>IF(AND(C2865&lt;&gt;"", H2865&lt;&gt;""), HYPERLINK("#'" &amp; C2865 &amp; "'!" &amp; H2865, H2865), "")</f>
        <v>0</v>
      </c>
    </row>
    <row r="2866" spans="2:2">
      <c r="B2866" s="21">
        <f>IF(AND(C2866&lt;&gt;"", H2866&lt;&gt;""), HYPERLINK("#'" &amp; C2866 &amp; "'!" &amp; H2866, H2866), "")</f>
        <v>0</v>
      </c>
    </row>
    <row r="2867" spans="2:2">
      <c r="B2867" s="21">
        <f>IF(AND(C2867&lt;&gt;"", H2867&lt;&gt;""), HYPERLINK("#'" &amp; C2867 &amp; "'!" &amp; H2867, H2867), "")</f>
        <v>0</v>
      </c>
    </row>
    <row r="2868" spans="2:2">
      <c r="B2868" s="21">
        <f>IF(AND(C2868&lt;&gt;"", H2868&lt;&gt;""), HYPERLINK("#'" &amp; C2868 &amp; "'!" &amp; H2868, H2868), "")</f>
        <v>0</v>
      </c>
    </row>
    <row r="2869" spans="2:2">
      <c r="B2869" s="21">
        <f>IF(AND(C2869&lt;&gt;"", H2869&lt;&gt;""), HYPERLINK("#'" &amp; C2869 &amp; "'!" &amp; H2869, H2869), "")</f>
        <v>0</v>
      </c>
    </row>
    <row r="2870" spans="2:2">
      <c r="B2870" s="21">
        <f>IF(AND(C2870&lt;&gt;"", H2870&lt;&gt;""), HYPERLINK("#'" &amp; C2870 &amp; "'!" &amp; H2870, H2870), "")</f>
        <v>0</v>
      </c>
    </row>
    <row r="2871" spans="2:2">
      <c r="B2871" s="21">
        <f>IF(AND(C2871&lt;&gt;"", H2871&lt;&gt;""), HYPERLINK("#'" &amp; C2871 &amp; "'!" &amp; H2871, H2871), "")</f>
        <v>0</v>
      </c>
    </row>
    <row r="2872" spans="2:2">
      <c r="B2872" s="21">
        <f>IF(AND(C2872&lt;&gt;"", H2872&lt;&gt;""), HYPERLINK("#'" &amp; C2872 &amp; "'!" &amp; H2872, H2872), "")</f>
        <v>0</v>
      </c>
    </row>
    <row r="2873" spans="2:2">
      <c r="B2873" s="21">
        <f>IF(AND(C2873&lt;&gt;"", H2873&lt;&gt;""), HYPERLINK("#'" &amp; C2873 &amp; "'!" &amp; H2873, H2873), "")</f>
        <v>0</v>
      </c>
    </row>
    <row r="2874" spans="2:2">
      <c r="B2874" s="21">
        <f>IF(AND(C2874&lt;&gt;"", H2874&lt;&gt;""), HYPERLINK("#'" &amp; C2874 &amp; "'!" &amp; H2874, H2874), "")</f>
        <v>0</v>
      </c>
    </row>
    <row r="2875" spans="2:2">
      <c r="B2875" s="21">
        <f>IF(AND(C2875&lt;&gt;"", H2875&lt;&gt;""), HYPERLINK("#'" &amp; C2875 &amp; "'!" &amp; H2875, H2875), "")</f>
        <v>0</v>
      </c>
    </row>
    <row r="2876" spans="2:2">
      <c r="B2876" s="21">
        <f>IF(AND(C2876&lt;&gt;"", H2876&lt;&gt;""), HYPERLINK("#'" &amp; C2876 &amp; "'!" &amp; H2876, H2876), "")</f>
        <v>0</v>
      </c>
    </row>
    <row r="2877" spans="2:2">
      <c r="B2877" s="21">
        <f>IF(AND(C2877&lt;&gt;"", H2877&lt;&gt;""), HYPERLINK("#'" &amp; C2877 &amp; "'!" &amp; H2877, H2877), "")</f>
        <v>0</v>
      </c>
    </row>
    <row r="2878" spans="2:2">
      <c r="B2878" s="21">
        <f>IF(AND(C2878&lt;&gt;"", H2878&lt;&gt;""), HYPERLINK("#'" &amp; C2878 &amp; "'!" &amp; H2878, H2878), "")</f>
        <v>0</v>
      </c>
    </row>
    <row r="2879" spans="2:2">
      <c r="B2879" s="21">
        <f>IF(AND(C2879&lt;&gt;"", H2879&lt;&gt;""), HYPERLINK("#'" &amp; C2879 &amp; "'!" &amp; H2879, H2879), "")</f>
        <v>0</v>
      </c>
    </row>
    <row r="2880" spans="2:2">
      <c r="B2880" s="21">
        <f>IF(AND(C2880&lt;&gt;"", H2880&lt;&gt;""), HYPERLINK("#'" &amp; C2880 &amp; "'!" &amp; H2880, H2880), "")</f>
        <v>0</v>
      </c>
    </row>
    <row r="2881" spans="2:2">
      <c r="B2881" s="21">
        <f>IF(AND(C2881&lt;&gt;"", H2881&lt;&gt;""), HYPERLINK("#'" &amp; C2881 &amp; "'!" &amp; H2881, H2881), "")</f>
        <v>0</v>
      </c>
    </row>
    <row r="2882" spans="2:2">
      <c r="B2882" s="21">
        <f>IF(AND(C2882&lt;&gt;"", H2882&lt;&gt;""), HYPERLINK("#'" &amp; C2882 &amp; "'!" &amp; H2882, H2882), "")</f>
        <v>0</v>
      </c>
    </row>
    <row r="2883" spans="2:2">
      <c r="B2883" s="21">
        <f>IF(AND(C2883&lt;&gt;"", H2883&lt;&gt;""), HYPERLINK("#'" &amp; C2883 &amp; "'!" &amp; H2883, H2883), "")</f>
        <v>0</v>
      </c>
    </row>
    <row r="2884" spans="2:2">
      <c r="B2884" s="21">
        <f>IF(AND(C2884&lt;&gt;"", H2884&lt;&gt;""), HYPERLINK("#'" &amp; C2884 &amp; "'!" &amp; H2884, H2884), "")</f>
        <v>0</v>
      </c>
    </row>
    <row r="2885" spans="2:2">
      <c r="B2885" s="21">
        <f>IF(AND(C2885&lt;&gt;"", H2885&lt;&gt;""), HYPERLINK("#'" &amp; C2885 &amp; "'!" &amp; H2885, H2885), "")</f>
        <v>0</v>
      </c>
    </row>
    <row r="2886" spans="2:2">
      <c r="B2886" s="21">
        <f>IF(AND(C2886&lt;&gt;"", H2886&lt;&gt;""), HYPERLINK("#'" &amp; C2886 &amp; "'!" &amp; H2886, H2886), "")</f>
        <v>0</v>
      </c>
    </row>
    <row r="2887" spans="2:2">
      <c r="B2887" s="21">
        <f>IF(AND(C2887&lt;&gt;"", H2887&lt;&gt;""), HYPERLINK("#'" &amp; C2887 &amp; "'!" &amp; H2887, H2887), "")</f>
        <v>0</v>
      </c>
    </row>
    <row r="2888" spans="2:2">
      <c r="B2888" s="21">
        <f>IF(AND(C2888&lt;&gt;"", H2888&lt;&gt;""), HYPERLINK("#'" &amp; C2888 &amp; "'!" &amp; H2888, H2888), "")</f>
        <v>0</v>
      </c>
    </row>
    <row r="2889" spans="2:2">
      <c r="B2889" s="21">
        <f>IF(AND(C2889&lt;&gt;"", H2889&lt;&gt;""), HYPERLINK("#'" &amp; C2889 &amp; "'!" &amp; H2889, H2889), "")</f>
        <v>0</v>
      </c>
    </row>
    <row r="2890" spans="2:2">
      <c r="B2890" s="21">
        <f>IF(AND(C2890&lt;&gt;"", H2890&lt;&gt;""), HYPERLINK("#'" &amp; C2890 &amp; "'!" &amp; H2890, H2890), "")</f>
        <v>0</v>
      </c>
    </row>
    <row r="2891" spans="2:2">
      <c r="B2891" s="21">
        <f>IF(AND(C2891&lt;&gt;"", H2891&lt;&gt;""), HYPERLINK("#'" &amp; C2891 &amp; "'!" &amp; H2891, H2891), "")</f>
        <v>0</v>
      </c>
    </row>
    <row r="2892" spans="2:2">
      <c r="B2892" s="21">
        <f>IF(AND(C2892&lt;&gt;"", H2892&lt;&gt;""), HYPERLINK("#'" &amp; C2892 &amp; "'!" &amp; H2892, H2892), "")</f>
        <v>0</v>
      </c>
    </row>
    <row r="2893" spans="2:2">
      <c r="B2893" s="21">
        <f>IF(AND(C2893&lt;&gt;"", H2893&lt;&gt;""), HYPERLINK("#'" &amp; C2893 &amp; "'!" &amp; H2893, H2893), "")</f>
        <v>0</v>
      </c>
    </row>
    <row r="2894" spans="2:2">
      <c r="B2894" s="21">
        <f>IF(AND(C2894&lt;&gt;"", H2894&lt;&gt;""), HYPERLINK("#'" &amp; C2894 &amp; "'!" &amp; H2894, H2894), "")</f>
        <v>0</v>
      </c>
    </row>
    <row r="2895" spans="2:2">
      <c r="B2895" s="21">
        <f>IF(AND(C2895&lt;&gt;"", H2895&lt;&gt;""), HYPERLINK("#'" &amp; C2895 &amp; "'!" &amp; H2895, H2895), "")</f>
        <v>0</v>
      </c>
    </row>
    <row r="2896" spans="2:2">
      <c r="B2896" s="21">
        <f>IF(AND(C2896&lt;&gt;"", H2896&lt;&gt;""), HYPERLINK("#'" &amp; C2896 &amp; "'!" &amp; H2896, H2896), "")</f>
        <v>0</v>
      </c>
    </row>
    <row r="2897" spans="2:2">
      <c r="B2897" s="21">
        <f>IF(AND(C2897&lt;&gt;"", H2897&lt;&gt;""), HYPERLINK("#'" &amp; C2897 &amp; "'!" &amp; H2897, H2897), "")</f>
        <v>0</v>
      </c>
    </row>
    <row r="2898" spans="2:2">
      <c r="B2898" s="21">
        <f>IF(AND(C2898&lt;&gt;"", H2898&lt;&gt;""), HYPERLINK("#'" &amp; C2898 &amp; "'!" &amp; H2898, H2898), "")</f>
        <v>0</v>
      </c>
    </row>
    <row r="2899" spans="2:2">
      <c r="B2899" s="21">
        <f>IF(AND(C2899&lt;&gt;"", H2899&lt;&gt;""), HYPERLINK("#'" &amp; C2899 &amp; "'!" &amp; H2899, H2899), "")</f>
        <v>0</v>
      </c>
    </row>
    <row r="2900" spans="2:2">
      <c r="B2900" s="21">
        <f>IF(AND(C2900&lt;&gt;"", H2900&lt;&gt;""), HYPERLINK("#'" &amp; C2900 &amp; "'!" &amp; H2900, H2900), "")</f>
        <v>0</v>
      </c>
    </row>
    <row r="2901" spans="2:2">
      <c r="B2901" s="21">
        <f>IF(AND(C2901&lt;&gt;"", H2901&lt;&gt;""), HYPERLINK("#'" &amp; C2901 &amp; "'!" &amp; H2901, H2901), "")</f>
        <v>0</v>
      </c>
    </row>
    <row r="2902" spans="2:2">
      <c r="B2902" s="21">
        <f>IF(AND(C2902&lt;&gt;"", H2902&lt;&gt;""), HYPERLINK("#'" &amp; C2902 &amp; "'!" &amp; H2902, H2902), "")</f>
        <v>0</v>
      </c>
    </row>
    <row r="2903" spans="2:2">
      <c r="B2903" s="21">
        <f>IF(AND(C2903&lt;&gt;"", H2903&lt;&gt;""), HYPERLINK("#'" &amp; C2903 &amp; "'!" &amp; H2903, H2903), "")</f>
        <v>0</v>
      </c>
    </row>
    <row r="2904" spans="2:2">
      <c r="B2904" s="21">
        <f>IF(AND(C2904&lt;&gt;"", H2904&lt;&gt;""), HYPERLINK("#'" &amp; C2904 &amp; "'!" &amp; H2904, H2904), "")</f>
        <v>0</v>
      </c>
    </row>
    <row r="2905" spans="2:2">
      <c r="B2905" s="21">
        <f>IF(AND(C2905&lt;&gt;"", H2905&lt;&gt;""), HYPERLINK("#'" &amp; C2905 &amp; "'!" &amp; H2905, H2905), "")</f>
        <v>0</v>
      </c>
    </row>
    <row r="2906" spans="2:2">
      <c r="B2906" s="21">
        <f>IF(AND(C2906&lt;&gt;"", H2906&lt;&gt;""), HYPERLINK("#'" &amp; C2906 &amp; "'!" &amp; H2906, H2906), "")</f>
        <v>0</v>
      </c>
    </row>
    <row r="2907" spans="2:2">
      <c r="B2907" s="21">
        <f>IF(AND(C2907&lt;&gt;"", H2907&lt;&gt;""), HYPERLINK("#'" &amp; C2907 &amp; "'!" &amp; H2907, H2907), "")</f>
        <v>0</v>
      </c>
    </row>
    <row r="2908" spans="2:2">
      <c r="B2908" s="21">
        <f>IF(AND(C2908&lt;&gt;"", H2908&lt;&gt;""), HYPERLINK("#'" &amp; C2908 &amp; "'!" &amp; H2908, H2908), "")</f>
        <v>0</v>
      </c>
    </row>
    <row r="2909" spans="2:2">
      <c r="B2909" s="21">
        <f>IF(AND(C2909&lt;&gt;"", H2909&lt;&gt;""), HYPERLINK("#'" &amp; C2909 &amp; "'!" &amp; H2909, H2909), "")</f>
        <v>0</v>
      </c>
    </row>
    <row r="2910" spans="2:2">
      <c r="B2910" s="21">
        <f>IF(AND(C2910&lt;&gt;"", H2910&lt;&gt;""), HYPERLINK("#'" &amp; C2910 &amp; "'!" &amp; H2910, H2910), "")</f>
        <v>0</v>
      </c>
    </row>
    <row r="2911" spans="2:2">
      <c r="B2911" s="21">
        <f>IF(AND(C2911&lt;&gt;"", H2911&lt;&gt;""), HYPERLINK("#'" &amp; C2911 &amp; "'!" &amp; H2911, H2911), "")</f>
        <v>0</v>
      </c>
    </row>
    <row r="2912" spans="2:2">
      <c r="B2912" s="21">
        <f>IF(AND(C2912&lt;&gt;"", H2912&lt;&gt;""), HYPERLINK("#'" &amp; C2912 &amp; "'!" &amp; H2912, H2912), "")</f>
        <v>0</v>
      </c>
    </row>
    <row r="2913" spans="2:2">
      <c r="B2913" s="21">
        <f>IF(AND(C2913&lt;&gt;"", H2913&lt;&gt;""), HYPERLINK("#'" &amp; C2913 &amp; "'!" &amp; H2913, H2913), "")</f>
        <v>0</v>
      </c>
    </row>
    <row r="2914" spans="2:2">
      <c r="B2914" s="21">
        <f>IF(AND(C2914&lt;&gt;"", H2914&lt;&gt;""), HYPERLINK("#'" &amp; C2914 &amp; "'!" &amp; H2914, H2914), "")</f>
        <v>0</v>
      </c>
    </row>
    <row r="2915" spans="2:2">
      <c r="B2915" s="21">
        <f>IF(AND(C2915&lt;&gt;"", H2915&lt;&gt;""), HYPERLINK("#'" &amp; C2915 &amp; "'!" &amp; H2915, H2915), "")</f>
        <v>0</v>
      </c>
    </row>
    <row r="2916" spans="2:2">
      <c r="B2916" s="21">
        <f>IF(AND(C2916&lt;&gt;"", H2916&lt;&gt;""), HYPERLINK("#'" &amp; C2916 &amp; "'!" &amp; H2916, H2916), "")</f>
        <v>0</v>
      </c>
    </row>
    <row r="2917" spans="2:2">
      <c r="B2917" s="21">
        <f>IF(AND(C2917&lt;&gt;"", H2917&lt;&gt;""), HYPERLINK("#'" &amp; C2917 &amp; "'!" &amp; H2917, H2917), "")</f>
        <v>0</v>
      </c>
    </row>
    <row r="2918" spans="2:2">
      <c r="B2918" s="21">
        <f>IF(AND(C2918&lt;&gt;"", H2918&lt;&gt;""), HYPERLINK("#'" &amp; C2918 &amp; "'!" &amp; H2918, H2918), "")</f>
        <v>0</v>
      </c>
    </row>
    <row r="2919" spans="2:2">
      <c r="B2919" s="21">
        <f>IF(AND(C2919&lt;&gt;"", H2919&lt;&gt;""), HYPERLINK("#'" &amp; C2919 &amp; "'!" &amp; H2919, H2919), "")</f>
        <v>0</v>
      </c>
    </row>
    <row r="2920" spans="2:2">
      <c r="B2920" s="21">
        <f>IF(AND(C2920&lt;&gt;"", H2920&lt;&gt;""), HYPERLINK("#'" &amp; C2920 &amp; "'!" &amp; H2920, H2920), "")</f>
        <v>0</v>
      </c>
    </row>
    <row r="2921" spans="2:2">
      <c r="B2921" s="21">
        <f>IF(AND(C2921&lt;&gt;"", H2921&lt;&gt;""), HYPERLINK("#'" &amp; C2921 &amp; "'!" &amp; H2921, H2921), "")</f>
        <v>0</v>
      </c>
    </row>
    <row r="2922" spans="2:2">
      <c r="B2922" s="21">
        <f>IF(AND(C2922&lt;&gt;"", H2922&lt;&gt;""), HYPERLINK("#'" &amp; C2922 &amp; "'!" &amp; H2922, H2922), "")</f>
        <v>0</v>
      </c>
    </row>
    <row r="2923" spans="2:2">
      <c r="B2923" s="21">
        <f>IF(AND(C2923&lt;&gt;"", H2923&lt;&gt;""), HYPERLINK("#'" &amp; C2923 &amp; "'!" &amp; H2923, H2923), "")</f>
        <v>0</v>
      </c>
    </row>
    <row r="2924" spans="2:2">
      <c r="B2924" s="21">
        <f>IF(AND(C2924&lt;&gt;"", H2924&lt;&gt;""), HYPERLINK("#'" &amp; C2924 &amp; "'!" &amp; H2924, H2924), "")</f>
        <v>0</v>
      </c>
    </row>
    <row r="2925" spans="2:2">
      <c r="B2925" s="21">
        <f>IF(AND(C2925&lt;&gt;"", H2925&lt;&gt;""), HYPERLINK("#'" &amp; C2925 &amp; "'!" &amp; H2925, H2925), "")</f>
        <v>0</v>
      </c>
    </row>
    <row r="2926" spans="2:2">
      <c r="B2926" s="21">
        <f>IF(AND(C2926&lt;&gt;"", H2926&lt;&gt;""), HYPERLINK("#'" &amp; C2926 &amp; "'!" &amp; H2926, H2926), "")</f>
        <v>0</v>
      </c>
    </row>
    <row r="2927" spans="2:2">
      <c r="B2927" s="21">
        <f>IF(AND(C2927&lt;&gt;"", H2927&lt;&gt;""), HYPERLINK("#'" &amp; C2927 &amp; "'!" &amp; H2927, H2927), "")</f>
        <v>0</v>
      </c>
    </row>
    <row r="2928" spans="2:2">
      <c r="B2928" s="21">
        <f>IF(AND(C2928&lt;&gt;"", H2928&lt;&gt;""), HYPERLINK("#'" &amp; C2928 &amp; "'!" &amp; H2928, H2928), "")</f>
        <v>0</v>
      </c>
    </row>
    <row r="2929" spans="2:2">
      <c r="B2929" s="21">
        <f>IF(AND(C2929&lt;&gt;"", H2929&lt;&gt;""), HYPERLINK("#'" &amp; C2929 &amp; "'!" &amp; H2929, H2929), "")</f>
        <v>0</v>
      </c>
    </row>
    <row r="2930" spans="2:2">
      <c r="B2930" s="21">
        <f>IF(AND(C2930&lt;&gt;"", H2930&lt;&gt;""), HYPERLINK("#'" &amp; C2930 &amp; "'!" &amp; H2930, H2930), "")</f>
        <v>0</v>
      </c>
    </row>
    <row r="2931" spans="2:2">
      <c r="B2931" s="21">
        <f>IF(AND(C2931&lt;&gt;"", H2931&lt;&gt;""), HYPERLINK("#'" &amp; C2931 &amp; "'!" &amp; H2931, H2931), "")</f>
        <v>0</v>
      </c>
    </row>
    <row r="2932" spans="2:2">
      <c r="B2932" s="21">
        <f>IF(AND(C2932&lt;&gt;"", H2932&lt;&gt;""), HYPERLINK("#'" &amp; C2932 &amp; "'!" &amp; H2932, H2932), "")</f>
        <v>0</v>
      </c>
    </row>
    <row r="2933" spans="2:2">
      <c r="B2933" s="21">
        <f>IF(AND(C2933&lt;&gt;"", H2933&lt;&gt;""), HYPERLINK("#'" &amp; C2933 &amp; "'!" &amp; H2933, H2933), "")</f>
        <v>0</v>
      </c>
    </row>
    <row r="2934" spans="2:2">
      <c r="B2934" s="21">
        <f>IF(AND(C2934&lt;&gt;"", H2934&lt;&gt;""), HYPERLINK("#'" &amp; C2934 &amp; "'!" &amp; H2934, H2934), "")</f>
        <v>0</v>
      </c>
    </row>
    <row r="2935" spans="2:2">
      <c r="B2935" s="21">
        <f>IF(AND(C2935&lt;&gt;"", H2935&lt;&gt;""), HYPERLINK("#'" &amp; C2935 &amp; "'!" &amp; H2935, H2935), "")</f>
        <v>0</v>
      </c>
    </row>
    <row r="2936" spans="2:2">
      <c r="B2936" s="21">
        <f>IF(AND(C2936&lt;&gt;"", H2936&lt;&gt;""), HYPERLINK("#'" &amp; C2936 &amp; "'!" &amp; H2936, H2936), "")</f>
        <v>0</v>
      </c>
    </row>
    <row r="2937" spans="2:2">
      <c r="B2937" s="21">
        <f>IF(AND(C2937&lt;&gt;"", H2937&lt;&gt;""), HYPERLINK("#'" &amp; C2937 &amp; "'!" &amp; H2937, H2937), "")</f>
        <v>0</v>
      </c>
    </row>
    <row r="2938" spans="2:2">
      <c r="B2938" s="21">
        <f>IF(AND(C2938&lt;&gt;"", H2938&lt;&gt;""), HYPERLINK("#'" &amp; C2938 &amp; "'!" &amp; H2938, H2938), "")</f>
        <v>0</v>
      </c>
    </row>
    <row r="2939" spans="2:2">
      <c r="B2939" s="21">
        <f>IF(AND(C2939&lt;&gt;"", H2939&lt;&gt;""), HYPERLINK("#'" &amp; C2939 &amp; "'!" &amp; H2939, H2939), "")</f>
        <v>0</v>
      </c>
    </row>
    <row r="2940" spans="2:2">
      <c r="B2940" s="21">
        <f>IF(AND(C2940&lt;&gt;"", H2940&lt;&gt;""), HYPERLINK("#'" &amp; C2940 &amp; "'!" &amp; H2940, H2940), "")</f>
        <v>0</v>
      </c>
    </row>
    <row r="2941" spans="2:2">
      <c r="B2941" s="21">
        <f>IF(AND(C2941&lt;&gt;"", H2941&lt;&gt;""), HYPERLINK("#'" &amp; C2941 &amp; "'!" &amp; H2941, H2941), "")</f>
        <v>0</v>
      </c>
    </row>
    <row r="2942" spans="2:2">
      <c r="B2942" s="21">
        <f>IF(AND(C2942&lt;&gt;"", H2942&lt;&gt;""), HYPERLINK("#'" &amp; C2942 &amp; "'!" &amp; H2942, H2942), "")</f>
        <v>0</v>
      </c>
    </row>
    <row r="2943" spans="2:2">
      <c r="B2943" s="21">
        <f>IF(AND(C2943&lt;&gt;"", H2943&lt;&gt;""), HYPERLINK("#'" &amp; C2943 &amp; "'!" &amp; H2943, H2943), "")</f>
        <v>0</v>
      </c>
    </row>
    <row r="2944" spans="2:2">
      <c r="B2944" s="21">
        <f>IF(AND(C2944&lt;&gt;"", H2944&lt;&gt;""), HYPERLINK("#'" &amp; C2944 &amp; "'!" &amp; H2944, H2944), "")</f>
        <v>0</v>
      </c>
    </row>
    <row r="2945" spans="2:2">
      <c r="B2945" s="21">
        <f>IF(AND(C2945&lt;&gt;"", H2945&lt;&gt;""), HYPERLINK("#'" &amp; C2945 &amp; "'!" &amp; H2945, H2945), "")</f>
        <v>0</v>
      </c>
    </row>
    <row r="2946" spans="2:2">
      <c r="B2946" s="21">
        <f>IF(AND(C2946&lt;&gt;"", H2946&lt;&gt;""), HYPERLINK("#'" &amp; C2946 &amp; "'!" &amp; H2946, H2946), "")</f>
        <v>0</v>
      </c>
    </row>
    <row r="2947" spans="2:2">
      <c r="B2947" s="21">
        <f>IF(AND(C2947&lt;&gt;"", H2947&lt;&gt;""), HYPERLINK("#'" &amp; C2947 &amp; "'!" &amp; H2947, H2947), "")</f>
        <v>0</v>
      </c>
    </row>
    <row r="2948" spans="2:2">
      <c r="B2948" s="21">
        <f>IF(AND(C2948&lt;&gt;"", H2948&lt;&gt;""), HYPERLINK("#'" &amp; C2948 &amp; "'!" &amp; H2948, H2948), "")</f>
        <v>0</v>
      </c>
    </row>
    <row r="2949" spans="2:2">
      <c r="B2949" s="21">
        <f>IF(AND(C2949&lt;&gt;"", H2949&lt;&gt;""), HYPERLINK("#'" &amp; C2949 &amp; "'!" &amp; H2949, H2949), "")</f>
        <v>0</v>
      </c>
    </row>
    <row r="2950" spans="2:2">
      <c r="B2950" s="21">
        <f>IF(AND(C2950&lt;&gt;"", H2950&lt;&gt;""), HYPERLINK("#'" &amp; C2950 &amp; "'!" &amp; H2950, H2950), "")</f>
        <v>0</v>
      </c>
    </row>
    <row r="2951" spans="2:2">
      <c r="B2951" s="21">
        <f>IF(AND(C2951&lt;&gt;"", H2951&lt;&gt;""), HYPERLINK("#'" &amp; C2951 &amp; "'!" &amp; H2951, H2951), "")</f>
        <v>0</v>
      </c>
    </row>
    <row r="2952" spans="2:2">
      <c r="B2952" s="21">
        <f>IF(AND(C2952&lt;&gt;"", H2952&lt;&gt;""), HYPERLINK("#'" &amp; C2952 &amp; "'!" &amp; H2952, H2952), "")</f>
        <v>0</v>
      </c>
    </row>
    <row r="2953" spans="2:2">
      <c r="B2953" s="21">
        <f>IF(AND(C2953&lt;&gt;"", H2953&lt;&gt;""), HYPERLINK("#'" &amp; C2953 &amp; "'!" &amp; H2953, H2953), "")</f>
        <v>0</v>
      </c>
    </row>
    <row r="2954" spans="2:2">
      <c r="B2954" s="21">
        <f>IF(AND(C2954&lt;&gt;"", H2954&lt;&gt;""), HYPERLINK("#'" &amp; C2954 &amp; "'!" &amp; H2954, H2954), "")</f>
        <v>0</v>
      </c>
    </row>
    <row r="2955" spans="2:2">
      <c r="B2955" s="21">
        <f>IF(AND(C2955&lt;&gt;"", H2955&lt;&gt;""), HYPERLINK("#'" &amp; C2955 &amp; "'!" &amp; H2955, H2955), "")</f>
        <v>0</v>
      </c>
    </row>
    <row r="2956" spans="2:2">
      <c r="B2956" s="21">
        <f>IF(AND(C2956&lt;&gt;"", H2956&lt;&gt;""), HYPERLINK("#'" &amp; C2956 &amp; "'!" &amp; H2956, H2956), "")</f>
        <v>0</v>
      </c>
    </row>
    <row r="2957" spans="2:2">
      <c r="B2957" s="21">
        <f>IF(AND(C2957&lt;&gt;"", H2957&lt;&gt;""), HYPERLINK("#'" &amp; C2957 &amp; "'!" &amp; H2957, H2957), "")</f>
        <v>0</v>
      </c>
    </row>
    <row r="2958" spans="2:2">
      <c r="B2958" s="21">
        <f>IF(AND(C2958&lt;&gt;"", H2958&lt;&gt;""), HYPERLINK("#'" &amp; C2958 &amp; "'!" &amp; H2958, H2958), "")</f>
        <v>0</v>
      </c>
    </row>
    <row r="2959" spans="2:2">
      <c r="B2959" s="21">
        <f>IF(AND(C2959&lt;&gt;"", H2959&lt;&gt;""), HYPERLINK("#'" &amp; C2959 &amp; "'!" &amp; H2959, H2959), "")</f>
        <v>0</v>
      </c>
    </row>
    <row r="2960" spans="2:2">
      <c r="B2960" s="21">
        <f>IF(AND(C2960&lt;&gt;"", H2960&lt;&gt;""), HYPERLINK("#'" &amp; C2960 &amp; "'!" &amp; H2960, H2960), "")</f>
        <v>0</v>
      </c>
    </row>
    <row r="2961" spans="2:2">
      <c r="B2961" s="21">
        <f>IF(AND(C2961&lt;&gt;"", H2961&lt;&gt;""), HYPERLINK("#'" &amp; C2961 &amp; "'!" &amp; H2961, H2961), "")</f>
        <v>0</v>
      </c>
    </row>
    <row r="2962" spans="2:2">
      <c r="B2962" s="21">
        <f>IF(AND(C2962&lt;&gt;"", H2962&lt;&gt;""), HYPERLINK("#'" &amp; C2962 &amp; "'!" &amp; H2962, H2962), "")</f>
        <v>0</v>
      </c>
    </row>
    <row r="2963" spans="2:2">
      <c r="B2963" s="21">
        <f>IF(AND(C2963&lt;&gt;"", H2963&lt;&gt;""), HYPERLINK("#'" &amp; C2963 &amp; "'!" &amp; H2963, H2963), "")</f>
        <v>0</v>
      </c>
    </row>
    <row r="2964" spans="2:2">
      <c r="B2964" s="21">
        <f>IF(AND(C2964&lt;&gt;"", H2964&lt;&gt;""), HYPERLINK("#'" &amp; C2964 &amp; "'!" &amp; H2964, H2964), "")</f>
        <v>0</v>
      </c>
    </row>
    <row r="2965" spans="2:2">
      <c r="B2965" s="21">
        <f>IF(AND(C2965&lt;&gt;"", H2965&lt;&gt;""), HYPERLINK("#'" &amp; C2965 &amp; "'!" &amp; H2965, H2965), "")</f>
        <v>0</v>
      </c>
    </row>
    <row r="2966" spans="2:2">
      <c r="B2966" s="21">
        <f>IF(AND(C2966&lt;&gt;"", H2966&lt;&gt;""), HYPERLINK("#'" &amp; C2966 &amp; "'!" &amp; H2966, H2966), "")</f>
        <v>0</v>
      </c>
    </row>
    <row r="2967" spans="2:2">
      <c r="B2967" s="21">
        <f>IF(AND(C2967&lt;&gt;"", H2967&lt;&gt;""), HYPERLINK("#'" &amp; C2967 &amp; "'!" &amp; H2967, H2967), "")</f>
        <v>0</v>
      </c>
    </row>
    <row r="2968" spans="2:2">
      <c r="B2968" s="21">
        <f>IF(AND(C2968&lt;&gt;"", H2968&lt;&gt;""), HYPERLINK("#'" &amp; C2968 &amp; "'!" &amp; H2968, H2968), "")</f>
        <v>0</v>
      </c>
    </row>
    <row r="2969" spans="2:2">
      <c r="B2969" s="21">
        <f>IF(AND(C2969&lt;&gt;"", H2969&lt;&gt;""), HYPERLINK("#'" &amp; C2969 &amp; "'!" &amp; H2969, H2969), "")</f>
        <v>0</v>
      </c>
    </row>
    <row r="2970" spans="2:2">
      <c r="B2970" s="21">
        <f>IF(AND(C2970&lt;&gt;"", H2970&lt;&gt;""), HYPERLINK("#'" &amp; C2970 &amp; "'!" &amp; H2970, H2970), "")</f>
        <v>0</v>
      </c>
    </row>
    <row r="2971" spans="2:2">
      <c r="B2971" s="21">
        <f>IF(AND(C2971&lt;&gt;"", H2971&lt;&gt;""), HYPERLINK("#'" &amp; C2971 &amp; "'!" &amp; H2971, H2971), "")</f>
        <v>0</v>
      </c>
    </row>
    <row r="2972" spans="2:2">
      <c r="B2972" s="21">
        <f>IF(AND(C2972&lt;&gt;"", H2972&lt;&gt;""), HYPERLINK("#'" &amp; C2972 &amp; "'!" &amp; H2972, H2972), "")</f>
        <v>0</v>
      </c>
    </row>
    <row r="2973" spans="2:2">
      <c r="B2973" s="21">
        <f>IF(AND(C2973&lt;&gt;"", H2973&lt;&gt;""), HYPERLINK("#'" &amp; C2973 &amp; "'!" &amp; H2973, H2973), "")</f>
        <v>0</v>
      </c>
    </row>
    <row r="2974" spans="2:2">
      <c r="B2974" s="21">
        <f>IF(AND(C2974&lt;&gt;"", H2974&lt;&gt;""), HYPERLINK("#'" &amp; C2974 &amp; "'!" &amp; H2974, H2974), "")</f>
        <v>0</v>
      </c>
    </row>
    <row r="2975" spans="2:2">
      <c r="B2975" s="21">
        <f>IF(AND(C2975&lt;&gt;"", H2975&lt;&gt;""), HYPERLINK("#'" &amp; C2975 &amp; "'!" &amp; H2975, H2975), "")</f>
        <v>0</v>
      </c>
    </row>
    <row r="2976" spans="2:2">
      <c r="B2976" s="21">
        <f>IF(AND(C2976&lt;&gt;"", H2976&lt;&gt;""), HYPERLINK("#'" &amp; C2976 &amp; "'!" &amp; H2976, H2976), "")</f>
        <v>0</v>
      </c>
    </row>
    <row r="2977" spans="2:2">
      <c r="B2977" s="21">
        <f>IF(AND(C2977&lt;&gt;"", H2977&lt;&gt;""), HYPERLINK("#'" &amp; C2977 &amp; "'!" &amp; H2977, H2977), "")</f>
        <v>0</v>
      </c>
    </row>
    <row r="2978" spans="2:2">
      <c r="B2978" s="21">
        <f>IF(AND(C2978&lt;&gt;"", H2978&lt;&gt;""), HYPERLINK("#'" &amp; C2978 &amp; "'!" &amp; H2978, H2978), "")</f>
        <v>0</v>
      </c>
    </row>
    <row r="2979" spans="2:2">
      <c r="B2979" s="21">
        <f>IF(AND(C2979&lt;&gt;"", H2979&lt;&gt;""), HYPERLINK("#'" &amp; C2979 &amp; "'!" &amp; H2979, H2979), "")</f>
        <v>0</v>
      </c>
    </row>
    <row r="2980" spans="2:2">
      <c r="B2980" s="21">
        <f>IF(AND(C2980&lt;&gt;"", H2980&lt;&gt;""), HYPERLINK("#'" &amp; C2980 &amp; "'!" &amp; H2980, H2980), "")</f>
        <v>0</v>
      </c>
    </row>
    <row r="2981" spans="2:2">
      <c r="B2981" s="21">
        <f>IF(AND(C2981&lt;&gt;"", H2981&lt;&gt;""), HYPERLINK("#'" &amp; C2981 &amp; "'!" &amp; H2981, H2981), "")</f>
        <v>0</v>
      </c>
    </row>
    <row r="2982" spans="2:2">
      <c r="B2982" s="21">
        <f>IF(AND(C2982&lt;&gt;"", H2982&lt;&gt;""), HYPERLINK("#'" &amp; C2982 &amp; "'!" &amp; H2982, H2982), "")</f>
        <v>0</v>
      </c>
    </row>
    <row r="2983" spans="2:2">
      <c r="B2983" s="21">
        <f>IF(AND(C2983&lt;&gt;"", H2983&lt;&gt;""), HYPERLINK("#'" &amp; C2983 &amp; "'!" &amp; H2983, H2983), "")</f>
        <v>0</v>
      </c>
    </row>
    <row r="2984" spans="2:2">
      <c r="B2984" s="21">
        <f>IF(AND(C2984&lt;&gt;"", H2984&lt;&gt;""), HYPERLINK("#'" &amp; C2984 &amp; "'!" &amp; H2984, H2984), "")</f>
        <v>0</v>
      </c>
    </row>
    <row r="2985" spans="2:2">
      <c r="B2985" s="21">
        <f>IF(AND(C2985&lt;&gt;"", H2985&lt;&gt;""), HYPERLINK("#'" &amp; C2985 &amp; "'!" &amp; H2985, H2985), "")</f>
        <v>0</v>
      </c>
    </row>
    <row r="2986" spans="2:2">
      <c r="B2986" s="21">
        <f>IF(AND(C2986&lt;&gt;"", H2986&lt;&gt;""), HYPERLINK("#'" &amp; C2986 &amp; "'!" &amp; H2986, H2986), "")</f>
        <v>0</v>
      </c>
    </row>
    <row r="2987" spans="2:2">
      <c r="B2987" s="21">
        <f>IF(AND(C2987&lt;&gt;"", H2987&lt;&gt;""), HYPERLINK("#'" &amp; C2987 &amp; "'!" &amp; H2987, H2987), "")</f>
        <v>0</v>
      </c>
    </row>
    <row r="2988" spans="2:2">
      <c r="B2988" s="21">
        <f>IF(AND(C2988&lt;&gt;"", H2988&lt;&gt;""), HYPERLINK("#'" &amp; C2988 &amp; "'!" &amp; H2988, H2988), "")</f>
        <v>0</v>
      </c>
    </row>
    <row r="2989" spans="2:2">
      <c r="B2989" s="21">
        <f>IF(AND(C2989&lt;&gt;"", H2989&lt;&gt;""), HYPERLINK("#'" &amp; C2989 &amp; "'!" &amp; H2989, H2989), "")</f>
        <v>0</v>
      </c>
    </row>
    <row r="2990" spans="2:2">
      <c r="B2990" s="21">
        <f>IF(AND(C2990&lt;&gt;"", H2990&lt;&gt;""), HYPERLINK("#'" &amp; C2990 &amp; "'!" &amp; H2990, H2990), "")</f>
        <v>0</v>
      </c>
    </row>
    <row r="2991" spans="2:2">
      <c r="B2991" s="21">
        <f>IF(AND(C2991&lt;&gt;"", H2991&lt;&gt;""), HYPERLINK("#'" &amp; C2991 &amp; "'!" &amp; H2991, H2991), "")</f>
        <v>0</v>
      </c>
    </row>
    <row r="2992" spans="2:2">
      <c r="B2992" s="21">
        <f>IF(AND(C2992&lt;&gt;"", H2992&lt;&gt;""), HYPERLINK("#'" &amp; C2992 &amp; "'!" &amp; H2992, H2992), "")</f>
        <v>0</v>
      </c>
    </row>
    <row r="2993" spans="2:2">
      <c r="B2993" s="21">
        <f>IF(AND(C2993&lt;&gt;"", H2993&lt;&gt;""), HYPERLINK("#'" &amp; C2993 &amp; "'!" &amp; H2993, H2993), "")</f>
        <v>0</v>
      </c>
    </row>
    <row r="2994" spans="2:2">
      <c r="B2994" s="21">
        <f>IF(AND(C2994&lt;&gt;"", H2994&lt;&gt;""), HYPERLINK("#'" &amp; C2994 &amp; "'!" &amp; H2994, H2994), "")</f>
        <v>0</v>
      </c>
    </row>
    <row r="2995" spans="2:2">
      <c r="B2995" s="21">
        <f>IF(AND(C2995&lt;&gt;"", H2995&lt;&gt;""), HYPERLINK("#'" &amp; C2995 &amp; "'!" &amp; H2995, H2995), "")</f>
        <v>0</v>
      </c>
    </row>
    <row r="2996" spans="2:2">
      <c r="B2996" s="21">
        <f>IF(AND(C2996&lt;&gt;"", H2996&lt;&gt;""), HYPERLINK("#'" &amp; C2996 &amp; "'!" &amp; H2996, H2996), "")</f>
        <v>0</v>
      </c>
    </row>
    <row r="2997" spans="2:2">
      <c r="B2997" s="21">
        <f>IF(AND(C2997&lt;&gt;"", H2997&lt;&gt;""), HYPERLINK("#'" &amp; C2997 &amp; "'!" &amp; H2997, H2997), "")</f>
        <v>0</v>
      </c>
    </row>
    <row r="2998" spans="2:2">
      <c r="B2998" s="21">
        <f>IF(AND(C2998&lt;&gt;"", H2998&lt;&gt;""), HYPERLINK("#'" &amp; C2998 &amp; "'!" &amp; H2998, H2998), "")</f>
        <v>0</v>
      </c>
    </row>
    <row r="2999" spans="2:2">
      <c r="B2999" s="21">
        <f>IF(AND(C2999&lt;&gt;"", H2999&lt;&gt;""), HYPERLINK("#'" &amp; C2999 &amp; "'!" &amp; H2999, H2999), "")</f>
        <v>0</v>
      </c>
    </row>
    <row r="3000" spans="2:2">
      <c r="B3000" s="21">
        <f>IF(AND(C3000&lt;&gt;"", H3000&lt;&gt;""), HYPERLINK("#'" &amp; C3000 &amp; "'!" &amp; H3000, H3000), "")</f>
        <v>0</v>
      </c>
    </row>
    <row r="3001" spans="2:2">
      <c r="B3001" s="21">
        <f>IF(AND(C3001&lt;&gt;"", H3001&lt;&gt;""), HYPERLINK("#'" &amp; C3001 &amp; "'!" &amp; H3001, H3001), "")</f>
        <v>0</v>
      </c>
    </row>
    <row r="3002" spans="2:2">
      <c r="B3002" s="21">
        <f>IF(AND(C3002&lt;&gt;"", H3002&lt;&gt;""), HYPERLINK("#'" &amp; C3002 &amp; "'!" &amp; H3002, H3002), "")</f>
        <v>0</v>
      </c>
    </row>
    <row r="3003" spans="2:2">
      <c r="B3003" s="21">
        <f>IF(AND(C3003&lt;&gt;"", H3003&lt;&gt;""), HYPERLINK("#'" &amp; C3003 &amp; "'!" &amp; H3003, H3003), "")</f>
        <v>0</v>
      </c>
    </row>
    <row r="3004" spans="2:2">
      <c r="B3004" s="21">
        <f>IF(AND(C3004&lt;&gt;"", H3004&lt;&gt;""), HYPERLINK("#'" &amp; C3004 &amp; "'!" &amp; H3004, H3004), "")</f>
        <v>0</v>
      </c>
    </row>
    <row r="3005" spans="2:2">
      <c r="B3005" s="21">
        <f>IF(AND(C3005&lt;&gt;"", H3005&lt;&gt;""), HYPERLINK("#'" &amp; C3005 &amp; "'!" &amp; H3005, H3005), "")</f>
        <v>0</v>
      </c>
    </row>
    <row r="3006" spans="2:2">
      <c r="B3006" s="21">
        <f>IF(AND(C3006&lt;&gt;"", H3006&lt;&gt;""), HYPERLINK("#'" &amp; C3006 &amp; "'!" &amp; H3006, H3006), "")</f>
        <v>0</v>
      </c>
    </row>
    <row r="3007" spans="2:2">
      <c r="B3007" s="21">
        <f>IF(AND(C3007&lt;&gt;"", H3007&lt;&gt;""), HYPERLINK("#'" &amp; C3007 &amp; "'!" &amp; H3007, H3007), "")</f>
        <v>0</v>
      </c>
    </row>
    <row r="3008" spans="2:2">
      <c r="B3008" s="21">
        <f>IF(AND(C3008&lt;&gt;"", H3008&lt;&gt;""), HYPERLINK("#'" &amp; C3008 &amp; "'!" &amp; H3008, H3008), "")</f>
        <v>0</v>
      </c>
    </row>
    <row r="3009" spans="2:2">
      <c r="B3009" s="21">
        <f>IF(AND(C3009&lt;&gt;"", H3009&lt;&gt;""), HYPERLINK("#'" &amp; C3009 &amp; "'!" &amp; H3009, H3009), "")</f>
        <v>0</v>
      </c>
    </row>
    <row r="3010" spans="2:2">
      <c r="B3010" s="21">
        <f>IF(AND(C3010&lt;&gt;"", H3010&lt;&gt;""), HYPERLINK("#'" &amp; C3010 &amp; "'!" &amp; H3010, H3010), "")</f>
        <v>0</v>
      </c>
    </row>
    <row r="3011" spans="2:2">
      <c r="B3011" s="21">
        <f>IF(AND(C3011&lt;&gt;"", H3011&lt;&gt;""), HYPERLINK("#'" &amp; C3011 &amp; "'!" &amp; H3011, H3011), "")</f>
        <v>0</v>
      </c>
    </row>
    <row r="3012" spans="2:2">
      <c r="B3012" s="21">
        <f>IF(AND(C3012&lt;&gt;"", H3012&lt;&gt;""), HYPERLINK("#'" &amp; C3012 &amp; "'!" &amp; H3012, H3012), "")</f>
        <v>0</v>
      </c>
    </row>
    <row r="3013" spans="2:2">
      <c r="B3013" s="21">
        <f>IF(AND(C3013&lt;&gt;"", H3013&lt;&gt;""), HYPERLINK("#'" &amp; C3013 &amp; "'!" &amp; H3013, H3013), "")</f>
        <v>0</v>
      </c>
    </row>
    <row r="3014" spans="2:2">
      <c r="B3014" s="21">
        <f>IF(AND(C3014&lt;&gt;"", H3014&lt;&gt;""), HYPERLINK("#'" &amp; C3014 &amp; "'!" &amp; H3014, H3014), "")</f>
        <v>0</v>
      </c>
    </row>
    <row r="3015" spans="2:2">
      <c r="B3015" s="21">
        <f>IF(AND(C3015&lt;&gt;"", H3015&lt;&gt;""), HYPERLINK("#'" &amp; C3015 &amp; "'!" &amp; H3015, H3015), "")</f>
        <v>0</v>
      </c>
    </row>
    <row r="3016" spans="2:2">
      <c r="B3016" s="21">
        <f>IF(AND(C3016&lt;&gt;"", H3016&lt;&gt;""), HYPERLINK("#'" &amp; C3016 &amp; "'!" &amp; H3016, H3016), "")</f>
        <v>0</v>
      </c>
    </row>
    <row r="3017" spans="2:2">
      <c r="B3017" s="21">
        <f>IF(AND(C3017&lt;&gt;"", H3017&lt;&gt;""), HYPERLINK("#'" &amp; C3017 &amp; "'!" &amp; H3017, H3017), "")</f>
        <v>0</v>
      </c>
    </row>
    <row r="3018" spans="2:2">
      <c r="B3018" s="21">
        <f>IF(AND(C3018&lt;&gt;"", H3018&lt;&gt;""), HYPERLINK("#'" &amp; C3018 &amp; "'!" &amp; H3018, H3018), "")</f>
        <v>0</v>
      </c>
    </row>
    <row r="3019" spans="2:2">
      <c r="B3019" s="21">
        <f>IF(AND(C3019&lt;&gt;"", H3019&lt;&gt;""), HYPERLINK("#'" &amp; C3019 &amp; "'!" &amp; H3019, H3019), "")</f>
        <v>0</v>
      </c>
    </row>
    <row r="3020" spans="2:2">
      <c r="B3020" s="21">
        <f>IF(AND(C3020&lt;&gt;"", H3020&lt;&gt;""), HYPERLINK("#'" &amp; C3020 &amp; "'!" &amp; H3020, H3020), "")</f>
        <v>0</v>
      </c>
    </row>
    <row r="3021" spans="2:2">
      <c r="B3021" s="21">
        <f>IF(AND(C3021&lt;&gt;"", H3021&lt;&gt;""), HYPERLINK("#'" &amp; C3021 &amp; "'!" &amp; H3021, H3021), "")</f>
        <v>0</v>
      </c>
    </row>
    <row r="3022" spans="2:2">
      <c r="B3022" s="21">
        <f>IF(AND(C3022&lt;&gt;"", H3022&lt;&gt;""), HYPERLINK("#'" &amp; C3022 &amp; "'!" &amp; H3022, H3022), "")</f>
        <v>0</v>
      </c>
    </row>
    <row r="3023" spans="2:2">
      <c r="B3023" s="21">
        <f>IF(AND(C3023&lt;&gt;"", H3023&lt;&gt;""), HYPERLINK("#'" &amp; C3023 &amp; "'!" &amp; H3023, H3023), "")</f>
        <v>0</v>
      </c>
    </row>
    <row r="3024" spans="2:2">
      <c r="B3024" s="21">
        <f>IF(AND(C3024&lt;&gt;"", H3024&lt;&gt;""), HYPERLINK("#'" &amp; C3024 &amp; "'!" &amp; H3024, H3024), "")</f>
        <v>0</v>
      </c>
    </row>
    <row r="3025" spans="2:2">
      <c r="B3025" s="21">
        <f>IF(AND(C3025&lt;&gt;"", H3025&lt;&gt;""), HYPERLINK("#'" &amp; C3025 &amp; "'!" &amp; H3025, H3025), "")</f>
        <v>0</v>
      </c>
    </row>
    <row r="3026" spans="2:2">
      <c r="B3026" s="21">
        <f>IF(AND(C3026&lt;&gt;"", H3026&lt;&gt;""), HYPERLINK("#'" &amp; C3026 &amp; "'!" &amp; H3026, H3026), "")</f>
        <v>0</v>
      </c>
    </row>
    <row r="3027" spans="2:2">
      <c r="B3027" s="21">
        <f>IF(AND(C3027&lt;&gt;"", H3027&lt;&gt;""), HYPERLINK("#'" &amp; C3027 &amp; "'!" &amp; H3027, H3027), "")</f>
        <v>0</v>
      </c>
    </row>
    <row r="3028" spans="2:2">
      <c r="B3028" s="21">
        <f>IF(AND(C3028&lt;&gt;"", H3028&lt;&gt;""), HYPERLINK("#'" &amp; C3028 &amp; "'!" &amp; H3028, H3028), "")</f>
        <v>0</v>
      </c>
    </row>
    <row r="3029" spans="2:2">
      <c r="B3029" s="21">
        <f>IF(AND(C3029&lt;&gt;"", H3029&lt;&gt;""), HYPERLINK("#'" &amp; C3029 &amp; "'!" &amp; H3029, H3029), "")</f>
        <v>0</v>
      </c>
    </row>
    <row r="3030" spans="2:2">
      <c r="B3030" s="21">
        <f>IF(AND(C3030&lt;&gt;"", H3030&lt;&gt;""), HYPERLINK("#'" &amp; C3030 &amp; "'!" &amp; H3030, H3030), "")</f>
        <v>0</v>
      </c>
    </row>
    <row r="3031" spans="2:2">
      <c r="B3031" s="21">
        <f>IF(AND(C3031&lt;&gt;"", H3031&lt;&gt;""), HYPERLINK("#'" &amp; C3031 &amp; "'!" &amp; H3031, H3031), "")</f>
        <v>0</v>
      </c>
    </row>
    <row r="3032" spans="2:2">
      <c r="B3032" s="21">
        <f>IF(AND(C3032&lt;&gt;"", H3032&lt;&gt;""), HYPERLINK("#'" &amp; C3032 &amp; "'!" &amp; H3032, H3032), "")</f>
        <v>0</v>
      </c>
    </row>
    <row r="3033" spans="2:2">
      <c r="B3033" s="21">
        <f>IF(AND(C3033&lt;&gt;"", H3033&lt;&gt;""), HYPERLINK("#'" &amp; C3033 &amp; "'!" &amp; H3033, H3033), "")</f>
        <v>0</v>
      </c>
    </row>
    <row r="3034" spans="2:2">
      <c r="B3034" s="21">
        <f>IF(AND(C3034&lt;&gt;"", H3034&lt;&gt;""), HYPERLINK("#'" &amp; C3034 &amp; "'!" &amp; H3034, H3034), "")</f>
        <v>0</v>
      </c>
    </row>
    <row r="3035" spans="2:2">
      <c r="B3035" s="21">
        <f>IF(AND(C3035&lt;&gt;"", H3035&lt;&gt;""), HYPERLINK("#'" &amp; C3035 &amp; "'!" &amp; H3035, H3035), "")</f>
        <v>0</v>
      </c>
    </row>
    <row r="3036" spans="2:2">
      <c r="B3036" s="21">
        <f>IF(AND(C3036&lt;&gt;"", H3036&lt;&gt;""), HYPERLINK("#'" &amp; C3036 &amp; "'!" &amp; H3036, H3036), "")</f>
        <v>0</v>
      </c>
    </row>
    <row r="3037" spans="2:2">
      <c r="B3037" s="21">
        <f>IF(AND(C3037&lt;&gt;"", H3037&lt;&gt;""), HYPERLINK("#'" &amp; C3037 &amp; "'!" &amp; H3037, H3037), "")</f>
        <v>0</v>
      </c>
    </row>
    <row r="3038" spans="2:2">
      <c r="B3038" s="21">
        <f>IF(AND(C3038&lt;&gt;"", H3038&lt;&gt;""), HYPERLINK("#'" &amp; C3038 &amp; "'!" &amp; H3038, H3038), "")</f>
        <v>0</v>
      </c>
    </row>
    <row r="3039" spans="2:2">
      <c r="B3039" s="21">
        <f>IF(AND(C3039&lt;&gt;"", H3039&lt;&gt;""), HYPERLINK("#'" &amp; C3039 &amp; "'!" &amp; H3039, H3039), "")</f>
        <v>0</v>
      </c>
    </row>
    <row r="3040" spans="2:2">
      <c r="B3040" s="21">
        <f>IF(AND(C3040&lt;&gt;"", H3040&lt;&gt;""), HYPERLINK("#'" &amp; C3040 &amp; "'!" &amp; H3040, H3040), "")</f>
        <v>0</v>
      </c>
    </row>
    <row r="3041" spans="2:2">
      <c r="B3041" s="21">
        <f>IF(AND(C3041&lt;&gt;"", H3041&lt;&gt;""), HYPERLINK("#'" &amp; C3041 &amp; "'!" &amp; H3041, H3041), "")</f>
        <v>0</v>
      </c>
    </row>
    <row r="3042" spans="2:2">
      <c r="B3042" s="21">
        <f>IF(AND(C3042&lt;&gt;"", H3042&lt;&gt;""), HYPERLINK("#'" &amp; C3042 &amp; "'!" &amp; H3042, H3042), "")</f>
        <v>0</v>
      </c>
    </row>
    <row r="3043" spans="2:2">
      <c r="B3043" s="21">
        <f>IF(AND(C3043&lt;&gt;"", H3043&lt;&gt;""), HYPERLINK("#'" &amp; C3043 &amp; "'!" &amp; H3043, H3043), "")</f>
        <v>0</v>
      </c>
    </row>
    <row r="3044" spans="2:2">
      <c r="B3044" s="21">
        <f>IF(AND(C3044&lt;&gt;"", H3044&lt;&gt;""), HYPERLINK("#'" &amp; C3044 &amp; "'!" &amp; H3044, H3044), "")</f>
        <v>0</v>
      </c>
    </row>
    <row r="3045" spans="2:2">
      <c r="B3045" s="21">
        <f>IF(AND(C3045&lt;&gt;"", H3045&lt;&gt;""), HYPERLINK("#'" &amp; C3045 &amp; "'!" &amp; H3045, H3045), "")</f>
        <v>0</v>
      </c>
    </row>
    <row r="3046" spans="2:2">
      <c r="B3046" s="21">
        <f>IF(AND(C3046&lt;&gt;"", H3046&lt;&gt;""), HYPERLINK("#'" &amp; C3046 &amp; "'!" &amp; H3046, H3046), "")</f>
        <v>0</v>
      </c>
    </row>
    <row r="3047" spans="2:2">
      <c r="B3047" s="21">
        <f>IF(AND(C3047&lt;&gt;"", H3047&lt;&gt;""), HYPERLINK("#'" &amp; C3047 &amp; "'!" &amp; H3047, H3047), "")</f>
        <v>0</v>
      </c>
    </row>
    <row r="3048" spans="2:2">
      <c r="B3048" s="21">
        <f>IF(AND(C3048&lt;&gt;"", H3048&lt;&gt;""), HYPERLINK("#'" &amp; C3048 &amp; "'!" &amp; H3048, H3048), "")</f>
        <v>0</v>
      </c>
    </row>
    <row r="3049" spans="2:2">
      <c r="B3049" s="21">
        <f>IF(AND(C3049&lt;&gt;"", H3049&lt;&gt;""), HYPERLINK("#'" &amp; C3049 &amp; "'!" &amp; H3049, H3049), "")</f>
        <v>0</v>
      </c>
    </row>
    <row r="3050" spans="2:2">
      <c r="B3050" s="21">
        <f>IF(AND(C3050&lt;&gt;"", H3050&lt;&gt;""), HYPERLINK("#'" &amp; C3050 &amp; "'!" &amp; H3050, H3050), "")</f>
        <v>0</v>
      </c>
    </row>
    <row r="3051" spans="2:2">
      <c r="B3051" s="21">
        <f>IF(AND(C3051&lt;&gt;"", H3051&lt;&gt;""), HYPERLINK("#'" &amp; C3051 &amp; "'!" &amp; H3051, H3051), "")</f>
        <v>0</v>
      </c>
    </row>
    <row r="3052" spans="2:2">
      <c r="B3052" s="21">
        <f>IF(AND(C3052&lt;&gt;"", H3052&lt;&gt;""), HYPERLINK("#'" &amp; C3052 &amp; "'!" &amp; H3052, H3052), "")</f>
        <v>0</v>
      </c>
    </row>
    <row r="3053" spans="2:2">
      <c r="B3053" s="21">
        <f>IF(AND(C3053&lt;&gt;"", H3053&lt;&gt;""), HYPERLINK("#'" &amp; C3053 &amp; "'!" &amp; H3053, H3053), "")</f>
        <v>0</v>
      </c>
    </row>
    <row r="3054" spans="2:2">
      <c r="B3054" s="21">
        <f>IF(AND(C3054&lt;&gt;"", H3054&lt;&gt;""), HYPERLINK("#'" &amp; C3054 &amp; "'!" &amp; H3054, H3054), "")</f>
        <v>0</v>
      </c>
    </row>
    <row r="3055" spans="2:2">
      <c r="B3055" s="21">
        <f>IF(AND(C3055&lt;&gt;"", H3055&lt;&gt;""), HYPERLINK("#'" &amp; C3055 &amp; "'!" &amp; H3055, H3055), "")</f>
        <v>0</v>
      </c>
    </row>
    <row r="3056" spans="2:2">
      <c r="B3056" s="21">
        <f>IF(AND(C3056&lt;&gt;"", H3056&lt;&gt;""), HYPERLINK("#'" &amp; C3056 &amp; "'!" &amp; H3056, H3056), "")</f>
        <v>0</v>
      </c>
    </row>
    <row r="3057" spans="2:2">
      <c r="B3057" s="21">
        <f>IF(AND(C3057&lt;&gt;"", H3057&lt;&gt;""), HYPERLINK("#'" &amp; C3057 &amp; "'!" &amp; H3057, H3057), "")</f>
        <v>0</v>
      </c>
    </row>
    <row r="3058" spans="2:2">
      <c r="B3058" s="21">
        <f>IF(AND(C3058&lt;&gt;"", H3058&lt;&gt;""), HYPERLINK("#'" &amp; C3058 &amp; "'!" &amp; H3058, H3058), "")</f>
        <v>0</v>
      </c>
    </row>
    <row r="3059" spans="2:2">
      <c r="B3059" s="21">
        <f>IF(AND(C3059&lt;&gt;"", H3059&lt;&gt;""), HYPERLINK("#'" &amp; C3059 &amp; "'!" &amp; H3059, H3059), "")</f>
        <v>0</v>
      </c>
    </row>
    <row r="3060" spans="2:2">
      <c r="B3060" s="21">
        <f>IF(AND(C3060&lt;&gt;"", H3060&lt;&gt;""), HYPERLINK("#'" &amp; C3060 &amp; "'!" &amp; H3060, H3060), "")</f>
        <v>0</v>
      </c>
    </row>
    <row r="3061" spans="2:2">
      <c r="B3061" s="21">
        <f>IF(AND(C3061&lt;&gt;"", H3061&lt;&gt;""), HYPERLINK("#'" &amp; C3061 &amp; "'!" &amp; H3061, H3061), "")</f>
        <v>0</v>
      </c>
    </row>
    <row r="3062" spans="2:2">
      <c r="B3062" s="21">
        <f>IF(AND(C3062&lt;&gt;"", H3062&lt;&gt;""), HYPERLINK("#'" &amp; C3062 &amp; "'!" &amp; H3062, H3062), "")</f>
        <v>0</v>
      </c>
    </row>
    <row r="3063" spans="2:2">
      <c r="B3063" s="21">
        <f>IF(AND(C3063&lt;&gt;"", H3063&lt;&gt;""), HYPERLINK("#'" &amp; C3063 &amp; "'!" &amp; H3063, H3063), "")</f>
        <v>0</v>
      </c>
    </row>
    <row r="3064" spans="2:2">
      <c r="B3064" s="21">
        <f>IF(AND(C3064&lt;&gt;"", H3064&lt;&gt;""), HYPERLINK("#'" &amp; C3064 &amp; "'!" &amp; H3064, H3064), "")</f>
        <v>0</v>
      </c>
    </row>
    <row r="3065" spans="2:2">
      <c r="B3065" s="21">
        <f>IF(AND(C3065&lt;&gt;"", H3065&lt;&gt;""), HYPERLINK("#'" &amp; C3065 &amp; "'!" &amp; H3065, H3065), "")</f>
        <v>0</v>
      </c>
    </row>
    <row r="3066" spans="2:2">
      <c r="B3066" s="21">
        <f>IF(AND(C3066&lt;&gt;"", H3066&lt;&gt;""), HYPERLINK("#'" &amp; C3066 &amp; "'!" &amp; H3066, H3066), "")</f>
        <v>0</v>
      </c>
    </row>
    <row r="3067" spans="2:2">
      <c r="B3067" s="21">
        <f>IF(AND(C3067&lt;&gt;"", H3067&lt;&gt;""), HYPERLINK("#'" &amp; C3067 &amp; "'!" &amp; H3067, H3067), "")</f>
        <v>0</v>
      </c>
    </row>
    <row r="3068" spans="2:2">
      <c r="B3068" s="21">
        <f>IF(AND(C3068&lt;&gt;"", H3068&lt;&gt;""), HYPERLINK("#'" &amp; C3068 &amp; "'!" &amp; H3068, H3068), "")</f>
        <v>0</v>
      </c>
    </row>
    <row r="3069" spans="2:2">
      <c r="B3069" s="21">
        <f>IF(AND(C3069&lt;&gt;"", H3069&lt;&gt;""), HYPERLINK("#'" &amp; C3069 &amp; "'!" &amp; H3069, H3069), "")</f>
        <v>0</v>
      </c>
    </row>
    <row r="3070" spans="2:2">
      <c r="B3070" s="21">
        <f>IF(AND(C3070&lt;&gt;"", H3070&lt;&gt;""), HYPERLINK("#'" &amp; C3070 &amp; "'!" &amp; H3070, H3070), "")</f>
        <v>0</v>
      </c>
    </row>
    <row r="3071" spans="2:2">
      <c r="B3071" s="21">
        <f>IF(AND(C3071&lt;&gt;"", H3071&lt;&gt;""), HYPERLINK("#'" &amp; C3071 &amp; "'!" &amp; H3071, H3071), "")</f>
        <v>0</v>
      </c>
    </row>
    <row r="3072" spans="2:2">
      <c r="B3072" s="21">
        <f>IF(AND(C3072&lt;&gt;"", H3072&lt;&gt;""), HYPERLINK("#'" &amp; C3072 &amp; "'!" &amp; H3072, H3072), "")</f>
        <v>0</v>
      </c>
    </row>
    <row r="3073" spans="2:2">
      <c r="B3073" s="21">
        <f>IF(AND(C3073&lt;&gt;"", H3073&lt;&gt;""), HYPERLINK("#'" &amp; C3073 &amp; "'!" &amp; H3073, H3073), "")</f>
        <v>0</v>
      </c>
    </row>
    <row r="3074" spans="2:2">
      <c r="B3074" s="21">
        <f>IF(AND(C3074&lt;&gt;"", H3074&lt;&gt;""), HYPERLINK("#'" &amp; C3074 &amp; "'!" &amp; H3074, H3074), "")</f>
        <v>0</v>
      </c>
    </row>
    <row r="3075" spans="2:2">
      <c r="B3075" s="21">
        <f>IF(AND(C3075&lt;&gt;"", H3075&lt;&gt;""), HYPERLINK("#'" &amp; C3075 &amp; "'!" &amp; H3075, H3075), "")</f>
        <v>0</v>
      </c>
    </row>
    <row r="3076" spans="2:2">
      <c r="B3076" s="21">
        <f>IF(AND(C3076&lt;&gt;"", H3076&lt;&gt;""), HYPERLINK("#'" &amp; C3076 &amp; "'!" &amp; H3076, H3076), "")</f>
        <v>0</v>
      </c>
    </row>
    <row r="3077" spans="2:2">
      <c r="B3077" s="21">
        <f>IF(AND(C3077&lt;&gt;"", H3077&lt;&gt;""), HYPERLINK("#'" &amp; C3077 &amp; "'!" &amp; H3077, H3077), "")</f>
        <v>0</v>
      </c>
    </row>
    <row r="3078" spans="2:2">
      <c r="B3078" s="21">
        <f>IF(AND(C3078&lt;&gt;"", H3078&lt;&gt;""), HYPERLINK("#'" &amp; C3078 &amp; "'!" &amp; H3078, H3078), "")</f>
        <v>0</v>
      </c>
    </row>
    <row r="3079" spans="2:2">
      <c r="B3079" s="21">
        <f>IF(AND(C3079&lt;&gt;"", H3079&lt;&gt;""), HYPERLINK("#'" &amp; C3079 &amp; "'!" &amp; H3079, H3079), "")</f>
        <v>0</v>
      </c>
    </row>
    <row r="3080" spans="2:2">
      <c r="B3080" s="21">
        <f>IF(AND(C3080&lt;&gt;"", H3080&lt;&gt;""), HYPERLINK("#'" &amp; C3080 &amp; "'!" &amp; H3080, H3080), "")</f>
        <v>0</v>
      </c>
    </row>
    <row r="3081" spans="2:2">
      <c r="B3081" s="21">
        <f>IF(AND(C3081&lt;&gt;"", H3081&lt;&gt;""), HYPERLINK("#'" &amp; C3081 &amp; "'!" &amp; H3081, H3081), "")</f>
        <v>0</v>
      </c>
    </row>
    <row r="3082" spans="2:2">
      <c r="B3082" s="21">
        <f>IF(AND(C3082&lt;&gt;"", H3082&lt;&gt;""), HYPERLINK("#'" &amp; C3082 &amp; "'!" &amp; H3082, H3082), "")</f>
        <v>0</v>
      </c>
    </row>
    <row r="3083" spans="2:2">
      <c r="B3083" s="21">
        <f>IF(AND(C3083&lt;&gt;"", H3083&lt;&gt;""), HYPERLINK("#'" &amp; C3083 &amp; "'!" &amp; H3083, H3083), "")</f>
        <v>0</v>
      </c>
    </row>
    <row r="3084" spans="2:2">
      <c r="B3084" s="21">
        <f>IF(AND(C3084&lt;&gt;"", H3084&lt;&gt;""), HYPERLINK("#'" &amp; C3084 &amp; "'!" &amp; H3084, H3084), "")</f>
        <v>0</v>
      </c>
    </row>
    <row r="3085" spans="2:2">
      <c r="B3085" s="21">
        <f>IF(AND(C3085&lt;&gt;"", H3085&lt;&gt;""), HYPERLINK("#'" &amp; C3085 &amp; "'!" &amp; H3085, H3085), "")</f>
        <v>0</v>
      </c>
    </row>
    <row r="3086" spans="2:2">
      <c r="B3086" s="21">
        <f>IF(AND(C3086&lt;&gt;"", H3086&lt;&gt;""), HYPERLINK("#'" &amp; C3086 &amp; "'!" &amp; H3086, H3086), "")</f>
        <v>0</v>
      </c>
    </row>
    <row r="3087" spans="2:2">
      <c r="B3087" s="21">
        <f>IF(AND(C3087&lt;&gt;"", H3087&lt;&gt;""), HYPERLINK("#'" &amp; C3087 &amp; "'!" &amp; H3087, H3087), "")</f>
        <v>0</v>
      </c>
    </row>
    <row r="3088" spans="2:2">
      <c r="B3088" s="21">
        <f>IF(AND(C3088&lt;&gt;"", H3088&lt;&gt;""), HYPERLINK("#'" &amp; C3088 &amp; "'!" &amp; H3088, H3088), "")</f>
        <v>0</v>
      </c>
    </row>
    <row r="3089" spans="2:2">
      <c r="B3089" s="21">
        <f>IF(AND(C3089&lt;&gt;"", H3089&lt;&gt;""), HYPERLINK("#'" &amp; C3089 &amp; "'!" &amp; H3089, H3089), "")</f>
        <v>0</v>
      </c>
    </row>
    <row r="3090" spans="2:2">
      <c r="B3090" s="21">
        <f>IF(AND(C3090&lt;&gt;"", H3090&lt;&gt;""), HYPERLINK("#'" &amp; C3090 &amp; "'!" &amp; H3090, H3090), "")</f>
        <v>0</v>
      </c>
    </row>
    <row r="3091" spans="2:2">
      <c r="B3091" s="21">
        <f>IF(AND(C3091&lt;&gt;"", H3091&lt;&gt;""), HYPERLINK("#'" &amp; C3091 &amp; "'!" &amp; H3091, H3091), "")</f>
        <v>0</v>
      </c>
    </row>
    <row r="3092" spans="2:2">
      <c r="B3092" s="21">
        <f>IF(AND(C3092&lt;&gt;"", H3092&lt;&gt;""), HYPERLINK("#'" &amp; C3092 &amp; "'!" &amp; H3092, H3092), "")</f>
        <v>0</v>
      </c>
    </row>
    <row r="3093" spans="2:2">
      <c r="B3093" s="21">
        <f>IF(AND(C3093&lt;&gt;"", H3093&lt;&gt;""), HYPERLINK("#'" &amp; C3093 &amp; "'!" &amp; H3093, H3093), "")</f>
        <v>0</v>
      </c>
    </row>
    <row r="3094" spans="2:2">
      <c r="B3094" s="21">
        <f>IF(AND(C3094&lt;&gt;"", H3094&lt;&gt;""), HYPERLINK("#'" &amp; C3094 &amp; "'!" &amp; H3094, H3094), "")</f>
        <v>0</v>
      </c>
    </row>
    <row r="3095" spans="2:2">
      <c r="B3095" s="21">
        <f>IF(AND(C3095&lt;&gt;"", H3095&lt;&gt;""), HYPERLINK("#'" &amp; C3095 &amp; "'!" &amp; H3095, H3095), "")</f>
        <v>0</v>
      </c>
    </row>
    <row r="3096" spans="2:2">
      <c r="B3096" s="21">
        <f>IF(AND(C3096&lt;&gt;"", H3096&lt;&gt;""), HYPERLINK("#'" &amp; C3096 &amp; "'!" &amp; H3096, H3096), "")</f>
        <v>0</v>
      </c>
    </row>
    <row r="3097" spans="2:2">
      <c r="B3097" s="21">
        <f>IF(AND(C3097&lt;&gt;"", H3097&lt;&gt;""), HYPERLINK("#'" &amp; C3097 &amp; "'!" &amp; H3097, H3097), "")</f>
        <v>0</v>
      </c>
    </row>
    <row r="3098" spans="2:2">
      <c r="B3098" s="21">
        <f>IF(AND(C3098&lt;&gt;"", H3098&lt;&gt;""), HYPERLINK("#'" &amp; C3098 &amp; "'!" &amp; H3098, H3098), "")</f>
        <v>0</v>
      </c>
    </row>
    <row r="3099" spans="2:2">
      <c r="B3099" s="21">
        <f>IF(AND(C3099&lt;&gt;"", H3099&lt;&gt;""), HYPERLINK("#'" &amp; C3099 &amp; "'!" &amp; H3099, H3099), "")</f>
        <v>0</v>
      </c>
    </row>
    <row r="3100" spans="2:2">
      <c r="B3100" s="21">
        <f>IF(AND(C3100&lt;&gt;"", H3100&lt;&gt;""), HYPERLINK("#'" &amp; C3100 &amp; "'!" &amp; H3100, H3100), "")</f>
        <v>0</v>
      </c>
    </row>
    <row r="3101" spans="2:2">
      <c r="B3101" s="21">
        <f>IF(AND(C3101&lt;&gt;"", H3101&lt;&gt;""), HYPERLINK("#'" &amp; C3101 &amp; "'!" &amp; H3101, H3101), "")</f>
        <v>0</v>
      </c>
    </row>
    <row r="3102" spans="2:2">
      <c r="B3102" s="21">
        <f>IF(AND(C3102&lt;&gt;"", H3102&lt;&gt;""), HYPERLINK("#'" &amp; C3102 &amp; "'!" &amp; H3102, H3102), "")</f>
        <v>0</v>
      </c>
    </row>
    <row r="3103" spans="2:2">
      <c r="B3103" s="21">
        <f>IF(AND(C3103&lt;&gt;"", H3103&lt;&gt;""), HYPERLINK("#'" &amp; C3103 &amp; "'!" &amp; H3103, H3103), "")</f>
        <v>0</v>
      </c>
    </row>
    <row r="3104" spans="2:2">
      <c r="B3104" s="21">
        <f>IF(AND(C3104&lt;&gt;"", H3104&lt;&gt;""), HYPERLINK("#'" &amp; C3104 &amp; "'!" &amp; H3104, H3104), "")</f>
        <v>0</v>
      </c>
    </row>
    <row r="3105" spans="2:2">
      <c r="B3105" s="21">
        <f>IF(AND(C3105&lt;&gt;"", H3105&lt;&gt;""), HYPERLINK("#'" &amp; C3105 &amp; "'!" &amp; H3105, H3105), "")</f>
        <v>0</v>
      </c>
    </row>
    <row r="3106" spans="2:2">
      <c r="B3106" s="21">
        <f>IF(AND(C3106&lt;&gt;"", H3106&lt;&gt;""), HYPERLINK("#'" &amp; C3106 &amp; "'!" &amp; H3106, H3106), "")</f>
        <v>0</v>
      </c>
    </row>
    <row r="3107" spans="2:2">
      <c r="B3107" s="21">
        <f>IF(AND(C3107&lt;&gt;"", H3107&lt;&gt;""), HYPERLINK("#'" &amp; C3107 &amp; "'!" &amp; H3107, H3107), "")</f>
        <v>0</v>
      </c>
    </row>
    <row r="3108" spans="2:2">
      <c r="B3108" s="21">
        <f>IF(AND(C3108&lt;&gt;"", H3108&lt;&gt;""), HYPERLINK("#'" &amp; C3108 &amp; "'!" &amp; H3108, H3108), "")</f>
        <v>0</v>
      </c>
    </row>
    <row r="3109" spans="2:2">
      <c r="B3109" s="21">
        <f>IF(AND(C3109&lt;&gt;"", H3109&lt;&gt;""), HYPERLINK("#'" &amp; C3109 &amp; "'!" &amp; H3109, H3109), "")</f>
        <v>0</v>
      </c>
    </row>
    <row r="3110" spans="2:2">
      <c r="B3110" s="21">
        <f>IF(AND(C3110&lt;&gt;"", H3110&lt;&gt;""), HYPERLINK("#'" &amp; C3110 &amp; "'!" &amp; H3110, H3110), "")</f>
        <v>0</v>
      </c>
    </row>
    <row r="3111" spans="2:2">
      <c r="B3111" s="21">
        <f>IF(AND(C3111&lt;&gt;"", H3111&lt;&gt;""), HYPERLINK("#'" &amp; C3111 &amp; "'!" &amp; H3111, H3111), "")</f>
        <v>0</v>
      </c>
    </row>
    <row r="3112" spans="2:2">
      <c r="B3112" s="21">
        <f>IF(AND(C3112&lt;&gt;"", H3112&lt;&gt;""), HYPERLINK("#'" &amp; C3112 &amp; "'!" &amp; H3112, H3112), "")</f>
        <v>0</v>
      </c>
    </row>
    <row r="3113" spans="2:2">
      <c r="B3113" s="21">
        <f>IF(AND(C3113&lt;&gt;"", H3113&lt;&gt;""), HYPERLINK("#'" &amp; C3113 &amp; "'!" &amp; H3113, H3113), "")</f>
        <v>0</v>
      </c>
    </row>
    <row r="3114" spans="2:2">
      <c r="B3114" s="21">
        <f>IF(AND(C3114&lt;&gt;"", H3114&lt;&gt;""), HYPERLINK("#'" &amp; C3114 &amp; "'!" &amp; H3114, H3114), "")</f>
        <v>0</v>
      </c>
    </row>
    <row r="3115" spans="2:2">
      <c r="B3115" s="21">
        <f>IF(AND(C3115&lt;&gt;"", H3115&lt;&gt;""), HYPERLINK("#'" &amp; C3115 &amp; "'!" &amp; H3115, H3115), "")</f>
        <v>0</v>
      </c>
    </row>
    <row r="3116" spans="2:2">
      <c r="B3116" s="21">
        <f>IF(AND(C3116&lt;&gt;"", H3116&lt;&gt;""), HYPERLINK("#'" &amp; C3116 &amp; "'!" &amp; H3116, H3116), "")</f>
        <v>0</v>
      </c>
    </row>
    <row r="3117" spans="2:2">
      <c r="B3117" s="21">
        <f>IF(AND(C3117&lt;&gt;"", H3117&lt;&gt;""), HYPERLINK("#'" &amp; C3117 &amp; "'!" &amp; H3117, H3117), "")</f>
        <v>0</v>
      </c>
    </row>
    <row r="3118" spans="2:2">
      <c r="B3118" s="21">
        <f>IF(AND(C3118&lt;&gt;"", H3118&lt;&gt;""), HYPERLINK("#'" &amp; C3118 &amp; "'!" &amp; H3118, H3118), "")</f>
        <v>0</v>
      </c>
    </row>
    <row r="3119" spans="2:2">
      <c r="B3119" s="21">
        <f>IF(AND(C3119&lt;&gt;"", H3119&lt;&gt;""), HYPERLINK("#'" &amp; C3119 &amp; "'!" &amp; H3119, H3119), "")</f>
        <v>0</v>
      </c>
    </row>
    <row r="3120" spans="2:2">
      <c r="B3120" s="21">
        <f>IF(AND(C3120&lt;&gt;"", H3120&lt;&gt;""), HYPERLINK("#'" &amp; C3120 &amp; "'!" &amp; H3120, H3120), "")</f>
        <v>0</v>
      </c>
    </row>
    <row r="3121" spans="2:2">
      <c r="B3121" s="21">
        <f>IF(AND(C3121&lt;&gt;"", H3121&lt;&gt;""), HYPERLINK("#'" &amp; C3121 &amp; "'!" &amp; H3121, H3121), "")</f>
        <v>0</v>
      </c>
    </row>
    <row r="3122" spans="2:2">
      <c r="B3122" s="21">
        <f>IF(AND(C3122&lt;&gt;"", H3122&lt;&gt;""), HYPERLINK("#'" &amp; C3122 &amp; "'!" &amp; H3122, H3122), "")</f>
        <v>0</v>
      </c>
    </row>
    <row r="3123" spans="2:2">
      <c r="B3123" s="21">
        <f>IF(AND(C3123&lt;&gt;"", H3123&lt;&gt;""), HYPERLINK("#'" &amp; C3123 &amp; "'!" &amp; H3123, H3123), "")</f>
        <v>0</v>
      </c>
    </row>
    <row r="3124" spans="2:2">
      <c r="B3124" s="21">
        <f>IF(AND(C3124&lt;&gt;"", H3124&lt;&gt;""), HYPERLINK("#'" &amp; C3124 &amp; "'!" &amp; H3124, H3124), "")</f>
        <v>0</v>
      </c>
    </row>
    <row r="3125" spans="2:2">
      <c r="B3125" s="21">
        <f>IF(AND(C3125&lt;&gt;"", H3125&lt;&gt;""), HYPERLINK("#'" &amp; C3125 &amp; "'!" &amp; H3125, H3125), "")</f>
        <v>0</v>
      </c>
    </row>
    <row r="3126" spans="2:2">
      <c r="B3126" s="21">
        <f>IF(AND(C3126&lt;&gt;"", H3126&lt;&gt;""), HYPERLINK("#'" &amp; C3126 &amp; "'!" &amp; H3126, H3126), "")</f>
        <v>0</v>
      </c>
    </row>
    <row r="3127" spans="2:2">
      <c r="B3127" s="21">
        <f>IF(AND(C3127&lt;&gt;"", H3127&lt;&gt;""), HYPERLINK("#'" &amp; C3127 &amp; "'!" &amp; H3127, H3127), "")</f>
        <v>0</v>
      </c>
    </row>
    <row r="3128" spans="2:2">
      <c r="B3128" s="21">
        <f>IF(AND(C3128&lt;&gt;"", H3128&lt;&gt;""), HYPERLINK("#'" &amp; C3128 &amp; "'!" &amp; H3128, H3128), "")</f>
        <v>0</v>
      </c>
    </row>
    <row r="3129" spans="2:2">
      <c r="B3129" s="21">
        <f>IF(AND(C3129&lt;&gt;"", H3129&lt;&gt;""), HYPERLINK("#'" &amp; C3129 &amp; "'!" &amp; H3129, H3129), "")</f>
        <v>0</v>
      </c>
    </row>
    <row r="3130" spans="2:2">
      <c r="B3130" s="21">
        <f>IF(AND(C3130&lt;&gt;"", H3130&lt;&gt;""), HYPERLINK("#'" &amp; C3130 &amp; "'!" &amp; H3130, H3130), "")</f>
        <v>0</v>
      </c>
    </row>
    <row r="3131" spans="2:2">
      <c r="B3131" s="21">
        <f>IF(AND(C3131&lt;&gt;"", H3131&lt;&gt;""), HYPERLINK("#'" &amp; C3131 &amp; "'!" &amp; H3131, H3131), "")</f>
        <v>0</v>
      </c>
    </row>
    <row r="3132" spans="2:2">
      <c r="B3132" s="21">
        <f>IF(AND(C3132&lt;&gt;"", H3132&lt;&gt;""), HYPERLINK("#'" &amp; C3132 &amp; "'!" &amp; H3132, H3132), "")</f>
        <v>0</v>
      </c>
    </row>
    <row r="3133" spans="2:2">
      <c r="B3133" s="21">
        <f>IF(AND(C3133&lt;&gt;"", H3133&lt;&gt;""), HYPERLINK("#'" &amp; C3133 &amp; "'!" &amp; H3133, H3133), "")</f>
        <v>0</v>
      </c>
    </row>
    <row r="3134" spans="2:2">
      <c r="B3134" s="21">
        <f>IF(AND(C3134&lt;&gt;"", H3134&lt;&gt;""), HYPERLINK("#'" &amp; C3134 &amp; "'!" &amp; H3134, H3134), "")</f>
        <v>0</v>
      </c>
    </row>
    <row r="3135" spans="2:2">
      <c r="B3135" s="21">
        <f>IF(AND(C3135&lt;&gt;"", H3135&lt;&gt;""), HYPERLINK("#'" &amp; C3135 &amp; "'!" &amp; H3135, H3135), "")</f>
        <v>0</v>
      </c>
    </row>
    <row r="3136" spans="2:2">
      <c r="B3136" s="21">
        <f>IF(AND(C3136&lt;&gt;"", H3136&lt;&gt;""), HYPERLINK("#'" &amp; C3136 &amp; "'!" &amp; H3136, H3136), "")</f>
        <v>0</v>
      </c>
    </row>
    <row r="3137" spans="2:2">
      <c r="B3137" s="21">
        <f>IF(AND(C3137&lt;&gt;"", H3137&lt;&gt;""), HYPERLINK("#'" &amp; C3137 &amp; "'!" &amp; H3137, H3137), "")</f>
        <v>0</v>
      </c>
    </row>
    <row r="3138" spans="2:2">
      <c r="B3138" s="21">
        <f>IF(AND(C3138&lt;&gt;"", H3138&lt;&gt;""), HYPERLINK("#'" &amp; C3138 &amp; "'!" &amp; H3138, H3138), "")</f>
        <v>0</v>
      </c>
    </row>
    <row r="3139" spans="2:2">
      <c r="B3139" s="21">
        <f>IF(AND(C3139&lt;&gt;"", H3139&lt;&gt;""), HYPERLINK("#'" &amp; C3139 &amp; "'!" &amp; H3139, H3139), "")</f>
        <v>0</v>
      </c>
    </row>
    <row r="3140" spans="2:2">
      <c r="B3140" s="21">
        <f>IF(AND(C3140&lt;&gt;"", H3140&lt;&gt;""), HYPERLINK("#'" &amp; C3140 &amp; "'!" &amp; H3140, H3140), "")</f>
        <v>0</v>
      </c>
    </row>
    <row r="3141" spans="2:2">
      <c r="B3141" s="21">
        <f>IF(AND(C3141&lt;&gt;"", H3141&lt;&gt;""), HYPERLINK("#'" &amp; C3141 &amp; "'!" &amp; H3141, H3141), "")</f>
        <v>0</v>
      </c>
    </row>
    <row r="3142" spans="2:2">
      <c r="B3142" s="21">
        <f>IF(AND(C3142&lt;&gt;"", H3142&lt;&gt;""), HYPERLINK("#'" &amp; C3142 &amp; "'!" &amp; H3142, H3142), "")</f>
        <v>0</v>
      </c>
    </row>
    <row r="3143" spans="2:2">
      <c r="B3143" s="21">
        <f>IF(AND(C3143&lt;&gt;"", H3143&lt;&gt;""), HYPERLINK("#'" &amp; C3143 &amp; "'!" &amp; H3143, H3143), "")</f>
        <v>0</v>
      </c>
    </row>
    <row r="3144" spans="2:2">
      <c r="B3144" s="21">
        <f>IF(AND(C3144&lt;&gt;"", H3144&lt;&gt;""), HYPERLINK("#'" &amp; C3144 &amp; "'!" &amp; H3144, H3144), "")</f>
        <v>0</v>
      </c>
    </row>
    <row r="3145" spans="2:2">
      <c r="B3145" s="21">
        <f>IF(AND(C3145&lt;&gt;"", H3145&lt;&gt;""), HYPERLINK("#'" &amp; C3145 &amp; "'!" &amp; H3145, H3145), "")</f>
        <v>0</v>
      </c>
    </row>
    <row r="3146" spans="2:2">
      <c r="B3146" s="21">
        <f>IF(AND(C3146&lt;&gt;"", H3146&lt;&gt;""), HYPERLINK("#'" &amp; C3146 &amp; "'!" &amp; H3146, H3146), "")</f>
        <v>0</v>
      </c>
    </row>
    <row r="3147" spans="2:2">
      <c r="B3147" s="21">
        <f>IF(AND(C3147&lt;&gt;"", H3147&lt;&gt;""), HYPERLINK("#'" &amp; C3147 &amp; "'!" &amp; H3147, H3147), "")</f>
        <v>0</v>
      </c>
    </row>
    <row r="3148" spans="2:2">
      <c r="B3148" s="21">
        <f>IF(AND(C3148&lt;&gt;"", H3148&lt;&gt;""), HYPERLINK("#'" &amp; C3148 &amp; "'!" &amp; H3148, H3148), "")</f>
        <v>0</v>
      </c>
    </row>
    <row r="3149" spans="2:2">
      <c r="B3149" s="21">
        <f>IF(AND(C3149&lt;&gt;"", H3149&lt;&gt;""), HYPERLINK("#'" &amp; C3149 &amp; "'!" &amp; H3149, H3149), "")</f>
        <v>0</v>
      </c>
    </row>
    <row r="3150" spans="2:2">
      <c r="B3150" s="21">
        <f>IF(AND(C3150&lt;&gt;"", H3150&lt;&gt;""), HYPERLINK("#'" &amp; C3150 &amp; "'!" &amp; H3150, H3150), "")</f>
        <v>0</v>
      </c>
    </row>
    <row r="3151" spans="2:2">
      <c r="B3151" s="21">
        <f>IF(AND(C3151&lt;&gt;"", H3151&lt;&gt;""), HYPERLINK("#'" &amp; C3151 &amp; "'!" &amp; H3151, H3151), "")</f>
        <v>0</v>
      </c>
    </row>
    <row r="3152" spans="2:2">
      <c r="B3152" s="21">
        <f>IF(AND(C3152&lt;&gt;"", H3152&lt;&gt;""), HYPERLINK("#'" &amp; C3152 &amp; "'!" &amp; H3152, H3152), "")</f>
        <v>0</v>
      </c>
    </row>
    <row r="3153" spans="2:2">
      <c r="B3153" s="21">
        <f>IF(AND(C3153&lt;&gt;"", H3153&lt;&gt;""), HYPERLINK("#'" &amp; C3153 &amp; "'!" &amp; H3153, H3153), "")</f>
        <v>0</v>
      </c>
    </row>
    <row r="3154" spans="2:2">
      <c r="B3154" s="21">
        <f>IF(AND(C3154&lt;&gt;"", H3154&lt;&gt;""), HYPERLINK("#'" &amp; C3154 &amp; "'!" &amp; H3154, H3154), "")</f>
        <v>0</v>
      </c>
    </row>
    <row r="3155" spans="2:2">
      <c r="B3155" s="21">
        <f>IF(AND(C3155&lt;&gt;"", H3155&lt;&gt;""), HYPERLINK("#'" &amp; C3155 &amp; "'!" &amp; H3155, H3155), "")</f>
        <v>0</v>
      </c>
    </row>
    <row r="3156" spans="2:2">
      <c r="B3156" s="21">
        <f>IF(AND(C3156&lt;&gt;"", H3156&lt;&gt;""), HYPERLINK("#'" &amp; C3156 &amp; "'!" &amp; H3156, H3156), "")</f>
        <v>0</v>
      </c>
    </row>
    <row r="3157" spans="2:2">
      <c r="B3157" s="21">
        <f>IF(AND(C3157&lt;&gt;"", H3157&lt;&gt;""), HYPERLINK("#'" &amp; C3157 &amp; "'!" &amp; H3157, H3157), "")</f>
        <v>0</v>
      </c>
    </row>
    <row r="3158" spans="2:2">
      <c r="B3158" s="21">
        <f>IF(AND(C3158&lt;&gt;"", H3158&lt;&gt;""), HYPERLINK("#'" &amp; C3158 &amp; "'!" &amp; H3158, H3158), "")</f>
        <v>0</v>
      </c>
    </row>
    <row r="3159" spans="2:2">
      <c r="B3159" s="21">
        <f>IF(AND(C3159&lt;&gt;"", H3159&lt;&gt;""), HYPERLINK("#'" &amp; C3159 &amp; "'!" &amp; H3159, H3159), "")</f>
        <v>0</v>
      </c>
    </row>
    <row r="3160" spans="2:2">
      <c r="B3160" s="21">
        <f>IF(AND(C3160&lt;&gt;"", H3160&lt;&gt;""), HYPERLINK("#'" &amp; C3160 &amp; "'!" &amp; H3160, H3160), "")</f>
        <v>0</v>
      </c>
    </row>
    <row r="3161" spans="2:2">
      <c r="B3161" s="21">
        <f>IF(AND(C3161&lt;&gt;"", H3161&lt;&gt;""), HYPERLINK("#'" &amp; C3161 &amp; "'!" &amp; H3161, H3161), "")</f>
        <v>0</v>
      </c>
    </row>
    <row r="3162" spans="2:2">
      <c r="B3162" s="21">
        <f>IF(AND(C3162&lt;&gt;"", H3162&lt;&gt;""), HYPERLINK("#'" &amp; C3162 &amp; "'!" &amp; H3162, H3162), "")</f>
        <v>0</v>
      </c>
    </row>
    <row r="3163" spans="2:2">
      <c r="B3163" s="21">
        <f>IF(AND(C3163&lt;&gt;"", H3163&lt;&gt;""), HYPERLINK("#'" &amp; C3163 &amp; "'!" &amp; H3163, H3163), "")</f>
        <v>0</v>
      </c>
    </row>
    <row r="3164" spans="2:2">
      <c r="B3164" s="21">
        <f>IF(AND(C3164&lt;&gt;"", H3164&lt;&gt;""), HYPERLINK("#'" &amp; C3164 &amp; "'!" &amp; H3164, H3164), "")</f>
        <v>0</v>
      </c>
    </row>
    <row r="3165" spans="2:2">
      <c r="B3165" s="21">
        <f>IF(AND(C3165&lt;&gt;"", H3165&lt;&gt;""), HYPERLINK("#'" &amp; C3165 &amp; "'!" &amp; H3165, H3165), "")</f>
        <v>0</v>
      </c>
    </row>
    <row r="3166" spans="2:2">
      <c r="B3166" s="21">
        <f>IF(AND(C3166&lt;&gt;"", H3166&lt;&gt;""), HYPERLINK("#'" &amp; C3166 &amp; "'!" &amp; H3166, H3166), "")</f>
        <v>0</v>
      </c>
    </row>
    <row r="3167" spans="2:2">
      <c r="B3167" s="21">
        <f>IF(AND(C3167&lt;&gt;"", H3167&lt;&gt;""), HYPERLINK("#'" &amp; C3167 &amp; "'!" &amp; H3167, H3167), "")</f>
        <v>0</v>
      </c>
    </row>
    <row r="3168" spans="2:2">
      <c r="B3168" s="21">
        <f>IF(AND(C3168&lt;&gt;"", H3168&lt;&gt;""), HYPERLINK("#'" &amp; C3168 &amp; "'!" &amp; H3168, H3168), "")</f>
        <v>0</v>
      </c>
    </row>
    <row r="3169" spans="2:2">
      <c r="B3169" s="21">
        <f>IF(AND(C3169&lt;&gt;"", H3169&lt;&gt;""), HYPERLINK("#'" &amp; C3169 &amp; "'!" &amp; H3169, H3169), "")</f>
        <v>0</v>
      </c>
    </row>
    <row r="3170" spans="2:2">
      <c r="B3170" s="21">
        <f>IF(AND(C3170&lt;&gt;"", H3170&lt;&gt;""), HYPERLINK("#'" &amp; C3170 &amp; "'!" &amp; H3170, H3170), "")</f>
        <v>0</v>
      </c>
    </row>
    <row r="3171" spans="2:2">
      <c r="B3171" s="21">
        <f>IF(AND(C3171&lt;&gt;"", H3171&lt;&gt;""), HYPERLINK("#'" &amp; C3171 &amp; "'!" &amp; H3171, H3171), "")</f>
        <v>0</v>
      </c>
    </row>
    <row r="3172" spans="2:2">
      <c r="B3172" s="21">
        <f>IF(AND(C3172&lt;&gt;"", H3172&lt;&gt;""), HYPERLINK("#'" &amp; C3172 &amp; "'!" &amp; H3172, H3172), "")</f>
        <v>0</v>
      </c>
    </row>
    <row r="3173" spans="2:2">
      <c r="B3173" s="21">
        <f>IF(AND(C3173&lt;&gt;"", H3173&lt;&gt;""), HYPERLINK("#'" &amp; C3173 &amp; "'!" &amp; H3173, H3173), "")</f>
        <v>0</v>
      </c>
    </row>
    <row r="3174" spans="2:2">
      <c r="B3174" s="21">
        <f>IF(AND(C3174&lt;&gt;"", H3174&lt;&gt;""), HYPERLINK("#'" &amp; C3174 &amp; "'!" &amp; H3174, H3174), "")</f>
        <v>0</v>
      </c>
    </row>
    <row r="3175" spans="2:2">
      <c r="B3175" s="21">
        <f>IF(AND(C3175&lt;&gt;"", H3175&lt;&gt;""), HYPERLINK("#'" &amp; C3175 &amp; "'!" &amp; H3175, H3175), "")</f>
        <v>0</v>
      </c>
    </row>
    <row r="3176" spans="2:2">
      <c r="B3176" s="21">
        <f>IF(AND(C3176&lt;&gt;"", H3176&lt;&gt;""), HYPERLINK("#'" &amp; C3176 &amp; "'!" &amp; H3176, H3176), "")</f>
        <v>0</v>
      </c>
    </row>
    <row r="3177" spans="2:2">
      <c r="B3177" s="21">
        <f>IF(AND(C3177&lt;&gt;"", H3177&lt;&gt;""), HYPERLINK("#'" &amp; C3177 &amp; "'!" &amp; H3177, H3177), "")</f>
        <v>0</v>
      </c>
    </row>
    <row r="3178" spans="2:2">
      <c r="B3178" s="21">
        <f>IF(AND(C3178&lt;&gt;"", H3178&lt;&gt;""), HYPERLINK("#'" &amp; C3178 &amp; "'!" &amp; H3178, H3178), "")</f>
        <v>0</v>
      </c>
    </row>
    <row r="3179" spans="2:2">
      <c r="B3179" s="21">
        <f>IF(AND(C3179&lt;&gt;"", H3179&lt;&gt;""), HYPERLINK("#'" &amp; C3179 &amp; "'!" &amp; H3179, H3179), "")</f>
        <v>0</v>
      </c>
    </row>
    <row r="3180" spans="2:2">
      <c r="B3180" s="21">
        <f>IF(AND(C3180&lt;&gt;"", H3180&lt;&gt;""), HYPERLINK("#'" &amp; C3180 &amp; "'!" &amp; H3180, H3180), "")</f>
        <v>0</v>
      </c>
    </row>
    <row r="3181" spans="2:2">
      <c r="B3181" s="21">
        <f>IF(AND(C3181&lt;&gt;"", H3181&lt;&gt;""), HYPERLINK("#'" &amp; C3181 &amp; "'!" &amp; H3181, H3181), "")</f>
        <v>0</v>
      </c>
    </row>
    <row r="3182" spans="2:2">
      <c r="B3182" s="21">
        <f>IF(AND(C3182&lt;&gt;"", H3182&lt;&gt;""), HYPERLINK("#'" &amp; C3182 &amp; "'!" &amp; H3182, H3182), "")</f>
        <v>0</v>
      </c>
    </row>
    <row r="3183" spans="2:2">
      <c r="B3183" s="21">
        <f>IF(AND(C3183&lt;&gt;"", H3183&lt;&gt;""), HYPERLINK("#'" &amp; C3183 &amp; "'!" &amp; H3183, H3183), "")</f>
        <v>0</v>
      </c>
    </row>
    <row r="3184" spans="2:2">
      <c r="B3184" s="21">
        <f>IF(AND(C3184&lt;&gt;"", H3184&lt;&gt;""), HYPERLINK("#'" &amp; C3184 &amp; "'!" &amp; H3184, H3184), "")</f>
        <v>0</v>
      </c>
    </row>
    <row r="3185" spans="2:2">
      <c r="B3185" s="21">
        <f>IF(AND(C3185&lt;&gt;"", H3185&lt;&gt;""), HYPERLINK("#'" &amp; C3185 &amp; "'!" &amp; H3185, H3185), "")</f>
        <v>0</v>
      </c>
    </row>
    <row r="3186" spans="2:2">
      <c r="B3186" s="21">
        <f>IF(AND(C3186&lt;&gt;"", H3186&lt;&gt;""), HYPERLINK("#'" &amp; C3186 &amp; "'!" &amp; H3186, H3186), "")</f>
        <v>0</v>
      </c>
    </row>
    <row r="3187" spans="2:2">
      <c r="B3187" s="21">
        <f>IF(AND(C3187&lt;&gt;"", H3187&lt;&gt;""), HYPERLINK("#'" &amp; C3187 &amp; "'!" &amp; H3187, H3187), "")</f>
        <v>0</v>
      </c>
    </row>
    <row r="3188" spans="2:2">
      <c r="B3188" s="21">
        <f>IF(AND(C3188&lt;&gt;"", H3188&lt;&gt;""), HYPERLINK("#'" &amp; C3188 &amp; "'!" &amp; H3188, H3188), "")</f>
        <v>0</v>
      </c>
    </row>
    <row r="3189" spans="2:2">
      <c r="B3189" s="21">
        <f>IF(AND(C3189&lt;&gt;"", H3189&lt;&gt;""), HYPERLINK("#'" &amp; C3189 &amp; "'!" &amp; H3189, H3189), "")</f>
        <v>0</v>
      </c>
    </row>
    <row r="3190" spans="2:2">
      <c r="B3190" s="21">
        <f>IF(AND(C3190&lt;&gt;"", H3190&lt;&gt;""), HYPERLINK("#'" &amp; C3190 &amp; "'!" &amp; H3190, H3190), "")</f>
        <v>0</v>
      </c>
    </row>
    <row r="3191" spans="2:2">
      <c r="B3191" s="21">
        <f>IF(AND(C3191&lt;&gt;"", H3191&lt;&gt;""), HYPERLINK("#'" &amp; C3191 &amp; "'!" &amp; H3191, H3191), "")</f>
        <v>0</v>
      </c>
    </row>
    <row r="3192" spans="2:2">
      <c r="B3192" s="21">
        <f>IF(AND(C3192&lt;&gt;"", H3192&lt;&gt;""), HYPERLINK("#'" &amp; C3192 &amp; "'!" &amp; H3192, H3192), "")</f>
        <v>0</v>
      </c>
    </row>
    <row r="3193" spans="2:2">
      <c r="B3193" s="21">
        <f>IF(AND(C3193&lt;&gt;"", H3193&lt;&gt;""), HYPERLINK("#'" &amp; C3193 &amp; "'!" &amp; H3193, H3193), "")</f>
        <v>0</v>
      </c>
    </row>
    <row r="3194" spans="2:2">
      <c r="B3194" s="21">
        <f>IF(AND(C3194&lt;&gt;"", H3194&lt;&gt;""), HYPERLINK("#'" &amp; C3194 &amp; "'!" &amp; H3194, H3194), "")</f>
        <v>0</v>
      </c>
    </row>
    <row r="3195" spans="2:2">
      <c r="B3195" s="21">
        <f>IF(AND(C3195&lt;&gt;"", H3195&lt;&gt;""), HYPERLINK("#'" &amp; C3195 &amp; "'!" &amp; H3195, H3195), "")</f>
        <v>0</v>
      </c>
    </row>
    <row r="3196" spans="2:2">
      <c r="B3196" s="21">
        <f>IF(AND(C3196&lt;&gt;"", H3196&lt;&gt;""), HYPERLINK("#'" &amp; C3196 &amp; "'!" &amp; H3196, H3196), "")</f>
        <v>0</v>
      </c>
    </row>
    <row r="3197" spans="2:2">
      <c r="B3197" s="21">
        <f>IF(AND(C3197&lt;&gt;"", H3197&lt;&gt;""), HYPERLINK("#'" &amp; C3197 &amp; "'!" &amp; H3197, H3197), "")</f>
        <v>0</v>
      </c>
    </row>
    <row r="3198" spans="2:2">
      <c r="B3198" s="21">
        <f>IF(AND(C3198&lt;&gt;"", H3198&lt;&gt;""), HYPERLINK("#'" &amp; C3198 &amp; "'!" &amp; H3198, H3198), "")</f>
        <v>0</v>
      </c>
    </row>
    <row r="3199" spans="2:2">
      <c r="B3199" s="21">
        <f>IF(AND(C3199&lt;&gt;"", H3199&lt;&gt;""), HYPERLINK("#'" &amp; C3199 &amp; "'!" &amp; H3199, H3199), "")</f>
        <v>0</v>
      </c>
    </row>
    <row r="3200" spans="2:2">
      <c r="B3200" s="21">
        <f>IF(AND(C3200&lt;&gt;"", H3200&lt;&gt;""), HYPERLINK("#'" &amp; C3200 &amp; "'!" &amp; H3200, H3200), "")</f>
        <v>0</v>
      </c>
    </row>
    <row r="3201" spans="2:2">
      <c r="B3201" s="21">
        <f>IF(AND(C3201&lt;&gt;"", H3201&lt;&gt;""), HYPERLINK("#'" &amp; C3201 &amp; "'!" &amp; H3201, H3201), "")</f>
        <v>0</v>
      </c>
    </row>
    <row r="3202" spans="2:2">
      <c r="B3202" s="21">
        <f>IF(AND(C3202&lt;&gt;"", H3202&lt;&gt;""), HYPERLINK("#'" &amp; C3202 &amp; "'!" &amp; H3202, H3202), "")</f>
        <v>0</v>
      </c>
    </row>
    <row r="3203" spans="2:2">
      <c r="B3203" s="21">
        <f>IF(AND(C3203&lt;&gt;"", H3203&lt;&gt;""), HYPERLINK("#'" &amp; C3203 &amp; "'!" &amp; H3203, H3203), "")</f>
        <v>0</v>
      </c>
    </row>
    <row r="3204" spans="2:2">
      <c r="B3204" s="21">
        <f>IF(AND(C3204&lt;&gt;"", H3204&lt;&gt;""), HYPERLINK("#'" &amp; C3204 &amp; "'!" &amp; H3204, H3204), "")</f>
        <v>0</v>
      </c>
    </row>
    <row r="3205" spans="2:2">
      <c r="B3205" s="21">
        <f>IF(AND(C3205&lt;&gt;"", H3205&lt;&gt;""), HYPERLINK("#'" &amp; C3205 &amp; "'!" &amp; H3205, H3205), "")</f>
        <v>0</v>
      </c>
    </row>
    <row r="3206" spans="2:2">
      <c r="B3206" s="21">
        <f>IF(AND(C3206&lt;&gt;"", H3206&lt;&gt;""), HYPERLINK("#'" &amp; C3206 &amp; "'!" &amp; H3206, H3206), "")</f>
        <v>0</v>
      </c>
    </row>
    <row r="3207" spans="2:2">
      <c r="B3207" s="21">
        <f>IF(AND(C3207&lt;&gt;"", H3207&lt;&gt;""), HYPERLINK("#'" &amp; C3207 &amp; "'!" &amp; H3207, H3207), "")</f>
        <v>0</v>
      </c>
    </row>
    <row r="3208" spans="2:2">
      <c r="B3208" s="21">
        <f>IF(AND(C3208&lt;&gt;"", H3208&lt;&gt;""), HYPERLINK("#'" &amp; C3208 &amp; "'!" &amp; H3208, H3208), "")</f>
        <v>0</v>
      </c>
    </row>
    <row r="3209" spans="2:2">
      <c r="B3209" s="21">
        <f>IF(AND(C3209&lt;&gt;"", H3209&lt;&gt;""), HYPERLINK("#'" &amp; C3209 &amp; "'!" &amp; H3209, H3209), "")</f>
        <v>0</v>
      </c>
    </row>
    <row r="3210" spans="2:2">
      <c r="B3210" s="21">
        <f>IF(AND(C3210&lt;&gt;"", H3210&lt;&gt;""), HYPERLINK("#'" &amp; C3210 &amp; "'!" &amp; H3210, H3210), "")</f>
        <v>0</v>
      </c>
    </row>
    <row r="3211" spans="2:2">
      <c r="B3211" s="21">
        <f>IF(AND(C3211&lt;&gt;"", H3211&lt;&gt;""), HYPERLINK("#'" &amp; C3211 &amp; "'!" &amp; H3211, H3211), "")</f>
        <v>0</v>
      </c>
    </row>
    <row r="3212" spans="2:2">
      <c r="B3212" s="21">
        <f>IF(AND(C3212&lt;&gt;"", H3212&lt;&gt;""), HYPERLINK("#'" &amp; C3212 &amp; "'!" &amp; H3212, H3212), "")</f>
        <v>0</v>
      </c>
    </row>
    <row r="3213" spans="2:2">
      <c r="B3213" s="21">
        <f>IF(AND(C3213&lt;&gt;"", H3213&lt;&gt;""), HYPERLINK("#'" &amp; C3213 &amp; "'!" &amp; H3213, H3213), "")</f>
        <v>0</v>
      </c>
    </row>
    <row r="3214" spans="2:2">
      <c r="B3214" s="21">
        <f>IF(AND(C3214&lt;&gt;"", H3214&lt;&gt;""), HYPERLINK("#'" &amp; C3214 &amp; "'!" &amp; H3214, H3214), "")</f>
        <v>0</v>
      </c>
    </row>
    <row r="3215" spans="2:2">
      <c r="B3215" s="21">
        <f>IF(AND(C3215&lt;&gt;"", H3215&lt;&gt;""), HYPERLINK("#'" &amp; C3215 &amp; "'!" &amp; H3215, H3215), "")</f>
        <v>0</v>
      </c>
    </row>
    <row r="3216" spans="2:2">
      <c r="B3216" s="21">
        <f>IF(AND(C3216&lt;&gt;"", H3216&lt;&gt;""), HYPERLINK("#'" &amp; C3216 &amp; "'!" &amp; H3216, H3216), "")</f>
        <v>0</v>
      </c>
    </row>
    <row r="3217" spans="2:2">
      <c r="B3217" s="21">
        <f>IF(AND(C3217&lt;&gt;"", H3217&lt;&gt;""), HYPERLINK("#'" &amp; C3217 &amp; "'!" &amp; H3217, H3217), "")</f>
        <v>0</v>
      </c>
    </row>
    <row r="3218" spans="2:2">
      <c r="B3218" s="21">
        <f>IF(AND(C3218&lt;&gt;"", H3218&lt;&gt;""), HYPERLINK("#'" &amp; C3218 &amp; "'!" &amp; H3218, H3218), "")</f>
        <v>0</v>
      </c>
    </row>
    <row r="3219" spans="2:2">
      <c r="B3219" s="21">
        <f>IF(AND(C3219&lt;&gt;"", H3219&lt;&gt;""), HYPERLINK("#'" &amp; C3219 &amp; "'!" &amp; H3219, H3219), "")</f>
        <v>0</v>
      </c>
    </row>
    <row r="3220" spans="2:2">
      <c r="B3220" s="21">
        <f>IF(AND(C3220&lt;&gt;"", H3220&lt;&gt;""), HYPERLINK("#'" &amp; C3220 &amp; "'!" &amp; H3220, H3220), "")</f>
        <v>0</v>
      </c>
    </row>
    <row r="3221" spans="2:2">
      <c r="B3221" s="21">
        <f>IF(AND(C3221&lt;&gt;"", H3221&lt;&gt;""), HYPERLINK("#'" &amp; C3221 &amp; "'!" &amp; H3221, H3221), "")</f>
        <v>0</v>
      </c>
    </row>
    <row r="3222" spans="2:2">
      <c r="B3222" s="21">
        <f>IF(AND(C3222&lt;&gt;"", H3222&lt;&gt;""), HYPERLINK("#'" &amp; C3222 &amp; "'!" &amp; H3222, H3222), "")</f>
        <v>0</v>
      </c>
    </row>
    <row r="3223" spans="2:2">
      <c r="B3223" s="21">
        <f>IF(AND(C3223&lt;&gt;"", H3223&lt;&gt;""), HYPERLINK("#'" &amp; C3223 &amp; "'!" &amp; H3223, H3223), "")</f>
        <v>0</v>
      </c>
    </row>
    <row r="3224" spans="2:2">
      <c r="B3224" s="21">
        <f>IF(AND(C3224&lt;&gt;"", H3224&lt;&gt;""), HYPERLINK("#'" &amp; C3224 &amp; "'!" &amp; H3224, H3224), "")</f>
        <v>0</v>
      </c>
    </row>
    <row r="3225" spans="2:2">
      <c r="B3225" s="21">
        <f>IF(AND(C3225&lt;&gt;"", H3225&lt;&gt;""), HYPERLINK("#'" &amp; C3225 &amp; "'!" &amp; H3225, H3225), "")</f>
        <v>0</v>
      </c>
    </row>
    <row r="3226" spans="2:2">
      <c r="B3226" s="21">
        <f>IF(AND(C3226&lt;&gt;"", H3226&lt;&gt;""), HYPERLINK("#'" &amp; C3226 &amp; "'!" &amp; H3226, H3226), "")</f>
        <v>0</v>
      </c>
    </row>
    <row r="3227" spans="2:2">
      <c r="B3227" s="21">
        <f>IF(AND(C3227&lt;&gt;"", H3227&lt;&gt;""), HYPERLINK("#'" &amp; C3227 &amp; "'!" &amp; H3227, H3227), "")</f>
        <v>0</v>
      </c>
    </row>
    <row r="3228" spans="2:2">
      <c r="B3228" s="21">
        <f>IF(AND(C3228&lt;&gt;"", H3228&lt;&gt;""), HYPERLINK("#'" &amp; C3228 &amp; "'!" &amp; H3228, H3228), "")</f>
        <v>0</v>
      </c>
    </row>
    <row r="3229" spans="2:2">
      <c r="B3229" s="21">
        <f>IF(AND(C3229&lt;&gt;"", H3229&lt;&gt;""), HYPERLINK("#'" &amp; C3229 &amp; "'!" &amp; H3229, H3229), "")</f>
        <v>0</v>
      </c>
    </row>
    <row r="3230" spans="2:2">
      <c r="B3230" s="21">
        <f>IF(AND(C3230&lt;&gt;"", H3230&lt;&gt;""), HYPERLINK("#'" &amp; C3230 &amp; "'!" &amp; H3230, H3230), "")</f>
        <v>0</v>
      </c>
    </row>
    <row r="3231" spans="2:2">
      <c r="B3231" s="21">
        <f>IF(AND(C3231&lt;&gt;"", H3231&lt;&gt;""), HYPERLINK("#'" &amp; C3231 &amp; "'!" &amp; H3231, H3231), "")</f>
        <v>0</v>
      </c>
    </row>
    <row r="3232" spans="2:2">
      <c r="B3232" s="21">
        <f>IF(AND(C3232&lt;&gt;"", H3232&lt;&gt;""), HYPERLINK("#'" &amp; C3232 &amp; "'!" &amp; H3232, H3232), "")</f>
        <v>0</v>
      </c>
    </row>
    <row r="3233" spans="2:2">
      <c r="B3233" s="21">
        <f>IF(AND(C3233&lt;&gt;"", H3233&lt;&gt;""), HYPERLINK("#'" &amp; C3233 &amp; "'!" &amp; H3233, H3233), "")</f>
        <v>0</v>
      </c>
    </row>
    <row r="3234" spans="2:2">
      <c r="B3234" s="21">
        <f>IF(AND(C3234&lt;&gt;"", H3234&lt;&gt;""), HYPERLINK("#'" &amp; C3234 &amp; "'!" &amp; H3234, H3234), "")</f>
        <v>0</v>
      </c>
    </row>
    <row r="3235" spans="2:2">
      <c r="B3235" s="21">
        <f>IF(AND(C3235&lt;&gt;"", H3235&lt;&gt;""), HYPERLINK("#'" &amp; C3235 &amp; "'!" &amp; H3235, H3235), "")</f>
        <v>0</v>
      </c>
    </row>
    <row r="3236" spans="2:2">
      <c r="B3236" s="21">
        <f>IF(AND(C3236&lt;&gt;"", H3236&lt;&gt;""), HYPERLINK("#'" &amp; C3236 &amp; "'!" &amp; H3236, H3236), "")</f>
        <v>0</v>
      </c>
    </row>
    <row r="3237" spans="2:2">
      <c r="B3237" s="21">
        <f>IF(AND(C3237&lt;&gt;"", H3237&lt;&gt;""), HYPERLINK("#'" &amp; C3237 &amp; "'!" &amp; H3237, H3237), "")</f>
        <v>0</v>
      </c>
    </row>
    <row r="3238" spans="2:2">
      <c r="B3238" s="21">
        <f>IF(AND(C3238&lt;&gt;"", H3238&lt;&gt;""), HYPERLINK("#'" &amp; C3238 &amp; "'!" &amp; H3238, H3238), "")</f>
        <v>0</v>
      </c>
    </row>
    <row r="3239" spans="2:2">
      <c r="B3239" s="21">
        <f>IF(AND(C3239&lt;&gt;"", H3239&lt;&gt;""), HYPERLINK("#'" &amp; C3239 &amp; "'!" &amp; H3239, H3239), "")</f>
        <v>0</v>
      </c>
    </row>
    <row r="3240" spans="2:2">
      <c r="B3240" s="21">
        <f>IF(AND(C3240&lt;&gt;"", H3240&lt;&gt;""), HYPERLINK("#'" &amp; C3240 &amp; "'!" &amp; H3240, H3240), "")</f>
        <v>0</v>
      </c>
    </row>
    <row r="3241" spans="2:2">
      <c r="B3241" s="21">
        <f>IF(AND(C3241&lt;&gt;"", H3241&lt;&gt;""), HYPERLINK("#'" &amp; C3241 &amp; "'!" &amp; H3241, H3241), "")</f>
        <v>0</v>
      </c>
    </row>
    <row r="3242" spans="2:2">
      <c r="B3242" s="21">
        <f>IF(AND(C3242&lt;&gt;"", H3242&lt;&gt;""), HYPERLINK("#'" &amp; C3242 &amp; "'!" &amp; H3242, H3242), "")</f>
        <v>0</v>
      </c>
    </row>
    <row r="3243" spans="2:2">
      <c r="B3243" s="21">
        <f>IF(AND(C3243&lt;&gt;"", H3243&lt;&gt;""), HYPERLINK("#'" &amp; C3243 &amp; "'!" &amp; H3243, H3243), "")</f>
        <v>0</v>
      </c>
    </row>
    <row r="3244" spans="2:2">
      <c r="B3244" s="21">
        <f>IF(AND(C3244&lt;&gt;"", H3244&lt;&gt;""), HYPERLINK("#'" &amp; C3244 &amp; "'!" &amp; H3244, H3244), "")</f>
        <v>0</v>
      </c>
    </row>
    <row r="3245" spans="2:2">
      <c r="B3245" s="21">
        <f>IF(AND(C3245&lt;&gt;"", H3245&lt;&gt;""), HYPERLINK("#'" &amp; C3245 &amp; "'!" &amp; H3245, H3245), "")</f>
        <v>0</v>
      </c>
    </row>
    <row r="3246" spans="2:2">
      <c r="B3246" s="21">
        <f>IF(AND(C3246&lt;&gt;"", H3246&lt;&gt;""), HYPERLINK("#'" &amp; C3246 &amp; "'!" &amp; H3246, H3246), "")</f>
        <v>0</v>
      </c>
    </row>
    <row r="3247" spans="2:2">
      <c r="B3247" s="21">
        <f>IF(AND(C3247&lt;&gt;"", H3247&lt;&gt;""), HYPERLINK("#'" &amp; C3247 &amp; "'!" &amp; H3247, H3247), "")</f>
        <v>0</v>
      </c>
    </row>
    <row r="3248" spans="2:2">
      <c r="B3248" s="21">
        <f>IF(AND(C3248&lt;&gt;"", H3248&lt;&gt;""), HYPERLINK("#'" &amp; C3248 &amp; "'!" &amp; H3248, H3248), "")</f>
        <v>0</v>
      </c>
    </row>
    <row r="3249" spans="2:2">
      <c r="B3249" s="21">
        <f>IF(AND(C3249&lt;&gt;"", H3249&lt;&gt;""), HYPERLINK("#'" &amp; C3249 &amp; "'!" &amp; H3249, H3249), "")</f>
        <v>0</v>
      </c>
    </row>
    <row r="3250" spans="2:2">
      <c r="B3250" s="21">
        <f>IF(AND(C3250&lt;&gt;"", H3250&lt;&gt;""), HYPERLINK("#'" &amp; C3250 &amp; "'!" &amp; H3250, H3250), "")</f>
        <v>0</v>
      </c>
    </row>
    <row r="3251" spans="2:2">
      <c r="B3251" s="21">
        <f>IF(AND(C3251&lt;&gt;"", H3251&lt;&gt;""), HYPERLINK("#'" &amp; C3251 &amp; "'!" &amp; H3251, H3251), "")</f>
        <v>0</v>
      </c>
    </row>
    <row r="3252" spans="2:2">
      <c r="B3252" s="21">
        <f>IF(AND(C3252&lt;&gt;"", H3252&lt;&gt;""), HYPERLINK("#'" &amp; C3252 &amp; "'!" &amp; H3252, H3252), "")</f>
        <v>0</v>
      </c>
    </row>
    <row r="3253" spans="2:2">
      <c r="B3253" s="21">
        <f>IF(AND(C3253&lt;&gt;"", H3253&lt;&gt;""), HYPERLINK("#'" &amp; C3253 &amp; "'!" &amp; H3253, H3253), "")</f>
        <v>0</v>
      </c>
    </row>
    <row r="3254" spans="2:2">
      <c r="B3254" s="21">
        <f>IF(AND(C3254&lt;&gt;"", H3254&lt;&gt;""), HYPERLINK("#'" &amp; C3254 &amp; "'!" &amp; H3254, H3254), "")</f>
        <v>0</v>
      </c>
    </row>
    <row r="3255" spans="2:2">
      <c r="B3255" s="21">
        <f>IF(AND(C3255&lt;&gt;"", H3255&lt;&gt;""), HYPERLINK("#'" &amp; C3255 &amp; "'!" &amp; H3255, H3255), "")</f>
        <v>0</v>
      </c>
    </row>
    <row r="3256" spans="2:2">
      <c r="B3256" s="21">
        <f>IF(AND(C3256&lt;&gt;"", H3256&lt;&gt;""), HYPERLINK("#'" &amp; C3256 &amp; "'!" &amp; H3256, H3256), "")</f>
        <v>0</v>
      </c>
    </row>
    <row r="3257" spans="2:2">
      <c r="B3257" s="21">
        <f>IF(AND(C3257&lt;&gt;"", H3257&lt;&gt;""), HYPERLINK("#'" &amp; C3257 &amp; "'!" &amp; H3257, H3257), "")</f>
        <v>0</v>
      </c>
    </row>
    <row r="3258" spans="2:2">
      <c r="B3258" s="21">
        <f>IF(AND(C3258&lt;&gt;"", H3258&lt;&gt;""), HYPERLINK("#'" &amp; C3258 &amp; "'!" &amp; H3258, H3258), "")</f>
        <v>0</v>
      </c>
    </row>
    <row r="3259" spans="2:2">
      <c r="B3259" s="21">
        <f>IF(AND(C3259&lt;&gt;"", H3259&lt;&gt;""), HYPERLINK("#'" &amp; C3259 &amp; "'!" &amp; H3259, H3259), "")</f>
        <v>0</v>
      </c>
    </row>
    <row r="3260" spans="2:2">
      <c r="B3260" s="21">
        <f>IF(AND(C3260&lt;&gt;"", H3260&lt;&gt;""), HYPERLINK("#'" &amp; C3260 &amp; "'!" &amp; H3260, H3260), "")</f>
        <v>0</v>
      </c>
    </row>
    <row r="3261" spans="2:2">
      <c r="B3261" s="21">
        <f>IF(AND(C3261&lt;&gt;"", H3261&lt;&gt;""), HYPERLINK("#'" &amp; C3261 &amp; "'!" &amp; H3261, H3261), "")</f>
        <v>0</v>
      </c>
    </row>
    <row r="3262" spans="2:2">
      <c r="B3262" s="21">
        <f>IF(AND(C3262&lt;&gt;"", H3262&lt;&gt;""), HYPERLINK("#'" &amp; C3262 &amp; "'!" &amp; H3262, H3262), "")</f>
        <v>0</v>
      </c>
    </row>
    <row r="3263" spans="2:2">
      <c r="B3263" s="21">
        <f>IF(AND(C3263&lt;&gt;"", H3263&lt;&gt;""), HYPERLINK("#'" &amp; C3263 &amp; "'!" &amp; H3263, H3263), "")</f>
        <v>0</v>
      </c>
    </row>
    <row r="3264" spans="2:2">
      <c r="B3264" s="21">
        <f>IF(AND(C3264&lt;&gt;"", H3264&lt;&gt;""), HYPERLINK("#'" &amp; C3264 &amp; "'!" &amp; H3264, H3264), "")</f>
        <v>0</v>
      </c>
    </row>
    <row r="3265" spans="2:2">
      <c r="B3265" s="21">
        <f>IF(AND(C3265&lt;&gt;"", H3265&lt;&gt;""), HYPERLINK("#'" &amp; C3265 &amp; "'!" &amp; H3265, H3265), "")</f>
        <v>0</v>
      </c>
    </row>
    <row r="3266" spans="2:2">
      <c r="B3266" s="21">
        <f>IF(AND(C3266&lt;&gt;"", H3266&lt;&gt;""), HYPERLINK("#'" &amp; C3266 &amp; "'!" &amp; H3266, H3266), "")</f>
        <v>0</v>
      </c>
    </row>
    <row r="3267" spans="2:2">
      <c r="B3267" s="21">
        <f>IF(AND(C3267&lt;&gt;"", H3267&lt;&gt;""), HYPERLINK("#'" &amp; C3267 &amp; "'!" &amp; H3267, H3267), "")</f>
        <v>0</v>
      </c>
    </row>
    <row r="3268" spans="2:2">
      <c r="B3268" s="21">
        <f>IF(AND(C3268&lt;&gt;"", H3268&lt;&gt;""), HYPERLINK("#'" &amp; C3268 &amp; "'!" &amp; H3268, H3268), "")</f>
        <v>0</v>
      </c>
    </row>
    <row r="3269" spans="2:2">
      <c r="B3269" s="21">
        <f>IF(AND(C3269&lt;&gt;"", H3269&lt;&gt;""), HYPERLINK("#'" &amp; C3269 &amp; "'!" &amp; H3269, H3269), "")</f>
        <v>0</v>
      </c>
    </row>
    <row r="3270" spans="2:2">
      <c r="B3270" s="21">
        <f>IF(AND(C3270&lt;&gt;"", H3270&lt;&gt;""), HYPERLINK("#'" &amp; C3270 &amp; "'!" &amp; H3270, H3270), "")</f>
        <v>0</v>
      </c>
    </row>
    <row r="3271" spans="2:2">
      <c r="B3271" s="21">
        <f>IF(AND(C3271&lt;&gt;"", H3271&lt;&gt;""), HYPERLINK("#'" &amp; C3271 &amp; "'!" &amp; H3271, H3271), "")</f>
        <v>0</v>
      </c>
    </row>
    <row r="3272" spans="2:2">
      <c r="B3272" s="21">
        <f>IF(AND(C3272&lt;&gt;"", H3272&lt;&gt;""), HYPERLINK("#'" &amp; C3272 &amp; "'!" &amp; H3272, H3272), "")</f>
        <v>0</v>
      </c>
    </row>
    <row r="3273" spans="2:2">
      <c r="B3273" s="21">
        <f>IF(AND(C3273&lt;&gt;"", H3273&lt;&gt;""), HYPERLINK("#'" &amp; C3273 &amp; "'!" &amp; H3273, H3273), "")</f>
        <v>0</v>
      </c>
    </row>
    <row r="3274" spans="2:2">
      <c r="B3274" s="21">
        <f>IF(AND(C3274&lt;&gt;"", H3274&lt;&gt;""), HYPERLINK("#'" &amp; C3274 &amp; "'!" &amp; H3274, H3274), "")</f>
        <v>0</v>
      </c>
    </row>
    <row r="3275" spans="2:2">
      <c r="B3275" s="21">
        <f>IF(AND(C3275&lt;&gt;"", H3275&lt;&gt;""), HYPERLINK("#'" &amp; C3275 &amp; "'!" &amp; H3275, H3275), "")</f>
        <v>0</v>
      </c>
    </row>
    <row r="3276" spans="2:2">
      <c r="B3276" s="21">
        <f>IF(AND(C3276&lt;&gt;"", H3276&lt;&gt;""), HYPERLINK("#'" &amp; C3276 &amp; "'!" &amp; H3276, H3276), "")</f>
        <v>0</v>
      </c>
    </row>
    <row r="3277" spans="2:2">
      <c r="B3277" s="21">
        <f>IF(AND(C3277&lt;&gt;"", H3277&lt;&gt;""), HYPERLINK("#'" &amp; C3277 &amp; "'!" &amp; H3277, H3277), "")</f>
        <v>0</v>
      </c>
    </row>
    <row r="3278" spans="2:2">
      <c r="B3278" s="21">
        <f>IF(AND(C3278&lt;&gt;"", H3278&lt;&gt;""), HYPERLINK("#'" &amp; C3278 &amp; "'!" &amp; H3278, H3278), "")</f>
        <v>0</v>
      </c>
    </row>
    <row r="3279" spans="2:2">
      <c r="B3279" s="21">
        <f>IF(AND(C3279&lt;&gt;"", H3279&lt;&gt;""), HYPERLINK("#'" &amp; C3279 &amp; "'!" &amp; H3279, H3279), "")</f>
        <v>0</v>
      </c>
    </row>
    <row r="3280" spans="2:2">
      <c r="B3280" s="21">
        <f>IF(AND(C3280&lt;&gt;"", H3280&lt;&gt;""), HYPERLINK("#'" &amp; C3280 &amp; "'!" &amp; H3280, H3280), "")</f>
        <v>0</v>
      </c>
    </row>
    <row r="3281" spans="2:2">
      <c r="B3281" s="21">
        <f>IF(AND(C3281&lt;&gt;"", H3281&lt;&gt;""), HYPERLINK("#'" &amp; C3281 &amp; "'!" &amp; H3281, H3281), "")</f>
        <v>0</v>
      </c>
    </row>
    <row r="3282" spans="2:2">
      <c r="B3282" s="21">
        <f>IF(AND(C3282&lt;&gt;"", H3282&lt;&gt;""), HYPERLINK("#'" &amp; C3282 &amp; "'!" &amp; H3282, H3282), "")</f>
        <v>0</v>
      </c>
    </row>
    <row r="3283" spans="2:2">
      <c r="B3283" s="21">
        <f>IF(AND(C3283&lt;&gt;"", H3283&lt;&gt;""), HYPERLINK("#'" &amp; C3283 &amp; "'!" &amp; H3283, H3283), "")</f>
        <v>0</v>
      </c>
    </row>
    <row r="3284" spans="2:2">
      <c r="B3284" s="21">
        <f>IF(AND(C3284&lt;&gt;"", H3284&lt;&gt;""), HYPERLINK("#'" &amp; C3284 &amp; "'!" &amp; H3284, H3284), "")</f>
        <v>0</v>
      </c>
    </row>
    <row r="3285" spans="2:2">
      <c r="B3285" s="21">
        <f>IF(AND(C3285&lt;&gt;"", H3285&lt;&gt;""), HYPERLINK("#'" &amp; C3285 &amp; "'!" &amp; H3285, H3285), "")</f>
        <v>0</v>
      </c>
    </row>
    <row r="3286" spans="2:2">
      <c r="B3286" s="21">
        <f>IF(AND(C3286&lt;&gt;"", H3286&lt;&gt;""), HYPERLINK("#'" &amp; C3286 &amp; "'!" &amp; H3286, H3286), "")</f>
        <v>0</v>
      </c>
    </row>
    <row r="3287" spans="2:2">
      <c r="B3287" s="21">
        <f>IF(AND(C3287&lt;&gt;"", H3287&lt;&gt;""), HYPERLINK("#'" &amp; C3287 &amp; "'!" &amp; H3287, H3287), "")</f>
        <v>0</v>
      </c>
    </row>
    <row r="3288" spans="2:2">
      <c r="B3288" s="21">
        <f>IF(AND(C3288&lt;&gt;"", H3288&lt;&gt;""), HYPERLINK("#'" &amp; C3288 &amp; "'!" &amp; H3288, H3288), "")</f>
        <v>0</v>
      </c>
    </row>
    <row r="3289" spans="2:2">
      <c r="B3289" s="21">
        <f>IF(AND(C3289&lt;&gt;"", H3289&lt;&gt;""), HYPERLINK("#'" &amp; C3289 &amp; "'!" &amp; H3289, H3289), "")</f>
        <v>0</v>
      </c>
    </row>
    <row r="3290" spans="2:2">
      <c r="B3290" s="21">
        <f>IF(AND(C3290&lt;&gt;"", H3290&lt;&gt;""), HYPERLINK("#'" &amp; C3290 &amp; "'!" &amp; H3290, H3290), "")</f>
        <v>0</v>
      </c>
    </row>
    <row r="3291" spans="2:2">
      <c r="B3291" s="21">
        <f>IF(AND(C3291&lt;&gt;"", H3291&lt;&gt;""), HYPERLINK("#'" &amp; C3291 &amp; "'!" &amp; H3291, H3291), "")</f>
        <v>0</v>
      </c>
    </row>
    <row r="3292" spans="2:2">
      <c r="B3292" s="21">
        <f>IF(AND(C3292&lt;&gt;"", H3292&lt;&gt;""), HYPERLINK("#'" &amp; C3292 &amp; "'!" &amp; H3292, H3292), "")</f>
        <v>0</v>
      </c>
    </row>
    <row r="3293" spans="2:2">
      <c r="B3293" s="21">
        <f>IF(AND(C3293&lt;&gt;"", H3293&lt;&gt;""), HYPERLINK("#'" &amp; C3293 &amp; "'!" &amp; H3293, H3293), "")</f>
        <v>0</v>
      </c>
    </row>
    <row r="3294" spans="2:2">
      <c r="B3294" s="21">
        <f>IF(AND(C3294&lt;&gt;"", H3294&lt;&gt;""), HYPERLINK("#'" &amp; C3294 &amp; "'!" &amp; H3294, H3294), "")</f>
        <v>0</v>
      </c>
    </row>
    <row r="3295" spans="2:2">
      <c r="B3295" s="21">
        <f>IF(AND(C3295&lt;&gt;"", H3295&lt;&gt;""), HYPERLINK("#'" &amp; C3295 &amp; "'!" &amp; H3295, H3295), "")</f>
        <v>0</v>
      </c>
    </row>
    <row r="3296" spans="2:2">
      <c r="B3296" s="21">
        <f>IF(AND(C3296&lt;&gt;"", H3296&lt;&gt;""), HYPERLINK("#'" &amp; C3296 &amp; "'!" &amp; H3296, H3296), "")</f>
        <v>0</v>
      </c>
    </row>
    <row r="3297" spans="2:2">
      <c r="B3297" s="21">
        <f>IF(AND(C3297&lt;&gt;"", H3297&lt;&gt;""), HYPERLINK("#'" &amp; C3297 &amp; "'!" &amp; H3297, H3297), "")</f>
        <v>0</v>
      </c>
    </row>
    <row r="3298" spans="2:2">
      <c r="B3298" s="21">
        <f>IF(AND(C3298&lt;&gt;"", H3298&lt;&gt;""), HYPERLINK("#'" &amp; C3298 &amp; "'!" &amp; H3298, H3298), "")</f>
        <v>0</v>
      </c>
    </row>
    <row r="3299" spans="2:2">
      <c r="B3299" s="21">
        <f>IF(AND(C3299&lt;&gt;"", H3299&lt;&gt;""), HYPERLINK("#'" &amp; C3299 &amp; "'!" &amp; H3299, H3299), "")</f>
        <v>0</v>
      </c>
    </row>
    <row r="3300" spans="2:2">
      <c r="B3300" s="21">
        <f>IF(AND(C3300&lt;&gt;"", H3300&lt;&gt;""), HYPERLINK("#'" &amp; C3300 &amp; "'!" &amp; H3300, H3300), "")</f>
        <v>0</v>
      </c>
    </row>
    <row r="3301" spans="2:2">
      <c r="B3301" s="21">
        <f>IF(AND(C3301&lt;&gt;"", H3301&lt;&gt;""), HYPERLINK("#'" &amp; C3301 &amp; "'!" &amp; H3301, H3301), "")</f>
        <v>0</v>
      </c>
    </row>
    <row r="3302" spans="2:2">
      <c r="B3302" s="21">
        <f>IF(AND(C3302&lt;&gt;"", H3302&lt;&gt;""), HYPERLINK("#'" &amp; C3302 &amp; "'!" &amp; H3302, H3302), "")</f>
        <v>0</v>
      </c>
    </row>
    <row r="3303" spans="2:2">
      <c r="B3303" s="21">
        <f>IF(AND(C3303&lt;&gt;"", H3303&lt;&gt;""), HYPERLINK("#'" &amp; C3303 &amp; "'!" &amp; H3303, H3303), "")</f>
        <v>0</v>
      </c>
    </row>
    <row r="3304" spans="2:2">
      <c r="B3304" s="21">
        <f>IF(AND(C3304&lt;&gt;"", H3304&lt;&gt;""), HYPERLINK("#'" &amp; C3304 &amp; "'!" &amp; H3304, H3304), "")</f>
        <v>0</v>
      </c>
    </row>
    <row r="3305" spans="2:2">
      <c r="B3305" s="21">
        <f>IF(AND(C3305&lt;&gt;"", H3305&lt;&gt;""), HYPERLINK("#'" &amp; C3305 &amp; "'!" &amp; H3305, H3305), "")</f>
        <v>0</v>
      </c>
    </row>
    <row r="3306" spans="2:2">
      <c r="B3306" s="21">
        <f>IF(AND(C3306&lt;&gt;"", H3306&lt;&gt;""), HYPERLINK("#'" &amp; C3306 &amp; "'!" &amp; H3306, H3306), "")</f>
        <v>0</v>
      </c>
    </row>
    <row r="3307" spans="2:2">
      <c r="B3307" s="21">
        <f>IF(AND(C3307&lt;&gt;"", H3307&lt;&gt;""), HYPERLINK("#'" &amp; C3307 &amp; "'!" &amp; H3307, H3307), "")</f>
        <v>0</v>
      </c>
    </row>
    <row r="3308" spans="2:2">
      <c r="B3308" s="21">
        <f>IF(AND(C3308&lt;&gt;"", H3308&lt;&gt;""), HYPERLINK("#'" &amp; C3308 &amp; "'!" &amp; H3308, H3308), "")</f>
        <v>0</v>
      </c>
    </row>
    <row r="3309" spans="2:2">
      <c r="B3309" s="21">
        <f>IF(AND(C3309&lt;&gt;"", H3309&lt;&gt;""), HYPERLINK("#'" &amp; C3309 &amp; "'!" &amp; H3309, H3309), "")</f>
        <v>0</v>
      </c>
    </row>
    <row r="3310" spans="2:2">
      <c r="B3310" s="21">
        <f>IF(AND(C3310&lt;&gt;"", H3310&lt;&gt;""), HYPERLINK("#'" &amp; C3310 &amp; "'!" &amp; H3310, H3310), "")</f>
        <v>0</v>
      </c>
    </row>
    <row r="3311" spans="2:2">
      <c r="B3311" s="21">
        <f>IF(AND(C3311&lt;&gt;"", H3311&lt;&gt;""), HYPERLINK("#'" &amp; C3311 &amp; "'!" &amp; H3311, H3311), "")</f>
        <v>0</v>
      </c>
    </row>
    <row r="3312" spans="2:2">
      <c r="B3312" s="21">
        <f>IF(AND(C3312&lt;&gt;"", H3312&lt;&gt;""), HYPERLINK("#'" &amp; C3312 &amp; "'!" &amp; H3312, H3312), "")</f>
        <v>0</v>
      </c>
    </row>
    <row r="3313" spans="2:2">
      <c r="B3313" s="21">
        <f>IF(AND(C3313&lt;&gt;"", H3313&lt;&gt;""), HYPERLINK("#'" &amp; C3313 &amp; "'!" &amp; H3313, H3313), "")</f>
        <v>0</v>
      </c>
    </row>
    <row r="3314" spans="2:2">
      <c r="B3314" s="21">
        <f>IF(AND(C3314&lt;&gt;"", H3314&lt;&gt;""), HYPERLINK("#'" &amp; C3314 &amp; "'!" &amp; H3314, H3314), "")</f>
        <v>0</v>
      </c>
    </row>
    <row r="3315" spans="2:2">
      <c r="B3315" s="21">
        <f>IF(AND(C3315&lt;&gt;"", H3315&lt;&gt;""), HYPERLINK("#'" &amp; C3315 &amp; "'!" &amp; H3315, H3315), "")</f>
        <v>0</v>
      </c>
    </row>
    <row r="3316" spans="2:2">
      <c r="B3316" s="21">
        <f>IF(AND(C3316&lt;&gt;"", H3316&lt;&gt;""), HYPERLINK("#'" &amp; C3316 &amp; "'!" &amp; H3316, H3316), "")</f>
        <v>0</v>
      </c>
    </row>
    <row r="3317" spans="2:2">
      <c r="B3317" s="21">
        <f>IF(AND(C3317&lt;&gt;"", H3317&lt;&gt;""), HYPERLINK("#'" &amp; C3317 &amp; "'!" &amp; H3317, H3317), "")</f>
        <v>0</v>
      </c>
    </row>
    <row r="3318" spans="2:2">
      <c r="B3318" s="21">
        <f>IF(AND(C3318&lt;&gt;"", H3318&lt;&gt;""), HYPERLINK("#'" &amp; C3318 &amp; "'!" &amp; H3318, H3318), "")</f>
        <v>0</v>
      </c>
    </row>
    <row r="3319" spans="2:2">
      <c r="B3319" s="21">
        <f>IF(AND(C3319&lt;&gt;"", H3319&lt;&gt;""), HYPERLINK("#'" &amp; C3319 &amp; "'!" &amp; H3319, H3319), "")</f>
        <v>0</v>
      </c>
    </row>
    <row r="3320" spans="2:2">
      <c r="B3320" s="21">
        <f>IF(AND(C3320&lt;&gt;"", H3320&lt;&gt;""), HYPERLINK("#'" &amp; C3320 &amp; "'!" &amp; H3320, H3320), "")</f>
        <v>0</v>
      </c>
    </row>
    <row r="3321" spans="2:2">
      <c r="B3321" s="21">
        <f>IF(AND(C3321&lt;&gt;"", H3321&lt;&gt;""), HYPERLINK("#'" &amp; C3321 &amp; "'!" &amp; H3321, H3321), "")</f>
        <v>0</v>
      </c>
    </row>
    <row r="3322" spans="2:2">
      <c r="B3322" s="21">
        <f>IF(AND(C3322&lt;&gt;"", H3322&lt;&gt;""), HYPERLINK("#'" &amp; C3322 &amp; "'!" &amp; H3322, H3322), "")</f>
        <v>0</v>
      </c>
    </row>
    <row r="3323" spans="2:2">
      <c r="B3323" s="21">
        <f>IF(AND(C3323&lt;&gt;"", H3323&lt;&gt;""), HYPERLINK("#'" &amp; C3323 &amp; "'!" &amp; H3323, H3323), "")</f>
        <v>0</v>
      </c>
    </row>
    <row r="3324" spans="2:2">
      <c r="B3324" s="21">
        <f>IF(AND(C3324&lt;&gt;"", H3324&lt;&gt;""), HYPERLINK("#'" &amp; C3324 &amp; "'!" &amp; H3324, H3324), "")</f>
        <v>0</v>
      </c>
    </row>
    <row r="3325" spans="2:2">
      <c r="B3325" s="21">
        <f>IF(AND(C3325&lt;&gt;"", H3325&lt;&gt;""), HYPERLINK("#'" &amp; C3325 &amp; "'!" &amp; H3325, H3325), "")</f>
        <v>0</v>
      </c>
    </row>
    <row r="3326" spans="2:2">
      <c r="B3326" s="21">
        <f>IF(AND(C3326&lt;&gt;"", H3326&lt;&gt;""), HYPERLINK("#'" &amp; C3326 &amp; "'!" &amp; H3326, H3326), "")</f>
        <v>0</v>
      </c>
    </row>
    <row r="3327" spans="2:2">
      <c r="B3327" s="21">
        <f>IF(AND(C3327&lt;&gt;"", H3327&lt;&gt;""), HYPERLINK("#'" &amp; C3327 &amp; "'!" &amp; H3327, H3327), "")</f>
        <v>0</v>
      </c>
    </row>
    <row r="3328" spans="2:2">
      <c r="B3328" s="21">
        <f>IF(AND(C3328&lt;&gt;"", H3328&lt;&gt;""), HYPERLINK("#'" &amp; C3328 &amp; "'!" &amp; H3328, H3328), "")</f>
        <v>0</v>
      </c>
    </row>
    <row r="3329" spans="2:2">
      <c r="B3329" s="21">
        <f>IF(AND(C3329&lt;&gt;"", H3329&lt;&gt;""), HYPERLINK("#'" &amp; C3329 &amp; "'!" &amp; H3329, H3329), "")</f>
        <v>0</v>
      </c>
    </row>
    <row r="3330" spans="2:2">
      <c r="B3330" s="21">
        <f>IF(AND(C3330&lt;&gt;"", H3330&lt;&gt;""), HYPERLINK("#'" &amp; C3330 &amp; "'!" &amp; H3330, H3330), "")</f>
        <v>0</v>
      </c>
    </row>
    <row r="3331" spans="2:2">
      <c r="B3331" s="21">
        <f>IF(AND(C3331&lt;&gt;"", H3331&lt;&gt;""), HYPERLINK("#'" &amp; C3331 &amp; "'!" &amp; H3331, H3331), "")</f>
        <v>0</v>
      </c>
    </row>
    <row r="3332" spans="2:2">
      <c r="B3332" s="21">
        <f>IF(AND(C3332&lt;&gt;"", H3332&lt;&gt;""), HYPERLINK("#'" &amp; C3332 &amp; "'!" &amp; H3332, H3332), "")</f>
        <v>0</v>
      </c>
    </row>
    <row r="3333" spans="2:2">
      <c r="B3333" s="21">
        <f>IF(AND(C3333&lt;&gt;"", H3333&lt;&gt;""), HYPERLINK("#'" &amp; C3333 &amp; "'!" &amp; H3333, H3333), "")</f>
        <v>0</v>
      </c>
    </row>
    <row r="3334" spans="2:2">
      <c r="B3334" s="21">
        <f>IF(AND(C3334&lt;&gt;"", H3334&lt;&gt;""), HYPERLINK("#'" &amp; C3334 &amp; "'!" &amp; H3334, H3334), "")</f>
        <v>0</v>
      </c>
    </row>
    <row r="3335" spans="2:2">
      <c r="B3335" s="21">
        <f>IF(AND(C3335&lt;&gt;"", H3335&lt;&gt;""), HYPERLINK("#'" &amp; C3335 &amp; "'!" &amp; H3335, H3335), "")</f>
        <v>0</v>
      </c>
    </row>
    <row r="3336" spans="2:2">
      <c r="B3336" s="21">
        <f>IF(AND(C3336&lt;&gt;"", H3336&lt;&gt;""), HYPERLINK("#'" &amp; C3336 &amp; "'!" &amp; H3336, H3336), "")</f>
        <v>0</v>
      </c>
    </row>
    <row r="3337" spans="2:2">
      <c r="B3337" s="21">
        <f>IF(AND(C3337&lt;&gt;"", H3337&lt;&gt;""), HYPERLINK("#'" &amp; C3337 &amp; "'!" &amp; H3337, H3337), "")</f>
        <v>0</v>
      </c>
    </row>
    <row r="3338" spans="2:2">
      <c r="B3338" s="21">
        <f>IF(AND(C3338&lt;&gt;"", H3338&lt;&gt;""), HYPERLINK("#'" &amp; C3338 &amp; "'!" &amp; H3338, H3338), "")</f>
        <v>0</v>
      </c>
    </row>
    <row r="3339" spans="2:2">
      <c r="B3339" s="21">
        <f>IF(AND(C3339&lt;&gt;"", H3339&lt;&gt;""), HYPERLINK("#'" &amp; C3339 &amp; "'!" &amp; H3339, H3339), "")</f>
        <v>0</v>
      </c>
    </row>
    <row r="3340" spans="2:2">
      <c r="B3340" s="21">
        <f>IF(AND(C3340&lt;&gt;"", H3340&lt;&gt;""), HYPERLINK("#'" &amp; C3340 &amp; "'!" &amp; H3340, H3340), "")</f>
        <v>0</v>
      </c>
    </row>
    <row r="3341" spans="2:2">
      <c r="B3341" s="21">
        <f>IF(AND(C3341&lt;&gt;"", H3341&lt;&gt;""), HYPERLINK("#'" &amp; C3341 &amp; "'!" &amp; H3341, H3341), "")</f>
        <v>0</v>
      </c>
    </row>
    <row r="3342" spans="2:2">
      <c r="B3342" s="21">
        <f>IF(AND(C3342&lt;&gt;"", H3342&lt;&gt;""), HYPERLINK("#'" &amp; C3342 &amp; "'!" &amp; H3342, H3342), "")</f>
        <v>0</v>
      </c>
    </row>
    <row r="3343" spans="2:2">
      <c r="B3343" s="21">
        <f>IF(AND(C3343&lt;&gt;"", H3343&lt;&gt;""), HYPERLINK("#'" &amp; C3343 &amp; "'!" &amp; H3343, H3343), "")</f>
        <v>0</v>
      </c>
    </row>
    <row r="3344" spans="2:2">
      <c r="B3344" s="21">
        <f>IF(AND(C3344&lt;&gt;"", H3344&lt;&gt;""), HYPERLINK("#'" &amp; C3344 &amp; "'!" &amp; H3344, H3344), "")</f>
        <v>0</v>
      </c>
    </row>
    <row r="3345" spans="2:2">
      <c r="B3345" s="21">
        <f>IF(AND(C3345&lt;&gt;"", H3345&lt;&gt;""), HYPERLINK("#'" &amp; C3345 &amp; "'!" &amp; H3345, H3345), "")</f>
        <v>0</v>
      </c>
    </row>
    <row r="3346" spans="2:2">
      <c r="B3346" s="21">
        <f>IF(AND(C3346&lt;&gt;"", H3346&lt;&gt;""), HYPERLINK("#'" &amp; C3346 &amp; "'!" &amp; H3346, H3346), "")</f>
        <v>0</v>
      </c>
    </row>
    <row r="3347" spans="2:2">
      <c r="B3347" s="21">
        <f>IF(AND(C3347&lt;&gt;"", H3347&lt;&gt;""), HYPERLINK("#'" &amp; C3347 &amp; "'!" &amp; H3347, H3347), "")</f>
        <v>0</v>
      </c>
    </row>
    <row r="3348" spans="2:2">
      <c r="B3348" s="21">
        <f>IF(AND(C3348&lt;&gt;"", H3348&lt;&gt;""), HYPERLINK("#'" &amp; C3348 &amp; "'!" &amp; H3348, H3348), "")</f>
        <v>0</v>
      </c>
    </row>
    <row r="3349" spans="2:2">
      <c r="B3349" s="21">
        <f>IF(AND(C3349&lt;&gt;"", H3349&lt;&gt;""), HYPERLINK("#'" &amp; C3349 &amp; "'!" &amp; H3349, H3349), "")</f>
        <v>0</v>
      </c>
    </row>
    <row r="3350" spans="2:2">
      <c r="B3350" s="21">
        <f>IF(AND(C3350&lt;&gt;"", H3350&lt;&gt;""), HYPERLINK("#'" &amp; C3350 &amp; "'!" &amp; H3350, H3350), "")</f>
        <v>0</v>
      </c>
    </row>
    <row r="3351" spans="2:2">
      <c r="B3351" s="21">
        <f>IF(AND(C3351&lt;&gt;"", H3351&lt;&gt;""), HYPERLINK("#'" &amp; C3351 &amp; "'!" &amp; H3351, H3351), "")</f>
        <v>0</v>
      </c>
    </row>
    <row r="3352" spans="2:2">
      <c r="B3352" s="21">
        <f>IF(AND(C3352&lt;&gt;"", H3352&lt;&gt;""), HYPERLINK("#'" &amp; C3352 &amp; "'!" &amp; H3352, H3352), "")</f>
        <v>0</v>
      </c>
    </row>
    <row r="3353" spans="2:2">
      <c r="B3353" s="21">
        <f>IF(AND(C3353&lt;&gt;"", H3353&lt;&gt;""), HYPERLINK("#'" &amp; C3353 &amp; "'!" &amp; H3353, H3353), "")</f>
        <v>0</v>
      </c>
    </row>
    <row r="3354" spans="2:2">
      <c r="B3354" s="21">
        <f>IF(AND(C3354&lt;&gt;"", H3354&lt;&gt;""), HYPERLINK("#'" &amp; C3354 &amp; "'!" &amp; H3354, H3354), "")</f>
        <v>0</v>
      </c>
    </row>
    <row r="3355" spans="2:2">
      <c r="B3355" s="21">
        <f>IF(AND(C3355&lt;&gt;"", H3355&lt;&gt;""), HYPERLINK("#'" &amp; C3355 &amp; "'!" &amp; H3355, H3355), "")</f>
        <v>0</v>
      </c>
    </row>
    <row r="3356" spans="2:2">
      <c r="B3356" s="21">
        <f>IF(AND(C3356&lt;&gt;"", H3356&lt;&gt;""), HYPERLINK("#'" &amp; C3356 &amp; "'!" &amp; H3356, H3356), "")</f>
        <v>0</v>
      </c>
    </row>
    <row r="3357" spans="2:2">
      <c r="B3357" s="21">
        <f>IF(AND(C3357&lt;&gt;"", H3357&lt;&gt;""), HYPERLINK("#'" &amp; C3357 &amp; "'!" &amp; H3357, H3357), "")</f>
        <v>0</v>
      </c>
    </row>
    <row r="3358" spans="2:2">
      <c r="B3358" s="21">
        <f>IF(AND(C3358&lt;&gt;"", H3358&lt;&gt;""), HYPERLINK("#'" &amp; C3358 &amp; "'!" &amp; H3358, H3358), "")</f>
        <v>0</v>
      </c>
    </row>
    <row r="3359" spans="2:2">
      <c r="B3359" s="21">
        <f>IF(AND(C3359&lt;&gt;"", H3359&lt;&gt;""), HYPERLINK("#'" &amp; C3359 &amp; "'!" &amp; H3359, H3359), "")</f>
        <v>0</v>
      </c>
    </row>
    <row r="3360" spans="2:2">
      <c r="B3360" s="21">
        <f>IF(AND(C3360&lt;&gt;"", H3360&lt;&gt;""), HYPERLINK("#'" &amp; C3360 &amp; "'!" &amp; H3360, H3360), "")</f>
        <v>0</v>
      </c>
    </row>
    <row r="3361" spans="2:2">
      <c r="B3361" s="21">
        <f>IF(AND(C3361&lt;&gt;"", H3361&lt;&gt;""), HYPERLINK("#'" &amp; C3361 &amp; "'!" &amp; H3361, H3361), "")</f>
        <v>0</v>
      </c>
    </row>
    <row r="3362" spans="2:2">
      <c r="B3362" s="21">
        <f>IF(AND(C3362&lt;&gt;"", H3362&lt;&gt;""), HYPERLINK("#'" &amp; C3362 &amp; "'!" &amp; H3362, H3362), "")</f>
        <v>0</v>
      </c>
    </row>
    <row r="3363" spans="2:2">
      <c r="B3363" s="21">
        <f>IF(AND(C3363&lt;&gt;"", H3363&lt;&gt;""), HYPERLINK("#'" &amp; C3363 &amp; "'!" &amp; H3363, H3363), "")</f>
        <v>0</v>
      </c>
    </row>
    <row r="3364" spans="2:2">
      <c r="B3364" s="21">
        <f>IF(AND(C3364&lt;&gt;"", H3364&lt;&gt;""), HYPERLINK("#'" &amp; C3364 &amp; "'!" &amp; H3364, H3364), "")</f>
        <v>0</v>
      </c>
    </row>
    <row r="3365" spans="2:2">
      <c r="B3365" s="21">
        <f>IF(AND(C3365&lt;&gt;"", H3365&lt;&gt;""), HYPERLINK("#'" &amp; C3365 &amp; "'!" &amp; H3365, H3365), "")</f>
        <v>0</v>
      </c>
    </row>
    <row r="3366" spans="2:2">
      <c r="B3366" s="21">
        <f>IF(AND(C3366&lt;&gt;"", H3366&lt;&gt;""), HYPERLINK("#'" &amp; C3366 &amp; "'!" &amp; H3366, H3366), "")</f>
        <v>0</v>
      </c>
    </row>
    <row r="3367" spans="2:2">
      <c r="B3367" s="21">
        <f>IF(AND(C3367&lt;&gt;"", H3367&lt;&gt;""), HYPERLINK("#'" &amp; C3367 &amp; "'!" &amp; H3367, H3367), "")</f>
        <v>0</v>
      </c>
    </row>
    <row r="3368" spans="2:2">
      <c r="B3368" s="21">
        <f>IF(AND(C3368&lt;&gt;"", H3368&lt;&gt;""), HYPERLINK("#'" &amp; C3368 &amp; "'!" &amp; H3368, H3368), "")</f>
        <v>0</v>
      </c>
    </row>
    <row r="3369" spans="2:2">
      <c r="B3369" s="21">
        <f>IF(AND(C3369&lt;&gt;"", H3369&lt;&gt;""), HYPERLINK("#'" &amp; C3369 &amp; "'!" &amp; H3369, H3369), "")</f>
        <v>0</v>
      </c>
    </row>
    <row r="3370" spans="2:2">
      <c r="B3370" s="21">
        <f>IF(AND(C3370&lt;&gt;"", H3370&lt;&gt;""), HYPERLINK("#'" &amp; C3370 &amp; "'!" &amp; H3370, H3370), "")</f>
        <v>0</v>
      </c>
    </row>
    <row r="3371" spans="2:2">
      <c r="B3371" s="21">
        <f>IF(AND(C3371&lt;&gt;"", H3371&lt;&gt;""), HYPERLINK("#'" &amp; C3371 &amp; "'!" &amp; H3371, H3371), "")</f>
        <v>0</v>
      </c>
    </row>
    <row r="3372" spans="2:2">
      <c r="B3372" s="21">
        <f>IF(AND(C3372&lt;&gt;"", H3372&lt;&gt;""), HYPERLINK("#'" &amp; C3372 &amp; "'!" &amp; H3372, H3372), "")</f>
        <v>0</v>
      </c>
    </row>
    <row r="3373" spans="2:2">
      <c r="B3373" s="21">
        <f>IF(AND(C3373&lt;&gt;"", H3373&lt;&gt;""), HYPERLINK("#'" &amp; C3373 &amp; "'!" &amp; H3373, H3373), "")</f>
        <v>0</v>
      </c>
    </row>
    <row r="3374" spans="2:2">
      <c r="B3374" s="21">
        <f>IF(AND(C3374&lt;&gt;"", H3374&lt;&gt;""), HYPERLINK("#'" &amp; C3374 &amp; "'!" &amp; H3374, H3374), "")</f>
        <v>0</v>
      </c>
    </row>
    <row r="3375" spans="2:2">
      <c r="B3375" s="21">
        <f>IF(AND(C3375&lt;&gt;"", H3375&lt;&gt;""), HYPERLINK("#'" &amp; C3375 &amp; "'!" &amp; H3375, H3375), "")</f>
        <v>0</v>
      </c>
    </row>
    <row r="3376" spans="2:2">
      <c r="B3376" s="21">
        <f>IF(AND(C3376&lt;&gt;"", H3376&lt;&gt;""), HYPERLINK("#'" &amp; C3376 &amp; "'!" &amp; H3376, H3376), "")</f>
        <v>0</v>
      </c>
    </row>
    <row r="3377" spans="2:2">
      <c r="B3377" s="21">
        <f>IF(AND(C3377&lt;&gt;"", H3377&lt;&gt;""), HYPERLINK("#'" &amp; C3377 &amp; "'!" &amp; H3377, H3377), "")</f>
        <v>0</v>
      </c>
    </row>
    <row r="3378" spans="2:2">
      <c r="B3378" s="21">
        <f>IF(AND(C3378&lt;&gt;"", H3378&lt;&gt;""), HYPERLINK("#'" &amp; C3378 &amp; "'!" &amp; H3378, H3378), "")</f>
        <v>0</v>
      </c>
    </row>
    <row r="3379" spans="2:2">
      <c r="B3379" s="21">
        <f>IF(AND(C3379&lt;&gt;"", H3379&lt;&gt;""), HYPERLINK("#'" &amp; C3379 &amp; "'!" &amp; H3379, H3379), "")</f>
        <v>0</v>
      </c>
    </row>
    <row r="3380" spans="2:2">
      <c r="B3380" s="21">
        <f>IF(AND(C3380&lt;&gt;"", H3380&lt;&gt;""), HYPERLINK("#'" &amp; C3380 &amp; "'!" &amp; H3380, H3380), "")</f>
        <v>0</v>
      </c>
    </row>
    <row r="3381" spans="2:2">
      <c r="B3381" s="21">
        <f>IF(AND(C3381&lt;&gt;"", H3381&lt;&gt;""), HYPERLINK("#'" &amp; C3381 &amp; "'!" &amp; H3381, H3381), "")</f>
        <v>0</v>
      </c>
    </row>
    <row r="3382" spans="2:2">
      <c r="B3382" s="21">
        <f>IF(AND(C3382&lt;&gt;"", H3382&lt;&gt;""), HYPERLINK("#'" &amp; C3382 &amp; "'!" &amp; H3382, H3382), "")</f>
        <v>0</v>
      </c>
    </row>
    <row r="3383" spans="2:2">
      <c r="B3383" s="21">
        <f>IF(AND(C3383&lt;&gt;"", H3383&lt;&gt;""), HYPERLINK("#'" &amp; C3383 &amp; "'!" &amp; H3383, H3383), "")</f>
        <v>0</v>
      </c>
    </row>
    <row r="3384" spans="2:2">
      <c r="B3384" s="21">
        <f>IF(AND(C3384&lt;&gt;"", H3384&lt;&gt;""), HYPERLINK("#'" &amp; C3384 &amp; "'!" &amp; H3384, H3384), "")</f>
        <v>0</v>
      </c>
    </row>
    <row r="3385" spans="2:2">
      <c r="B3385" s="21">
        <f>IF(AND(C3385&lt;&gt;"", H3385&lt;&gt;""), HYPERLINK("#'" &amp; C3385 &amp; "'!" &amp; H3385, H3385), "")</f>
        <v>0</v>
      </c>
    </row>
    <row r="3386" spans="2:2">
      <c r="B3386" s="21">
        <f>IF(AND(C3386&lt;&gt;"", H3386&lt;&gt;""), HYPERLINK("#'" &amp; C3386 &amp; "'!" &amp; H3386, H3386), "")</f>
        <v>0</v>
      </c>
    </row>
    <row r="3387" spans="2:2">
      <c r="B3387" s="21">
        <f>IF(AND(C3387&lt;&gt;"", H3387&lt;&gt;""), HYPERLINK("#'" &amp; C3387 &amp; "'!" &amp; H3387, H3387), "")</f>
        <v>0</v>
      </c>
    </row>
    <row r="3388" spans="2:2">
      <c r="B3388" s="21">
        <f>IF(AND(C3388&lt;&gt;"", H3388&lt;&gt;""), HYPERLINK("#'" &amp; C3388 &amp; "'!" &amp; H3388, H3388), "")</f>
        <v>0</v>
      </c>
    </row>
    <row r="3389" spans="2:2">
      <c r="B3389" s="21">
        <f>IF(AND(C3389&lt;&gt;"", H3389&lt;&gt;""), HYPERLINK("#'" &amp; C3389 &amp; "'!" &amp; H3389, H3389), "")</f>
        <v>0</v>
      </c>
    </row>
    <row r="3390" spans="2:2">
      <c r="B3390" s="21">
        <f>IF(AND(C3390&lt;&gt;"", H3390&lt;&gt;""), HYPERLINK("#'" &amp; C3390 &amp; "'!" &amp; H3390, H3390), "")</f>
        <v>0</v>
      </c>
    </row>
    <row r="3391" spans="2:2">
      <c r="B3391" s="21">
        <f>IF(AND(C3391&lt;&gt;"", H3391&lt;&gt;""), HYPERLINK("#'" &amp; C3391 &amp; "'!" &amp; H3391, H3391), "")</f>
        <v>0</v>
      </c>
    </row>
    <row r="3392" spans="2:2">
      <c r="B3392" s="21">
        <f>IF(AND(C3392&lt;&gt;"", H3392&lt;&gt;""), HYPERLINK("#'" &amp; C3392 &amp; "'!" &amp; H3392, H3392), "")</f>
        <v>0</v>
      </c>
    </row>
    <row r="3393" spans="2:2">
      <c r="B3393" s="21">
        <f>IF(AND(C3393&lt;&gt;"", H3393&lt;&gt;""), HYPERLINK("#'" &amp; C3393 &amp; "'!" &amp; H3393, H3393), "")</f>
        <v>0</v>
      </c>
    </row>
    <row r="3394" spans="2:2">
      <c r="B3394" s="21">
        <f>IF(AND(C3394&lt;&gt;"", H3394&lt;&gt;""), HYPERLINK("#'" &amp; C3394 &amp; "'!" &amp; H3394, H3394), "")</f>
        <v>0</v>
      </c>
    </row>
    <row r="3395" spans="2:2">
      <c r="B3395" s="21">
        <f>IF(AND(C3395&lt;&gt;"", H3395&lt;&gt;""), HYPERLINK("#'" &amp; C3395 &amp; "'!" &amp; H3395, H3395), "")</f>
        <v>0</v>
      </c>
    </row>
    <row r="3396" spans="2:2">
      <c r="B3396" s="21">
        <f>IF(AND(C3396&lt;&gt;"", H3396&lt;&gt;""), HYPERLINK("#'" &amp; C3396 &amp; "'!" &amp; H3396, H3396), "")</f>
        <v>0</v>
      </c>
    </row>
    <row r="3397" spans="2:2">
      <c r="B3397" s="21">
        <f>IF(AND(C3397&lt;&gt;"", H3397&lt;&gt;""), HYPERLINK("#'" &amp; C3397 &amp; "'!" &amp; H3397, H3397), "")</f>
        <v>0</v>
      </c>
    </row>
    <row r="3398" spans="2:2">
      <c r="B3398" s="21">
        <f>IF(AND(C3398&lt;&gt;"", H3398&lt;&gt;""), HYPERLINK("#'" &amp; C3398 &amp; "'!" &amp; H3398, H3398), "")</f>
        <v>0</v>
      </c>
    </row>
    <row r="3399" spans="2:2">
      <c r="B3399" s="21">
        <f>IF(AND(C3399&lt;&gt;"", H3399&lt;&gt;""), HYPERLINK("#'" &amp; C3399 &amp; "'!" &amp; H3399, H3399), "")</f>
        <v>0</v>
      </c>
    </row>
    <row r="3400" spans="2:2">
      <c r="B3400" s="21">
        <f>IF(AND(C3400&lt;&gt;"", H3400&lt;&gt;""), HYPERLINK("#'" &amp; C3400 &amp; "'!" &amp; H3400, H3400), "")</f>
        <v>0</v>
      </c>
    </row>
    <row r="3401" spans="2:2">
      <c r="B3401" s="21">
        <f>IF(AND(C3401&lt;&gt;"", H3401&lt;&gt;""), HYPERLINK("#'" &amp; C3401 &amp; "'!" &amp; H3401, H3401), "")</f>
        <v>0</v>
      </c>
    </row>
    <row r="3402" spans="2:2">
      <c r="B3402" s="21">
        <f>IF(AND(C3402&lt;&gt;"", H3402&lt;&gt;""), HYPERLINK("#'" &amp; C3402 &amp; "'!" &amp; H3402, H3402), "")</f>
        <v>0</v>
      </c>
    </row>
    <row r="3403" spans="2:2">
      <c r="B3403" s="21">
        <f>IF(AND(C3403&lt;&gt;"", H3403&lt;&gt;""), HYPERLINK("#'" &amp; C3403 &amp; "'!" &amp; H3403, H3403), "")</f>
        <v>0</v>
      </c>
    </row>
    <row r="3404" spans="2:2">
      <c r="B3404" s="21">
        <f>IF(AND(C3404&lt;&gt;"", H3404&lt;&gt;""), HYPERLINK("#'" &amp; C3404 &amp; "'!" &amp; H3404, H3404), "")</f>
        <v>0</v>
      </c>
    </row>
    <row r="3405" spans="2:2">
      <c r="B3405" s="21">
        <f>IF(AND(C3405&lt;&gt;"", H3405&lt;&gt;""), HYPERLINK("#'" &amp; C3405 &amp; "'!" &amp; H3405, H3405), "")</f>
        <v>0</v>
      </c>
    </row>
    <row r="3406" spans="2:2">
      <c r="B3406" s="21">
        <f>IF(AND(C3406&lt;&gt;"", H3406&lt;&gt;""), HYPERLINK("#'" &amp; C3406 &amp; "'!" &amp; H3406, H3406), "")</f>
        <v>0</v>
      </c>
    </row>
    <row r="3407" spans="2:2">
      <c r="B3407" s="21">
        <f>IF(AND(C3407&lt;&gt;"", H3407&lt;&gt;""), HYPERLINK("#'" &amp; C3407 &amp; "'!" &amp; H3407, H3407), "")</f>
        <v>0</v>
      </c>
    </row>
    <row r="3408" spans="2:2">
      <c r="B3408" s="21">
        <f>IF(AND(C3408&lt;&gt;"", H3408&lt;&gt;""), HYPERLINK("#'" &amp; C3408 &amp; "'!" &amp; H3408, H3408), "")</f>
        <v>0</v>
      </c>
    </row>
    <row r="3409" spans="2:2">
      <c r="B3409" s="21">
        <f>IF(AND(C3409&lt;&gt;"", H3409&lt;&gt;""), HYPERLINK("#'" &amp; C3409 &amp; "'!" &amp; H3409, H3409), "")</f>
        <v>0</v>
      </c>
    </row>
    <row r="3410" spans="2:2">
      <c r="B3410" s="21">
        <f>IF(AND(C3410&lt;&gt;"", H3410&lt;&gt;""), HYPERLINK("#'" &amp; C3410 &amp; "'!" &amp; H3410, H3410), "")</f>
        <v>0</v>
      </c>
    </row>
    <row r="3411" spans="2:2">
      <c r="B3411" s="21">
        <f>IF(AND(C3411&lt;&gt;"", H3411&lt;&gt;""), HYPERLINK("#'" &amp; C3411 &amp; "'!" &amp; H3411, H3411), "")</f>
        <v>0</v>
      </c>
    </row>
    <row r="3412" spans="2:2">
      <c r="B3412" s="21">
        <f>IF(AND(C3412&lt;&gt;"", H3412&lt;&gt;""), HYPERLINK("#'" &amp; C3412 &amp; "'!" &amp; H3412, H3412), "")</f>
        <v>0</v>
      </c>
    </row>
    <row r="3413" spans="2:2">
      <c r="B3413" s="21">
        <f>IF(AND(C3413&lt;&gt;"", H3413&lt;&gt;""), HYPERLINK("#'" &amp; C3413 &amp; "'!" &amp; H3413, H3413), "")</f>
        <v>0</v>
      </c>
    </row>
    <row r="3414" spans="2:2">
      <c r="B3414" s="21">
        <f>IF(AND(C3414&lt;&gt;"", H3414&lt;&gt;""), HYPERLINK("#'" &amp; C3414 &amp; "'!" &amp; H3414, H3414), "")</f>
        <v>0</v>
      </c>
    </row>
    <row r="3415" spans="2:2">
      <c r="B3415" s="21">
        <f>IF(AND(C3415&lt;&gt;"", H3415&lt;&gt;""), HYPERLINK("#'" &amp; C3415 &amp; "'!" &amp; H3415, H3415), "")</f>
        <v>0</v>
      </c>
    </row>
    <row r="3416" spans="2:2">
      <c r="B3416" s="21">
        <f>IF(AND(C3416&lt;&gt;"", H3416&lt;&gt;""), HYPERLINK("#'" &amp; C3416 &amp; "'!" &amp; H3416, H3416), "")</f>
        <v>0</v>
      </c>
    </row>
    <row r="3417" spans="2:2">
      <c r="B3417" s="21">
        <f>IF(AND(C3417&lt;&gt;"", H3417&lt;&gt;""), HYPERLINK("#'" &amp; C3417 &amp; "'!" &amp; H3417, H3417), "")</f>
        <v>0</v>
      </c>
    </row>
    <row r="3418" spans="2:2">
      <c r="B3418" s="21">
        <f>IF(AND(C3418&lt;&gt;"", H3418&lt;&gt;""), HYPERLINK("#'" &amp; C3418 &amp; "'!" &amp; H3418, H3418), "")</f>
        <v>0</v>
      </c>
    </row>
    <row r="3419" spans="2:2">
      <c r="B3419" s="21">
        <f>IF(AND(C3419&lt;&gt;"", H3419&lt;&gt;""), HYPERLINK("#'" &amp; C3419 &amp; "'!" &amp; H3419, H3419), "")</f>
        <v>0</v>
      </c>
    </row>
    <row r="3420" spans="2:2">
      <c r="B3420" s="21">
        <f>IF(AND(C3420&lt;&gt;"", H3420&lt;&gt;""), HYPERLINK("#'" &amp; C3420 &amp; "'!" &amp; H3420, H3420), "")</f>
        <v>0</v>
      </c>
    </row>
    <row r="3421" spans="2:2">
      <c r="B3421" s="21">
        <f>IF(AND(C3421&lt;&gt;"", H3421&lt;&gt;""), HYPERLINK("#'" &amp; C3421 &amp; "'!" &amp; H3421, H3421), "")</f>
        <v>0</v>
      </c>
    </row>
    <row r="3422" spans="2:2">
      <c r="B3422" s="21">
        <f>IF(AND(C3422&lt;&gt;"", H3422&lt;&gt;""), HYPERLINK("#'" &amp; C3422 &amp; "'!" &amp; H3422, H3422), "")</f>
        <v>0</v>
      </c>
    </row>
    <row r="3423" spans="2:2">
      <c r="B3423" s="21">
        <f>IF(AND(C3423&lt;&gt;"", H3423&lt;&gt;""), HYPERLINK("#'" &amp; C3423 &amp; "'!" &amp; H3423, H3423), "")</f>
        <v>0</v>
      </c>
    </row>
    <row r="3424" spans="2:2">
      <c r="B3424" s="21">
        <f>IF(AND(C3424&lt;&gt;"", H3424&lt;&gt;""), HYPERLINK("#'" &amp; C3424 &amp; "'!" &amp; H3424, H3424), "")</f>
        <v>0</v>
      </c>
    </row>
    <row r="3425" spans="2:2">
      <c r="B3425" s="21">
        <f>IF(AND(C3425&lt;&gt;"", H3425&lt;&gt;""), HYPERLINK("#'" &amp; C3425 &amp; "'!" &amp; H3425, H3425), "")</f>
        <v>0</v>
      </c>
    </row>
    <row r="3426" spans="2:2">
      <c r="B3426" s="21">
        <f>IF(AND(C3426&lt;&gt;"", H3426&lt;&gt;""), HYPERLINK("#'" &amp; C3426 &amp; "'!" &amp; H3426, H3426), "")</f>
        <v>0</v>
      </c>
    </row>
    <row r="3427" spans="2:2">
      <c r="B3427" s="21">
        <f>IF(AND(C3427&lt;&gt;"", H3427&lt;&gt;""), HYPERLINK("#'" &amp; C3427 &amp; "'!" &amp; H3427, H3427), "")</f>
        <v>0</v>
      </c>
    </row>
    <row r="3428" spans="2:2">
      <c r="B3428" s="21">
        <f>IF(AND(C3428&lt;&gt;"", H3428&lt;&gt;""), HYPERLINK("#'" &amp; C3428 &amp; "'!" &amp; H3428, H3428), "")</f>
        <v>0</v>
      </c>
    </row>
    <row r="3429" spans="2:2">
      <c r="B3429" s="21">
        <f>IF(AND(C3429&lt;&gt;"", H3429&lt;&gt;""), HYPERLINK("#'" &amp; C3429 &amp; "'!" &amp; H3429, H3429), "")</f>
        <v>0</v>
      </c>
    </row>
    <row r="3430" spans="2:2">
      <c r="B3430" s="21">
        <f>IF(AND(C3430&lt;&gt;"", H3430&lt;&gt;""), HYPERLINK("#'" &amp; C3430 &amp; "'!" &amp; H3430, H3430), "")</f>
        <v>0</v>
      </c>
    </row>
    <row r="3431" spans="2:2">
      <c r="B3431" s="21">
        <f>IF(AND(C3431&lt;&gt;"", H3431&lt;&gt;""), HYPERLINK("#'" &amp; C3431 &amp; "'!" &amp; H3431, H3431), "")</f>
        <v>0</v>
      </c>
    </row>
    <row r="3432" spans="2:2">
      <c r="B3432" s="21">
        <f>IF(AND(C3432&lt;&gt;"", H3432&lt;&gt;""), HYPERLINK("#'" &amp; C3432 &amp; "'!" &amp; H3432, H3432), "")</f>
        <v>0</v>
      </c>
    </row>
    <row r="3433" spans="2:2">
      <c r="B3433" s="21">
        <f>IF(AND(C3433&lt;&gt;"", H3433&lt;&gt;""), HYPERLINK("#'" &amp; C3433 &amp; "'!" &amp; H3433, H3433), "")</f>
        <v>0</v>
      </c>
    </row>
    <row r="3434" spans="2:2">
      <c r="B3434" s="21">
        <f>IF(AND(C3434&lt;&gt;"", H3434&lt;&gt;""), HYPERLINK("#'" &amp; C3434 &amp; "'!" &amp; H3434, H3434), "")</f>
        <v>0</v>
      </c>
    </row>
    <row r="3435" spans="2:2">
      <c r="B3435" s="21">
        <f>IF(AND(C3435&lt;&gt;"", H3435&lt;&gt;""), HYPERLINK("#'" &amp; C3435 &amp; "'!" &amp; H3435, H3435), "")</f>
        <v>0</v>
      </c>
    </row>
    <row r="3436" spans="2:2">
      <c r="B3436" s="21">
        <f>IF(AND(C3436&lt;&gt;"", H3436&lt;&gt;""), HYPERLINK("#'" &amp; C3436 &amp; "'!" &amp; H3436, H3436), "")</f>
        <v>0</v>
      </c>
    </row>
    <row r="3437" spans="2:2">
      <c r="B3437" s="21">
        <f>IF(AND(C3437&lt;&gt;"", H3437&lt;&gt;""), HYPERLINK("#'" &amp; C3437 &amp; "'!" &amp; H3437, H3437), "")</f>
        <v>0</v>
      </c>
    </row>
    <row r="3438" spans="2:2">
      <c r="B3438" s="21">
        <f>IF(AND(C3438&lt;&gt;"", H3438&lt;&gt;""), HYPERLINK("#'" &amp; C3438 &amp; "'!" &amp; H3438, H3438), "")</f>
        <v>0</v>
      </c>
    </row>
    <row r="3439" spans="2:2">
      <c r="B3439" s="21">
        <f>IF(AND(C3439&lt;&gt;"", H3439&lt;&gt;""), HYPERLINK("#'" &amp; C3439 &amp; "'!" &amp; H3439, H3439), "")</f>
        <v>0</v>
      </c>
    </row>
    <row r="3440" spans="2:2">
      <c r="B3440" s="21">
        <f>IF(AND(C3440&lt;&gt;"", H3440&lt;&gt;""), HYPERLINK("#'" &amp; C3440 &amp; "'!" &amp; H3440, H3440), "")</f>
        <v>0</v>
      </c>
    </row>
    <row r="3441" spans="2:2">
      <c r="B3441" s="21">
        <f>IF(AND(C3441&lt;&gt;"", H3441&lt;&gt;""), HYPERLINK("#'" &amp; C3441 &amp; "'!" &amp; H3441, H3441), "")</f>
        <v>0</v>
      </c>
    </row>
    <row r="3442" spans="2:2">
      <c r="B3442" s="21">
        <f>IF(AND(C3442&lt;&gt;"", H3442&lt;&gt;""), HYPERLINK("#'" &amp; C3442 &amp; "'!" &amp; H3442, H3442), "")</f>
        <v>0</v>
      </c>
    </row>
    <row r="3443" spans="2:2">
      <c r="B3443" s="21">
        <f>IF(AND(C3443&lt;&gt;"", H3443&lt;&gt;""), HYPERLINK("#'" &amp; C3443 &amp; "'!" &amp; H3443, H3443), "")</f>
        <v>0</v>
      </c>
    </row>
    <row r="3444" spans="2:2">
      <c r="B3444" s="21">
        <f>IF(AND(C3444&lt;&gt;"", H3444&lt;&gt;""), HYPERLINK("#'" &amp; C3444 &amp; "'!" &amp; H3444, H3444), "")</f>
        <v>0</v>
      </c>
    </row>
    <row r="3445" spans="2:2">
      <c r="B3445" s="21">
        <f>IF(AND(C3445&lt;&gt;"", H3445&lt;&gt;""), HYPERLINK("#'" &amp; C3445 &amp; "'!" &amp; H3445, H3445), "")</f>
        <v>0</v>
      </c>
    </row>
    <row r="3446" spans="2:2">
      <c r="B3446" s="21">
        <f>IF(AND(C3446&lt;&gt;"", H3446&lt;&gt;""), HYPERLINK("#'" &amp; C3446 &amp; "'!" &amp; H3446, H3446), "")</f>
        <v>0</v>
      </c>
    </row>
    <row r="3447" spans="2:2">
      <c r="B3447" s="21">
        <f>IF(AND(C3447&lt;&gt;"", H3447&lt;&gt;""), HYPERLINK("#'" &amp; C3447 &amp; "'!" &amp; H3447, H3447), "")</f>
        <v>0</v>
      </c>
    </row>
    <row r="3448" spans="2:2">
      <c r="B3448" s="21">
        <f>IF(AND(C3448&lt;&gt;"", H3448&lt;&gt;""), HYPERLINK("#'" &amp; C3448 &amp; "'!" &amp; H3448, H3448), "")</f>
        <v>0</v>
      </c>
    </row>
    <row r="3449" spans="2:2">
      <c r="B3449" s="21">
        <f>IF(AND(C3449&lt;&gt;"", H3449&lt;&gt;""), HYPERLINK("#'" &amp; C3449 &amp; "'!" &amp; H3449, H3449), "")</f>
        <v>0</v>
      </c>
    </row>
    <row r="3450" spans="2:2">
      <c r="B3450" s="21">
        <f>IF(AND(C3450&lt;&gt;"", H3450&lt;&gt;""), HYPERLINK("#'" &amp; C3450 &amp; "'!" &amp; H3450, H3450), "")</f>
        <v>0</v>
      </c>
    </row>
    <row r="3451" spans="2:2">
      <c r="B3451" s="21">
        <f>IF(AND(C3451&lt;&gt;"", H3451&lt;&gt;""), HYPERLINK("#'" &amp; C3451 &amp; "'!" &amp; H3451, H3451), "")</f>
        <v>0</v>
      </c>
    </row>
    <row r="3452" spans="2:2">
      <c r="B3452" s="21">
        <f>IF(AND(C3452&lt;&gt;"", H3452&lt;&gt;""), HYPERLINK("#'" &amp; C3452 &amp; "'!" &amp; H3452, H3452), "")</f>
        <v>0</v>
      </c>
    </row>
    <row r="3453" spans="2:2">
      <c r="B3453" s="21">
        <f>IF(AND(C3453&lt;&gt;"", H3453&lt;&gt;""), HYPERLINK("#'" &amp; C3453 &amp; "'!" &amp; H3453, H3453), "")</f>
        <v>0</v>
      </c>
    </row>
    <row r="3454" spans="2:2">
      <c r="B3454" s="21">
        <f>IF(AND(C3454&lt;&gt;"", H3454&lt;&gt;""), HYPERLINK("#'" &amp; C3454 &amp; "'!" &amp; H3454, H3454), "")</f>
        <v>0</v>
      </c>
    </row>
    <row r="3455" spans="2:2">
      <c r="B3455" s="21">
        <f>IF(AND(C3455&lt;&gt;"", H3455&lt;&gt;""), HYPERLINK("#'" &amp; C3455 &amp; "'!" &amp; H3455, H3455), "")</f>
        <v>0</v>
      </c>
    </row>
    <row r="3456" spans="2:2">
      <c r="B3456" s="21">
        <f>IF(AND(C3456&lt;&gt;"", H3456&lt;&gt;""), HYPERLINK("#'" &amp; C3456 &amp; "'!" &amp; H3456, H3456), "")</f>
        <v>0</v>
      </c>
    </row>
    <row r="3457" spans="2:2">
      <c r="B3457" s="21">
        <f>IF(AND(C3457&lt;&gt;"", H3457&lt;&gt;""), HYPERLINK("#'" &amp; C3457 &amp; "'!" &amp; H3457, H3457), "")</f>
        <v>0</v>
      </c>
    </row>
    <row r="3458" spans="2:2">
      <c r="B3458" s="21">
        <f>IF(AND(C3458&lt;&gt;"", H3458&lt;&gt;""), HYPERLINK("#'" &amp; C3458 &amp; "'!" &amp; H3458, H3458), "")</f>
        <v>0</v>
      </c>
    </row>
    <row r="3459" spans="2:2">
      <c r="B3459" s="21">
        <f>IF(AND(C3459&lt;&gt;"", H3459&lt;&gt;""), HYPERLINK("#'" &amp; C3459 &amp; "'!" &amp; H3459, H3459), "")</f>
        <v>0</v>
      </c>
    </row>
    <row r="3460" spans="2:2">
      <c r="B3460" s="21">
        <f>IF(AND(C3460&lt;&gt;"", H3460&lt;&gt;""), HYPERLINK("#'" &amp; C3460 &amp; "'!" &amp; H3460, H3460), "")</f>
        <v>0</v>
      </c>
    </row>
    <row r="3461" spans="2:2">
      <c r="B3461" s="21">
        <f>IF(AND(C3461&lt;&gt;"", H3461&lt;&gt;""), HYPERLINK("#'" &amp; C3461 &amp; "'!" &amp; H3461, H3461), "")</f>
        <v>0</v>
      </c>
    </row>
    <row r="3462" spans="2:2">
      <c r="B3462" s="21">
        <f>IF(AND(C3462&lt;&gt;"", H3462&lt;&gt;""), HYPERLINK("#'" &amp; C3462 &amp; "'!" &amp; H3462, H3462), "")</f>
        <v>0</v>
      </c>
    </row>
    <row r="3463" spans="2:2">
      <c r="B3463" s="21">
        <f>IF(AND(C3463&lt;&gt;"", H3463&lt;&gt;""), HYPERLINK("#'" &amp; C3463 &amp; "'!" &amp; H3463, H3463), "")</f>
        <v>0</v>
      </c>
    </row>
    <row r="3464" spans="2:2">
      <c r="B3464" s="21">
        <f>IF(AND(C3464&lt;&gt;"", H3464&lt;&gt;""), HYPERLINK("#'" &amp; C3464 &amp; "'!" &amp; H3464, H3464), "")</f>
        <v>0</v>
      </c>
    </row>
    <row r="3465" spans="2:2">
      <c r="B3465" s="21">
        <f>IF(AND(C3465&lt;&gt;"", H3465&lt;&gt;""), HYPERLINK("#'" &amp; C3465 &amp; "'!" &amp; H3465, H3465), "")</f>
        <v>0</v>
      </c>
    </row>
    <row r="3466" spans="2:2">
      <c r="B3466" s="21">
        <f>IF(AND(C3466&lt;&gt;"", H3466&lt;&gt;""), HYPERLINK("#'" &amp; C3466 &amp; "'!" &amp; H3466, H3466), "")</f>
        <v>0</v>
      </c>
    </row>
    <row r="3467" spans="2:2">
      <c r="B3467" s="21">
        <f>IF(AND(C3467&lt;&gt;"", H3467&lt;&gt;""), HYPERLINK("#'" &amp; C3467 &amp; "'!" &amp; H3467, H3467), "")</f>
        <v>0</v>
      </c>
    </row>
    <row r="3468" spans="2:2">
      <c r="B3468" s="21">
        <f>IF(AND(C3468&lt;&gt;"", H3468&lt;&gt;""), HYPERLINK("#'" &amp; C3468 &amp; "'!" &amp; H3468, H3468), "")</f>
        <v>0</v>
      </c>
    </row>
    <row r="3469" spans="2:2">
      <c r="B3469" s="21">
        <f>IF(AND(C3469&lt;&gt;"", H3469&lt;&gt;""), HYPERLINK("#'" &amp; C3469 &amp; "'!" &amp; H3469, H3469), "")</f>
        <v>0</v>
      </c>
    </row>
    <row r="3470" spans="2:2">
      <c r="B3470" s="21">
        <f>IF(AND(C3470&lt;&gt;"", H3470&lt;&gt;""), HYPERLINK("#'" &amp; C3470 &amp; "'!" &amp; H3470, H3470), "")</f>
        <v>0</v>
      </c>
    </row>
    <row r="3471" spans="2:2">
      <c r="B3471" s="21">
        <f>IF(AND(C3471&lt;&gt;"", H3471&lt;&gt;""), HYPERLINK("#'" &amp; C3471 &amp; "'!" &amp; H3471, H3471), "")</f>
        <v>0</v>
      </c>
    </row>
    <row r="3472" spans="2:2">
      <c r="B3472" s="21">
        <f>IF(AND(C3472&lt;&gt;"", H3472&lt;&gt;""), HYPERLINK("#'" &amp; C3472 &amp; "'!" &amp; H3472, H3472), "")</f>
        <v>0</v>
      </c>
    </row>
    <row r="3473" spans="2:2">
      <c r="B3473" s="21">
        <f>IF(AND(C3473&lt;&gt;"", H3473&lt;&gt;""), HYPERLINK("#'" &amp; C3473 &amp; "'!" &amp; H3473, H3473), "")</f>
        <v>0</v>
      </c>
    </row>
    <row r="3474" spans="2:2">
      <c r="B3474" s="21">
        <f>IF(AND(C3474&lt;&gt;"", H3474&lt;&gt;""), HYPERLINK("#'" &amp; C3474 &amp; "'!" &amp; H3474, H3474), "")</f>
        <v>0</v>
      </c>
    </row>
    <row r="3475" spans="2:2">
      <c r="B3475" s="21">
        <f>IF(AND(C3475&lt;&gt;"", H3475&lt;&gt;""), HYPERLINK("#'" &amp; C3475 &amp; "'!" &amp; H3475, H3475), "")</f>
        <v>0</v>
      </c>
    </row>
    <row r="3476" spans="2:2">
      <c r="B3476" s="21">
        <f>IF(AND(C3476&lt;&gt;"", H3476&lt;&gt;""), HYPERLINK("#'" &amp; C3476 &amp; "'!" &amp; H3476, H3476), "")</f>
        <v>0</v>
      </c>
    </row>
    <row r="3477" spans="2:2">
      <c r="B3477" s="21">
        <f>IF(AND(C3477&lt;&gt;"", H3477&lt;&gt;""), HYPERLINK("#'" &amp; C3477 &amp; "'!" &amp; H3477, H3477), "")</f>
        <v>0</v>
      </c>
    </row>
    <row r="3478" spans="2:2">
      <c r="B3478" s="21">
        <f>IF(AND(C3478&lt;&gt;"", H3478&lt;&gt;""), HYPERLINK("#'" &amp; C3478 &amp; "'!" &amp; H3478, H3478), "")</f>
        <v>0</v>
      </c>
    </row>
    <row r="3479" spans="2:2">
      <c r="B3479" s="21">
        <f>IF(AND(C3479&lt;&gt;"", H3479&lt;&gt;""), HYPERLINK("#'" &amp; C3479 &amp; "'!" &amp; H3479, H3479), "")</f>
        <v>0</v>
      </c>
    </row>
    <row r="3480" spans="2:2">
      <c r="B3480" s="21">
        <f>IF(AND(C3480&lt;&gt;"", H3480&lt;&gt;""), HYPERLINK("#'" &amp; C3480 &amp; "'!" &amp; H3480, H3480), "")</f>
        <v>0</v>
      </c>
    </row>
    <row r="3481" spans="2:2">
      <c r="B3481" s="21">
        <f>IF(AND(C3481&lt;&gt;"", H3481&lt;&gt;""), HYPERLINK("#'" &amp; C3481 &amp; "'!" &amp; H3481, H3481), "")</f>
        <v>0</v>
      </c>
    </row>
    <row r="3482" spans="2:2">
      <c r="B3482" s="21">
        <f>IF(AND(C3482&lt;&gt;"", H3482&lt;&gt;""), HYPERLINK("#'" &amp; C3482 &amp; "'!" &amp; H3482, H3482), "")</f>
        <v>0</v>
      </c>
    </row>
    <row r="3483" spans="2:2">
      <c r="B3483" s="21">
        <f>IF(AND(C3483&lt;&gt;"", H3483&lt;&gt;""), HYPERLINK("#'" &amp; C3483 &amp; "'!" &amp; H3483, H3483), "")</f>
        <v>0</v>
      </c>
    </row>
    <row r="3484" spans="2:2">
      <c r="B3484" s="21">
        <f>IF(AND(C3484&lt;&gt;"", H3484&lt;&gt;""), HYPERLINK("#'" &amp; C3484 &amp; "'!" &amp; H3484, H3484), "")</f>
        <v>0</v>
      </c>
    </row>
    <row r="3485" spans="2:2">
      <c r="B3485" s="21">
        <f>IF(AND(C3485&lt;&gt;"", H3485&lt;&gt;""), HYPERLINK("#'" &amp; C3485 &amp; "'!" &amp; H3485, H3485), "")</f>
        <v>0</v>
      </c>
    </row>
    <row r="3486" spans="2:2">
      <c r="B3486" s="21">
        <f>IF(AND(C3486&lt;&gt;"", H3486&lt;&gt;""), HYPERLINK("#'" &amp; C3486 &amp; "'!" &amp; H3486, H3486), "")</f>
        <v>0</v>
      </c>
    </row>
    <row r="3487" spans="2:2">
      <c r="B3487" s="21">
        <f>IF(AND(C3487&lt;&gt;"", H3487&lt;&gt;""), HYPERLINK("#'" &amp; C3487 &amp; "'!" &amp; H3487, H3487), "")</f>
        <v>0</v>
      </c>
    </row>
    <row r="3488" spans="2:2">
      <c r="B3488" s="21">
        <f>IF(AND(C3488&lt;&gt;"", H3488&lt;&gt;""), HYPERLINK("#'" &amp; C3488 &amp; "'!" &amp; H3488, H3488), "")</f>
        <v>0</v>
      </c>
    </row>
    <row r="3489" spans="2:2">
      <c r="B3489" s="21">
        <f>IF(AND(C3489&lt;&gt;"", H3489&lt;&gt;""), HYPERLINK("#'" &amp; C3489 &amp; "'!" &amp; H3489, H3489), "")</f>
        <v>0</v>
      </c>
    </row>
    <row r="3490" spans="2:2">
      <c r="B3490" s="21">
        <f>IF(AND(C3490&lt;&gt;"", H3490&lt;&gt;""), HYPERLINK("#'" &amp; C3490 &amp; "'!" &amp; H3490, H3490), "")</f>
        <v>0</v>
      </c>
    </row>
    <row r="3491" spans="2:2">
      <c r="B3491" s="21">
        <f>IF(AND(C3491&lt;&gt;"", H3491&lt;&gt;""), HYPERLINK("#'" &amp; C3491 &amp; "'!" &amp; H3491, H3491), "")</f>
        <v>0</v>
      </c>
    </row>
    <row r="3492" spans="2:2">
      <c r="B3492" s="21">
        <f>IF(AND(C3492&lt;&gt;"", H3492&lt;&gt;""), HYPERLINK("#'" &amp; C3492 &amp; "'!" &amp; H3492, H3492), "")</f>
        <v>0</v>
      </c>
    </row>
    <row r="3493" spans="2:2">
      <c r="B3493" s="21">
        <f>IF(AND(C3493&lt;&gt;"", H3493&lt;&gt;""), HYPERLINK("#'" &amp; C3493 &amp; "'!" &amp; H3493, H3493), "")</f>
        <v>0</v>
      </c>
    </row>
    <row r="3494" spans="2:2">
      <c r="B3494" s="21">
        <f>IF(AND(C3494&lt;&gt;"", H3494&lt;&gt;""), HYPERLINK("#'" &amp; C3494 &amp; "'!" &amp; H3494, H3494), "")</f>
        <v>0</v>
      </c>
    </row>
    <row r="3495" spans="2:2">
      <c r="B3495" s="21">
        <f>IF(AND(C3495&lt;&gt;"", H3495&lt;&gt;""), HYPERLINK("#'" &amp; C3495 &amp; "'!" &amp; H3495, H3495), "")</f>
        <v>0</v>
      </c>
    </row>
    <row r="3496" spans="2:2">
      <c r="B3496" s="21">
        <f>IF(AND(C3496&lt;&gt;"", H3496&lt;&gt;""), HYPERLINK("#'" &amp; C3496 &amp; "'!" &amp; H3496, H3496), "")</f>
        <v>0</v>
      </c>
    </row>
    <row r="3497" spans="2:2">
      <c r="B3497" s="21">
        <f>IF(AND(C3497&lt;&gt;"", H3497&lt;&gt;""), HYPERLINK("#'" &amp; C3497 &amp; "'!" &amp; H3497, H3497), "")</f>
        <v>0</v>
      </c>
    </row>
    <row r="3498" spans="2:2">
      <c r="B3498" s="21">
        <f>IF(AND(C3498&lt;&gt;"", H3498&lt;&gt;""), HYPERLINK("#'" &amp; C3498 &amp; "'!" &amp; H3498, H3498), "")</f>
        <v>0</v>
      </c>
    </row>
    <row r="3499" spans="2:2">
      <c r="B3499" s="21">
        <f>IF(AND(C3499&lt;&gt;"", H3499&lt;&gt;""), HYPERLINK("#'" &amp; C3499 &amp; "'!" &amp; H3499, H3499), "")</f>
        <v>0</v>
      </c>
    </row>
    <row r="3500" spans="2:2">
      <c r="B3500" s="21">
        <f>IF(AND(C3500&lt;&gt;"", H3500&lt;&gt;""), HYPERLINK("#'" &amp; C3500 &amp; "'!" &amp; H3500, H3500), "")</f>
        <v>0</v>
      </c>
    </row>
    <row r="3501" spans="2:2">
      <c r="B3501" s="21">
        <f>IF(AND(C3501&lt;&gt;"", H3501&lt;&gt;""), HYPERLINK("#'" &amp; C3501 &amp; "'!" &amp; H3501, H3501), "")</f>
        <v>0</v>
      </c>
    </row>
    <row r="3502" spans="2:2">
      <c r="B3502" s="21">
        <f>IF(AND(C3502&lt;&gt;"", H3502&lt;&gt;""), HYPERLINK("#'" &amp; C3502 &amp; "'!" &amp; H3502, H3502), "")</f>
        <v>0</v>
      </c>
    </row>
    <row r="3503" spans="2:2">
      <c r="B3503" s="21">
        <f>IF(AND(C3503&lt;&gt;"", H3503&lt;&gt;""), HYPERLINK("#'" &amp; C3503 &amp; "'!" &amp; H3503, H3503), "")</f>
        <v>0</v>
      </c>
    </row>
    <row r="3504" spans="2:2">
      <c r="B3504" s="21">
        <f>IF(AND(C3504&lt;&gt;"", H3504&lt;&gt;""), HYPERLINK("#'" &amp; C3504 &amp; "'!" &amp; H3504, H3504), "")</f>
        <v>0</v>
      </c>
    </row>
    <row r="3505" spans="2:2">
      <c r="B3505" s="21">
        <f>IF(AND(C3505&lt;&gt;"", H3505&lt;&gt;""), HYPERLINK("#'" &amp; C3505 &amp; "'!" &amp; H3505, H3505), "")</f>
        <v>0</v>
      </c>
    </row>
    <row r="3506" spans="2:2">
      <c r="B3506" s="21">
        <f>IF(AND(C3506&lt;&gt;"", H3506&lt;&gt;""), HYPERLINK("#'" &amp; C3506 &amp; "'!" &amp; H3506, H3506), "")</f>
        <v>0</v>
      </c>
    </row>
    <row r="3507" spans="2:2">
      <c r="B3507" s="21">
        <f>IF(AND(C3507&lt;&gt;"", H3507&lt;&gt;""), HYPERLINK("#'" &amp; C3507 &amp; "'!" &amp; H3507, H3507), "")</f>
        <v>0</v>
      </c>
    </row>
    <row r="3508" spans="2:2">
      <c r="B3508" s="21">
        <f>IF(AND(C3508&lt;&gt;"", H3508&lt;&gt;""), HYPERLINK("#'" &amp; C3508 &amp; "'!" &amp; H3508, H3508), "")</f>
        <v>0</v>
      </c>
    </row>
    <row r="3509" spans="2:2">
      <c r="B3509" s="21">
        <f>IF(AND(C3509&lt;&gt;"", H3509&lt;&gt;""), HYPERLINK("#'" &amp; C3509 &amp; "'!" &amp; H3509, H3509), "")</f>
        <v>0</v>
      </c>
    </row>
    <row r="3510" spans="2:2">
      <c r="B3510" s="21">
        <f>IF(AND(C3510&lt;&gt;"", H3510&lt;&gt;""), HYPERLINK("#'" &amp; C3510 &amp; "'!" &amp; H3510, H3510), "")</f>
        <v>0</v>
      </c>
    </row>
    <row r="3511" spans="2:2">
      <c r="B3511" s="21">
        <f>IF(AND(C3511&lt;&gt;"", H3511&lt;&gt;""), HYPERLINK("#'" &amp; C3511 &amp; "'!" &amp; H3511, H3511), "")</f>
        <v>0</v>
      </c>
    </row>
    <row r="3512" spans="2:2">
      <c r="B3512" s="21">
        <f>IF(AND(C3512&lt;&gt;"", H3512&lt;&gt;""), HYPERLINK("#'" &amp; C3512 &amp; "'!" &amp; H3512, H3512), "")</f>
        <v>0</v>
      </c>
    </row>
    <row r="3513" spans="2:2">
      <c r="B3513" s="21">
        <f>IF(AND(C3513&lt;&gt;"", H3513&lt;&gt;""), HYPERLINK("#'" &amp; C3513 &amp; "'!" &amp; H3513, H3513), "")</f>
        <v>0</v>
      </c>
    </row>
    <row r="3514" spans="2:2">
      <c r="B3514" s="21">
        <f>IF(AND(C3514&lt;&gt;"", H3514&lt;&gt;""), HYPERLINK("#'" &amp; C3514 &amp; "'!" &amp; H3514, H3514), "")</f>
        <v>0</v>
      </c>
    </row>
    <row r="3515" spans="2:2">
      <c r="B3515" s="21">
        <f>IF(AND(C3515&lt;&gt;"", H3515&lt;&gt;""), HYPERLINK("#'" &amp; C3515 &amp; "'!" &amp; H3515, H3515), "")</f>
        <v>0</v>
      </c>
    </row>
    <row r="3516" spans="2:2">
      <c r="B3516" s="21">
        <f>IF(AND(C3516&lt;&gt;"", H3516&lt;&gt;""), HYPERLINK("#'" &amp; C3516 &amp; "'!" &amp; H3516, H3516), "")</f>
        <v>0</v>
      </c>
    </row>
    <row r="3517" spans="2:2">
      <c r="B3517" s="21">
        <f>IF(AND(C3517&lt;&gt;"", H3517&lt;&gt;""), HYPERLINK("#'" &amp; C3517 &amp; "'!" &amp; H3517, H3517), "")</f>
        <v>0</v>
      </c>
    </row>
    <row r="3518" spans="2:2">
      <c r="B3518" s="21">
        <f>IF(AND(C3518&lt;&gt;"", H3518&lt;&gt;""), HYPERLINK("#'" &amp; C3518 &amp; "'!" &amp; H3518, H3518), "")</f>
        <v>0</v>
      </c>
    </row>
    <row r="3519" spans="2:2">
      <c r="B3519" s="21">
        <f>IF(AND(C3519&lt;&gt;"", H3519&lt;&gt;""), HYPERLINK("#'" &amp; C3519 &amp; "'!" &amp; H3519, H3519), "")</f>
        <v>0</v>
      </c>
    </row>
    <row r="3520" spans="2:2">
      <c r="B3520" s="21">
        <f>IF(AND(C3520&lt;&gt;"", H3520&lt;&gt;""), HYPERLINK("#'" &amp; C3520 &amp; "'!" &amp; H3520, H3520), "")</f>
        <v>0</v>
      </c>
    </row>
    <row r="3521" spans="2:2">
      <c r="B3521" s="21">
        <f>IF(AND(C3521&lt;&gt;"", H3521&lt;&gt;""), HYPERLINK("#'" &amp; C3521 &amp; "'!" &amp; H3521, H3521), "")</f>
        <v>0</v>
      </c>
    </row>
    <row r="3522" spans="2:2">
      <c r="B3522" s="21">
        <f>IF(AND(C3522&lt;&gt;"", H3522&lt;&gt;""), HYPERLINK("#'" &amp; C3522 &amp; "'!" &amp; H3522, H3522), "")</f>
        <v>0</v>
      </c>
    </row>
    <row r="3523" spans="2:2">
      <c r="B3523" s="21">
        <f>IF(AND(C3523&lt;&gt;"", H3523&lt;&gt;""), HYPERLINK("#'" &amp; C3523 &amp; "'!" &amp; H3523, H3523), "")</f>
        <v>0</v>
      </c>
    </row>
    <row r="3524" spans="2:2">
      <c r="B3524" s="21">
        <f>IF(AND(C3524&lt;&gt;"", H3524&lt;&gt;""), HYPERLINK("#'" &amp; C3524 &amp; "'!" &amp; H3524, H3524), "")</f>
        <v>0</v>
      </c>
    </row>
    <row r="3525" spans="2:2">
      <c r="B3525" s="21">
        <f>IF(AND(C3525&lt;&gt;"", H3525&lt;&gt;""), HYPERLINK("#'" &amp; C3525 &amp; "'!" &amp; H3525, H3525), "")</f>
        <v>0</v>
      </c>
    </row>
    <row r="3526" spans="2:2">
      <c r="B3526" s="21">
        <f>IF(AND(C3526&lt;&gt;"", H3526&lt;&gt;""), HYPERLINK("#'" &amp; C3526 &amp; "'!" &amp; H3526, H3526), "")</f>
        <v>0</v>
      </c>
    </row>
    <row r="3527" spans="2:2">
      <c r="B3527" s="21">
        <f>IF(AND(C3527&lt;&gt;"", H3527&lt;&gt;""), HYPERLINK("#'" &amp; C3527 &amp; "'!" &amp; H3527, H3527), "")</f>
        <v>0</v>
      </c>
    </row>
    <row r="3528" spans="2:2">
      <c r="B3528" s="21">
        <f>IF(AND(C3528&lt;&gt;"", H3528&lt;&gt;""), HYPERLINK("#'" &amp; C3528 &amp; "'!" &amp; H3528, H3528), "")</f>
        <v>0</v>
      </c>
    </row>
    <row r="3529" spans="2:2">
      <c r="B3529" s="21">
        <f>IF(AND(C3529&lt;&gt;"", H3529&lt;&gt;""), HYPERLINK("#'" &amp; C3529 &amp; "'!" &amp; H3529, H3529), "")</f>
        <v>0</v>
      </c>
    </row>
    <row r="3530" spans="2:2">
      <c r="B3530" s="21">
        <f>IF(AND(C3530&lt;&gt;"", H3530&lt;&gt;""), HYPERLINK("#'" &amp; C3530 &amp; "'!" &amp; H3530, H3530), "")</f>
        <v>0</v>
      </c>
    </row>
    <row r="3531" spans="2:2">
      <c r="B3531" s="21">
        <f>IF(AND(C3531&lt;&gt;"", H3531&lt;&gt;""), HYPERLINK("#'" &amp; C3531 &amp; "'!" &amp; H3531, H3531), "")</f>
        <v>0</v>
      </c>
    </row>
    <row r="3532" spans="2:2">
      <c r="B3532" s="21">
        <f>IF(AND(C3532&lt;&gt;"", H3532&lt;&gt;""), HYPERLINK("#'" &amp; C3532 &amp; "'!" &amp; H3532, H3532), "")</f>
        <v>0</v>
      </c>
    </row>
    <row r="3533" spans="2:2">
      <c r="B3533" s="21">
        <f>IF(AND(C3533&lt;&gt;"", H3533&lt;&gt;""), HYPERLINK("#'" &amp; C3533 &amp; "'!" &amp; H3533, H3533), "")</f>
        <v>0</v>
      </c>
    </row>
    <row r="3534" spans="2:2">
      <c r="B3534" s="21">
        <f>IF(AND(C3534&lt;&gt;"", H3534&lt;&gt;""), HYPERLINK("#'" &amp; C3534 &amp; "'!" &amp; H3534, H3534), "")</f>
        <v>0</v>
      </c>
    </row>
    <row r="3535" spans="2:2">
      <c r="B3535" s="21">
        <f>IF(AND(C3535&lt;&gt;"", H3535&lt;&gt;""), HYPERLINK("#'" &amp; C3535 &amp; "'!" &amp; H3535, H3535), "")</f>
        <v>0</v>
      </c>
    </row>
    <row r="3536" spans="2:2">
      <c r="B3536" s="21">
        <f>IF(AND(C3536&lt;&gt;"", H3536&lt;&gt;""), HYPERLINK("#'" &amp; C3536 &amp; "'!" &amp; H3536, H3536), "")</f>
        <v>0</v>
      </c>
    </row>
    <row r="3537" spans="2:2">
      <c r="B3537" s="21">
        <f>IF(AND(C3537&lt;&gt;"", H3537&lt;&gt;""), HYPERLINK("#'" &amp; C3537 &amp; "'!" &amp; H3537, H3537), "")</f>
        <v>0</v>
      </c>
    </row>
    <row r="3538" spans="2:2">
      <c r="B3538" s="21">
        <f>IF(AND(C3538&lt;&gt;"", H3538&lt;&gt;""), HYPERLINK("#'" &amp; C3538 &amp; "'!" &amp; H3538, H3538), "")</f>
        <v>0</v>
      </c>
    </row>
    <row r="3539" spans="2:2">
      <c r="B3539" s="21">
        <f>IF(AND(C3539&lt;&gt;"", H3539&lt;&gt;""), HYPERLINK("#'" &amp; C3539 &amp; "'!" &amp; H3539, H3539), "")</f>
        <v>0</v>
      </c>
    </row>
    <row r="3540" spans="2:2">
      <c r="B3540" s="21">
        <f>IF(AND(C3540&lt;&gt;"", H3540&lt;&gt;""), HYPERLINK("#'" &amp; C3540 &amp; "'!" &amp; H3540, H3540), "")</f>
        <v>0</v>
      </c>
    </row>
    <row r="3541" spans="2:2">
      <c r="B3541" s="21">
        <f>IF(AND(C3541&lt;&gt;"", H3541&lt;&gt;""), HYPERLINK("#'" &amp; C3541 &amp; "'!" &amp; H3541, H3541), "")</f>
        <v>0</v>
      </c>
    </row>
    <row r="3542" spans="2:2">
      <c r="B3542" s="21">
        <f>IF(AND(C3542&lt;&gt;"", H3542&lt;&gt;""), HYPERLINK("#'" &amp; C3542 &amp; "'!" &amp; H3542, H3542), "")</f>
        <v>0</v>
      </c>
    </row>
    <row r="3543" spans="2:2">
      <c r="B3543" s="21">
        <f>IF(AND(C3543&lt;&gt;"", H3543&lt;&gt;""), HYPERLINK("#'" &amp; C3543 &amp; "'!" &amp; H3543, H3543), "")</f>
        <v>0</v>
      </c>
    </row>
    <row r="3544" spans="2:2">
      <c r="B3544" s="21">
        <f>IF(AND(C3544&lt;&gt;"", H3544&lt;&gt;""), HYPERLINK("#'" &amp; C3544 &amp; "'!" &amp; H3544, H3544), "")</f>
        <v>0</v>
      </c>
    </row>
    <row r="3545" spans="2:2">
      <c r="B3545" s="21">
        <f>IF(AND(C3545&lt;&gt;"", H3545&lt;&gt;""), HYPERLINK("#'" &amp; C3545 &amp; "'!" &amp; H3545, H3545), "")</f>
        <v>0</v>
      </c>
    </row>
    <row r="3546" spans="2:2">
      <c r="B3546" s="21">
        <f>IF(AND(C3546&lt;&gt;"", H3546&lt;&gt;""), HYPERLINK("#'" &amp; C3546 &amp; "'!" &amp; H3546, H3546), "")</f>
        <v>0</v>
      </c>
    </row>
    <row r="3547" spans="2:2">
      <c r="B3547" s="21">
        <f>IF(AND(C3547&lt;&gt;"", H3547&lt;&gt;""), HYPERLINK("#'" &amp; C3547 &amp; "'!" &amp; H3547, H3547), "")</f>
        <v>0</v>
      </c>
    </row>
    <row r="3548" spans="2:2">
      <c r="B3548" s="21">
        <f>IF(AND(C3548&lt;&gt;"", H3548&lt;&gt;""), HYPERLINK("#'" &amp; C3548 &amp; "'!" &amp; H3548, H3548), "")</f>
        <v>0</v>
      </c>
    </row>
    <row r="3549" spans="2:2">
      <c r="B3549" s="21">
        <f>IF(AND(C3549&lt;&gt;"", H3549&lt;&gt;""), HYPERLINK("#'" &amp; C3549 &amp; "'!" &amp; H3549, H3549), "")</f>
        <v>0</v>
      </c>
    </row>
    <row r="3550" spans="2:2">
      <c r="B3550" s="21">
        <f>IF(AND(C3550&lt;&gt;"", H3550&lt;&gt;""), HYPERLINK("#'" &amp; C3550 &amp; "'!" &amp; H3550, H3550), "")</f>
        <v>0</v>
      </c>
    </row>
    <row r="3551" spans="2:2">
      <c r="B3551" s="21">
        <f>IF(AND(C3551&lt;&gt;"", H3551&lt;&gt;""), HYPERLINK("#'" &amp; C3551 &amp; "'!" &amp; H3551, H3551), "")</f>
        <v>0</v>
      </c>
    </row>
    <row r="3552" spans="2:2">
      <c r="B3552" s="21">
        <f>IF(AND(C3552&lt;&gt;"", H3552&lt;&gt;""), HYPERLINK("#'" &amp; C3552 &amp; "'!" &amp; H3552, H3552), "")</f>
        <v>0</v>
      </c>
    </row>
    <row r="3553" spans="2:2">
      <c r="B3553" s="21">
        <f>IF(AND(C3553&lt;&gt;"", H3553&lt;&gt;""), HYPERLINK("#'" &amp; C3553 &amp; "'!" &amp; H3553, H3553), "")</f>
        <v>0</v>
      </c>
    </row>
    <row r="3554" spans="2:2">
      <c r="B3554" s="21">
        <f>IF(AND(C3554&lt;&gt;"", H3554&lt;&gt;""), HYPERLINK("#'" &amp; C3554 &amp; "'!" &amp; H3554, H3554), "")</f>
        <v>0</v>
      </c>
    </row>
    <row r="3555" spans="2:2">
      <c r="B3555" s="21">
        <f>IF(AND(C3555&lt;&gt;"", H3555&lt;&gt;""), HYPERLINK("#'" &amp; C3555 &amp; "'!" &amp; H3555, H3555), "")</f>
        <v>0</v>
      </c>
    </row>
    <row r="3556" spans="2:2">
      <c r="B3556" s="21">
        <f>IF(AND(C3556&lt;&gt;"", H3556&lt;&gt;""), HYPERLINK("#'" &amp; C3556 &amp; "'!" &amp; H3556, H3556), "")</f>
        <v>0</v>
      </c>
    </row>
    <row r="3557" spans="2:2">
      <c r="B3557" s="21">
        <f>IF(AND(C3557&lt;&gt;"", H3557&lt;&gt;""), HYPERLINK("#'" &amp; C3557 &amp; "'!" &amp; H3557, H3557), "")</f>
        <v>0</v>
      </c>
    </row>
    <row r="3558" spans="2:2">
      <c r="B3558" s="21">
        <f>IF(AND(C3558&lt;&gt;"", H3558&lt;&gt;""), HYPERLINK("#'" &amp; C3558 &amp; "'!" &amp; H3558, H3558), "")</f>
        <v>0</v>
      </c>
    </row>
    <row r="3559" spans="2:2">
      <c r="B3559" s="21">
        <f>IF(AND(C3559&lt;&gt;"", H3559&lt;&gt;""), HYPERLINK("#'" &amp; C3559 &amp; "'!" &amp; H3559, H3559), "")</f>
        <v>0</v>
      </c>
    </row>
    <row r="3560" spans="2:2">
      <c r="B3560" s="21">
        <f>IF(AND(C3560&lt;&gt;"", H3560&lt;&gt;""), HYPERLINK("#'" &amp; C3560 &amp; "'!" &amp; H3560, H3560), "")</f>
        <v>0</v>
      </c>
    </row>
    <row r="3561" spans="2:2">
      <c r="B3561" s="21">
        <f>IF(AND(C3561&lt;&gt;"", H3561&lt;&gt;""), HYPERLINK("#'" &amp; C3561 &amp; "'!" &amp; H3561, H3561), "")</f>
        <v>0</v>
      </c>
    </row>
    <row r="3562" spans="2:2">
      <c r="B3562" s="21">
        <f>IF(AND(C3562&lt;&gt;"", H3562&lt;&gt;""), HYPERLINK("#'" &amp; C3562 &amp; "'!" &amp; H3562, H3562), "")</f>
        <v>0</v>
      </c>
    </row>
    <row r="3563" spans="2:2">
      <c r="B3563" s="21">
        <f>IF(AND(C3563&lt;&gt;"", H3563&lt;&gt;""), HYPERLINK("#'" &amp; C3563 &amp; "'!" &amp; H3563, H3563), "")</f>
        <v>0</v>
      </c>
    </row>
    <row r="3564" spans="2:2">
      <c r="B3564" s="21">
        <f>IF(AND(C3564&lt;&gt;"", H3564&lt;&gt;""), HYPERLINK("#'" &amp; C3564 &amp; "'!" &amp; H3564, H3564), "")</f>
        <v>0</v>
      </c>
    </row>
    <row r="3565" spans="2:2">
      <c r="B3565" s="21">
        <f>IF(AND(C3565&lt;&gt;"", H3565&lt;&gt;""), HYPERLINK("#'" &amp; C3565 &amp; "'!" &amp; H3565, H3565), "")</f>
        <v>0</v>
      </c>
    </row>
    <row r="3566" spans="2:2">
      <c r="B3566" s="21">
        <f>IF(AND(C3566&lt;&gt;"", H3566&lt;&gt;""), HYPERLINK("#'" &amp; C3566 &amp; "'!" &amp; H3566, H3566), "")</f>
        <v>0</v>
      </c>
    </row>
    <row r="3567" spans="2:2">
      <c r="B3567" s="21">
        <f>IF(AND(C3567&lt;&gt;"", H3567&lt;&gt;""), HYPERLINK("#'" &amp; C3567 &amp; "'!" &amp; H3567, H3567), "")</f>
        <v>0</v>
      </c>
    </row>
    <row r="3568" spans="2:2">
      <c r="B3568" s="21">
        <f>IF(AND(C3568&lt;&gt;"", H3568&lt;&gt;""), HYPERLINK("#'" &amp; C3568 &amp; "'!" &amp; H3568, H3568), "")</f>
        <v>0</v>
      </c>
    </row>
    <row r="3569" spans="2:2">
      <c r="B3569" s="21">
        <f>IF(AND(C3569&lt;&gt;"", H3569&lt;&gt;""), HYPERLINK("#'" &amp; C3569 &amp; "'!" &amp; H3569, H3569), "")</f>
        <v>0</v>
      </c>
    </row>
    <row r="3570" spans="2:2">
      <c r="B3570" s="21">
        <f>IF(AND(C3570&lt;&gt;"", H3570&lt;&gt;""), HYPERLINK("#'" &amp; C3570 &amp; "'!" &amp; H3570, H3570), "")</f>
        <v>0</v>
      </c>
    </row>
    <row r="3571" spans="2:2">
      <c r="B3571" s="21">
        <f>IF(AND(C3571&lt;&gt;"", H3571&lt;&gt;""), HYPERLINK("#'" &amp; C3571 &amp; "'!" &amp; H3571, H3571), "")</f>
        <v>0</v>
      </c>
    </row>
    <row r="3572" spans="2:2">
      <c r="B3572" s="21">
        <f>IF(AND(C3572&lt;&gt;"", H3572&lt;&gt;""), HYPERLINK("#'" &amp; C3572 &amp; "'!" &amp; H3572, H3572), "")</f>
        <v>0</v>
      </c>
    </row>
    <row r="3573" spans="2:2">
      <c r="B3573" s="21">
        <f>IF(AND(C3573&lt;&gt;"", H3573&lt;&gt;""), HYPERLINK("#'" &amp; C3573 &amp; "'!" &amp; H3573, H3573), "")</f>
        <v>0</v>
      </c>
    </row>
    <row r="3574" spans="2:2">
      <c r="B3574" s="21">
        <f>IF(AND(C3574&lt;&gt;"", H3574&lt;&gt;""), HYPERLINK("#'" &amp; C3574 &amp; "'!" &amp; H3574, H3574), "")</f>
        <v>0</v>
      </c>
    </row>
    <row r="3575" spans="2:2">
      <c r="B3575" s="21">
        <f>IF(AND(C3575&lt;&gt;"", H3575&lt;&gt;""), HYPERLINK("#'" &amp; C3575 &amp; "'!" &amp; H3575, H3575), "")</f>
        <v>0</v>
      </c>
    </row>
    <row r="3576" spans="2:2">
      <c r="B3576" s="21">
        <f>IF(AND(C3576&lt;&gt;"", H3576&lt;&gt;""), HYPERLINK("#'" &amp; C3576 &amp; "'!" &amp; H3576, H3576), "")</f>
        <v>0</v>
      </c>
    </row>
    <row r="3577" spans="2:2">
      <c r="B3577" s="21">
        <f>IF(AND(C3577&lt;&gt;"", H3577&lt;&gt;""), HYPERLINK("#'" &amp; C3577 &amp; "'!" &amp; H3577, H3577), "")</f>
        <v>0</v>
      </c>
    </row>
    <row r="3578" spans="2:2">
      <c r="B3578" s="21">
        <f>IF(AND(C3578&lt;&gt;"", H3578&lt;&gt;""), HYPERLINK("#'" &amp; C3578 &amp; "'!" &amp; H3578, H3578), "")</f>
        <v>0</v>
      </c>
    </row>
    <row r="3579" spans="2:2">
      <c r="B3579" s="21">
        <f>IF(AND(C3579&lt;&gt;"", H3579&lt;&gt;""), HYPERLINK("#'" &amp; C3579 &amp; "'!" &amp; H3579, H3579), "")</f>
        <v>0</v>
      </c>
    </row>
    <row r="3580" spans="2:2">
      <c r="B3580" s="21">
        <f>IF(AND(C3580&lt;&gt;"", H3580&lt;&gt;""), HYPERLINK("#'" &amp; C3580 &amp; "'!" &amp; H3580, H3580), "")</f>
        <v>0</v>
      </c>
    </row>
    <row r="3581" spans="2:2">
      <c r="B3581" s="21">
        <f>IF(AND(C3581&lt;&gt;"", H3581&lt;&gt;""), HYPERLINK("#'" &amp; C3581 &amp; "'!" &amp; H3581, H3581), "")</f>
        <v>0</v>
      </c>
    </row>
    <row r="3582" spans="2:2">
      <c r="B3582" s="21">
        <f>IF(AND(C3582&lt;&gt;"", H3582&lt;&gt;""), HYPERLINK("#'" &amp; C3582 &amp; "'!" &amp; H3582, H3582), "")</f>
        <v>0</v>
      </c>
    </row>
    <row r="3583" spans="2:2">
      <c r="B3583" s="21">
        <f>IF(AND(C3583&lt;&gt;"", H3583&lt;&gt;""), HYPERLINK("#'" &amp; C3583 &amp; "'!" &amp; H3583, H3583), "")</f>
        <v>0</v>
      </c>
    </row>
    <row r="3584" spans="2:2">
      <c r="B3584" s="21">
        <f>IF(AND(C3584&lt;&gt;"", H3584&lt;&gt;""), HYPERLINK("#'" &amp; C3584 &amp; "'!" &amp; H3584, H3584), "")</f>
        <v>0</v>
      </c>
    </row>
    <row r="3585" spans="2:2">
      <c r="B3585" s="21">
        <f>IF(AND(C3585&lt;&gt;"", H3585&lt;&gt;""), HYPERLINK("#'" &amp; C3585 &amp; "'!" &amp; H3585, H3585), "")</f>
        <v>0</v>
      </c>
    </row>
    <row r="3586" spans="2:2">
      <c r="B3586" s="21">
        <f>IF(AND(C3586&lt;&gt;"", H3586&lt;&gt;""), HYPERLINK("#'" &amp; C3586 &amp; "'!" &amp; H3586, H3586), "")</f>
        <v>0</v>
      </c>
    </row>
    <row r="3587" spans="2:2">
      <c r="B3587" s="21">
        <f>IF(AND(C3587&lt;&gt;"", H3587&lt;&gt;""), HYPERLINK("#'" &amp; C3587 &amp; "'!" &amp; H3587, H3587), "")</f>
        <v>0</v>
      </c>
    </row>
    <row r="3588" spans="2:2">
      <c r="B3588" s="21">
        <f>IF(AND(C3588&lt;&gt;"", H3588&lt;&gt;""), HYPERLINK("#'" &amp; C3588 &amp; "'!" &amp; H3588, H3588), "")</f>
        <v>0</v>
      </c>
    </row>
    <row r="3589" spans="2:2">
      <c r="B3589" s="21">
        <f>IF(AND(C3589&lt;&gt;"", H3589&lt;&gt;""), HYPERLINK("#'" &amp; C3589 &amp; "'!" &amp; H3589, H3589), "")</f>
        <v>0</v>
      </c>
    </row>
    <row r="3590" spans="2:2">
      <c r="B3590" s="21">
        <f>IF(AND(C3590&lt;&gt;"", H3590&lt;&gt;""), HYPERLINK("#'" &amp; C3590 &amp; "'!" &amp; H3590, H3590), "")</f>
        <v>0</v>
      </c>
    </row>
    <row r="3591" spans="2:2">
      <c r="B3591" s="21">
        <f>IF(AND(C3591&lt;&gt;"", H3591&lt;&gt;""), HYPERLINK("#'" &amp; C3591 &amp; "'!" &amp; H3591, H3591), "")</f>
        <v>0</v>
      </c>
    </row>
    <row r="3592" spans="2:2">
      <c r="B3592" s="21">
        <f>IF(AND(C3592&lt;&gt;"", H3592&lt;&gt;""), HYPERLINK("#'" &amp; C3592 &amp; "'!" &amp; H3592, H3592), "")</f>
        <v>0</v>
      </c>
    </row>
    <row r="3593" spans="2:2">
      <c r="B3593" s="21">
        <f>IF(AND(C3593&lt;&gt;"", H3593&lt;&gt;""), HYPERLINK("#'" &amp; C3593 &amp; "'!" &amp; H3593, H3593), "")</f>
        <v>0</v>
      </c>
    </row>
    <row r="3594" spans="2:2">
      <c r="B3594" s="21">
        <f>IF(AND(C3594&lt;&gt;"", H3594&lt;&gt;""), HYPERLINK("#'" &amp; C3594 &amp; "'!" &amp; H3594, H3594), "")</f>
        <v>0</v>
      </c>
    </row>
    <row r="3595" spans="2:2">
      <c r="B3595" s="21">
        <f>IF(AND(C3595&lt;&gt;"", H3595&lt;&gt;""), HYPERLINK("#'" &amp; C3595 &amp; "'!" &amp; H3595, H3595), "")</f>
        <v>0</v>
      </c>
    </row>
    <row r="3596" spans="2:2">
      <c r="B3596" s="21">
        <f>IF(AND(C3596&lt;&gt;"", H3596&lt;&gt;""), HYPERLINK("#'" &amp; C3596 &amp; "'!" &amp; H3596, H3596), "")</f>
        <v>0</v>
      </c>
    </row>
    <row r="3597" spans="2:2">
      <c r="B3597" s="21">
        <f>IF(AND(C3597&lt;&gt;"", H3597&lt;&gt;""), HYPERLINK("#'" &amp; C3597 &amp; "'!" &amp; H3597, H3597), "")</f>
        <v>0</v>
      </c>
    </row>
    <row r="3598" spans="2:2">
      <c r="B3598" s="21">
        <f>IF(AND(C3598&lt;&gt;"", H3598&lt;&gt;""), HYPERLINK("#'" &amp; C3598 &amp; "'!" &amp; H3598, H3598), "")</f>
        <v>0</v>
      </c>
    </row>
    <row r="3599" spans="2:2">
      <c r="B3599" s="21">
        <f>IF(AND(C3599&lt;&gt;"", H3599&lt;&gt;""), HYPERLINK("#'" &amp; C3599 &amp; "'!" &amp; H3599, H3599), "")</f>
        <v>0</v>
      </c>
    </row>
    <row r="3600" spans="2:2">
      <c r="B3600" s="21">
        <f>IF(AND(C3600&lt;&gt;"", H3600&lt;&gt;""), HYPERLINK("#'" &amp; C3600 &amp; "'!" &amp; H3600, H3600), "")</f>
        <v>0</v>
      </c>
    </row>
    <row r="3601" spans="2:2">
      <c r="B3601" s="21">
        <f>IF(AND(C3601&lt;&gt;"", H3601&lt;&gt;""), HYPERLINK("#'" &amp; C3601 &amp; "'!" &amp; H3601, H3601), "")</f>
        <v>0</v>
      </c>
    </row>
    <row r="3602" spans="2:2">
      <c r="B3602" s="21">
        <f>IF(AND(C3602&lt;&gt;"", H3602&lt;&gt;""), HYPERLINK("#'" &amp; C3602 &amp; "'!" &amp; H3602, H3602), "")</f>
        <v>0</v>
      </c>
    </row>
    <row r="3603" spans="2:2">
      <c r="B3603" s="21">
        <f>IF(AND(C3603&lt;&gt;"", H3603&lt;&gt;""), HYPERLINK("#'" &amp; C3603 &amp; "'!" &amp; H3603, H3603), "")</f>
        <v>0</v>
      </c>
    </row>
    <row r="3604" spans="2:2">
      <c r="B3604" s="21">
        <f>IF(AND(C3604&lt;&gt;"", H3604&lt;&gt;""), HYPERLINK("#'" &amp; C3604 &amp; "'!" &amp; H3604, H3604), "")</f>
        <v>0</v>
      </c>
    </row>
    <row r="3605" spans="2:2">
      <c r="B3605" s="21">
        <f>IF(AND(C3605&lt;&gt;"", H3605&lt;&gt;""), HYPERLINK("#'" &amp; C3605 &amp; "'!" &amp; H3605, H3605), "")</f>
        <v>0</v>
      </c>
    </row>
    <row r="3606" spans="2:2">
      <c r="B3606" s="21">
        <f>IF(AND(C3606&lt;&gt;"", H3606&lt;&gt;""), HYPERLINK("#'" &amp; C3606 &amp; "'!" &amp; H3606, H3606), "")</f>
        <v>0</v>
      </c>
    </row>
    <row r="3607" spans="2:2">
      <c r="B3607" s="21">
        <f>IF(AND(C3607&lt;&gt;"", H3607&lt;&gt;""), HYPERLINK("#'" &amp; C3607 &amp; "'!" &amp; H3607, H3607), "")</f>
        <v>0</v>
      </c>
    </row>
    <row r="3608" spans="2:2">
      <c r="B3608" s="21">
        <f>IF(AND(C3608&lt;&gt;"", H3608&lt;&gt;""), HYPERLINK("#'" &amp; C3608 &amp; "'!" &amp; H3608, H3608), "")</f>
        <v>0</v>
      </c>
    </row>
    <row r="3609" spans="2:2">
      <c r="B3609" s="21">
        <f>IF(AND(C3609&lt;&gt;"", H3609&lt;&gt;""), HYPERLINK("#'" &amp; C3609 &amp; "'!" &amp; H3609, H3609), "")</f>
        <v>0</v>
      </c>
    </row>
    <row r="3610" spans="2:2">
      <c r="B3610" s="21">
        <f>IF(AND(C3610&lt;&gt;"", H3610&lt;&gt;""), HYPERLINK("#'" &amp; C3610 &amp; "'!" &amp; H3610, H3610), "")</f>
        <v>0</v>
      </c>
    </row>
    <row r="3611" spans="2:2">
      <c r="B3611" s="21">
        <f>IF(AND(C3611&lt;&gt;"", H3611&lt;&gt;""), HYPERLINK("#'" &amp; C3611 &amp; "'!" &amp; H3611, H3611), "")</f>
        <v>0</v>
      </c>
    </row>
    <row r="3612" spans="2:2">
      <c r="B3612" s="21">
        <f>IF(AND(C3612&lt;&gt;"", H3612&lt;&gt;""), HYPERLINK("#'" &amp; C3612 &amp; "'!" &amp; H3612, H3612), "")</f>
        <v>0</v>
      </c>
    </row>
    <row r="3613" spans="2:2">
      <c r="B3613" s="21">
        <f>IF(AND(C3613&lt;&gt;"", H3613&lt;&gt;""), HYPERLINK("#'" &amp; C3613 &amp; "'!" &amp; H3613, H3613), "")</f>
        <v>0</v>
      </c>
    </row>
    <row r="3614" spans="2:2">
      <c r="B3614" s="21">
        <f>IF(AND(C3614&lt;&gt;"", H3614&lt;&gt;""), HYPERLINK("#'" &amp; C3614 &amp; "'!" &amp; H3614, H3614), "")</f>
        <v>0</v>
      </c>
    </row>
    <row r="3615" spans="2:2">
      <c r="B3615" s="21">
        <f>IF(AND(C3615&lt;&gt;"", H3615&lt;&gt;""), HYPERLINK("#'" &amp; C3615 &amp; "'!" &amp; H3615, H3615), "")</f>
        <v>0</v>
      </c>
    </row>
    <row r="3616" spans="2:2">
      <c r="B3616" s="21">
        <f>IF(AND(C3616&lt;&gt;"", H3616&lt;&gt;""), HYPERLINK("#'" &amp; C3616 &amp; "'!" &amp; H3616, H3616), "")</f>
        <v>0</v>
      </c>
    </row>
    <row r="3617" spans="2:2">
      <c r="B3617" s="21">
        <f>IF(AND(C3617&lt;&gt;"", H3617&lt;&gt;""), HYPERLINK("#'" &amp; C3617 &amp; "'!" &amp; H3617, H3617), "")</f>
        <v>0</v>
      </c>
    </row>
    <row r="3618" spans="2:2">
      <c r="B3618" s="21">
        <f>IF(AND(C3618&lt;&gt;"", H3618&lt;&gt;""), HYPERLINK("#'" &amp; C3618 &amp; "'!" &amp; H3618, H3618), "")</f>
        <v>0</v>
      </c>
    </row>
    <row r="3619" spans="2:2">
      <c r="B3619" s="21">
        <f>IF(AND(C3619&lt;&gt;"", H3619&lt;&gt;""), HYPERLINK("#'" &amp; C3619 &amp; "'!" &amp; H3619, H3619), "")</f>
        <v>0</v>
      </c>
    </row>
    <row r="3620" spans="2:2">
      <c r="B3620" s="21">
        <f>IF(AND(C3620&lt;&gt;"", H3620&lt;&gt;""), HYPERLINK("#'" &amp; C3620 &amp; "'!" &amp; H3620, H3620), "")</f>
        <v>0</v>
      </c>
    </row>
    <row r="3621" spans="2:2">
      <c r="B3621" s="21">
        <f>IF(AND(C3621&lt;&gt;"", H3621&lt;&gt;""), HYPERLINK("#'" &amp; C3621 &amp; "'!" &amp; H3621, H3621), "")</f>
        <v>0</v>
      </c>
    </row>
    <row r="3622" spans="2:2">
      <c r="B3622" s="21">
        <f>IF(AND(C3622&lt;&gt;"", H3622&lt;&gt;""), HYPERLINK("#'" &amp; C3622 &amp; "'!" &amp; H3622, H3622), "")</f>
        <v>0</v>
      </c>
    </row>
    <row r="3623" spans="2:2">
      <c r="B3623" s="21">
        <f>IF(AND(C3623&lt;&gt;"", H3623&lt;&gt;""), HYPERLINK("#'" &amp; C3623 &amp; "'!" &amp; H3623, H3623), "")</f>
        <v>0</v>
      </c>
    </row>
    <row r="3624" spans="2:2">
      <c r="B3624" s="21">
        <f>IF(AND(C3624&lt;&gt;"", H3624&lt;&gt;""), HYPERLINK("#'" &amp; C3624 &amp; "'!" &amp; H3624, H3624), "")</f>
        <v>0</v>
      </c>
    </row>
    <row r="3625" spans="2:2">
      <c r="B3625" s="21">
        <f>IF(AND(C3625&lt;&gt;"", H3625&lt;&gt;""), HYPERLINK("#'" &amp; C3625 &amp; "'!" &amp; H3625, H3625), "")</f>
        <v>0</v>
      </c>
    </row>
    <row r="3626" spans="2:2">
      <c r="B3626" s="21">
        <f>IF(AND(C3626&lt;&gt;"", H3626&lt;&gt;""), HYPERLINK("#'" &amp; C3626 &amp; "'!" &amp; H3626, H3626), "")</f>
        <v>0</v>
      </c>
    </row>
    <row r="3627" spans="2:2">
      <c r="B3627" s="21">
        <f>IF(AND(C3627&lt;&gt;"", H3627&lt;&gt;""), HYPERLINK("#'" &amp; C3627 &amp; "'!" &amp; H3627, H3627), "")</f>
        <v>0</v>
      </c>
    </row>
    <row r="3628" spans="2:2">
      <c r="B3628" s="21">
        <f>IF(AND(C3628&lt;&gt;"", H3628&lt;&gt;""), HYPERLINK("#'" &amp; C3628 &amp; "'!" &amp; H3628, H3628), "")</f>
        <v>0</v>
      </c>
    </row>
    <row r="3629" spans="2:2">
      <c r="B3629" s="21">
        <f>IF(AND(C3629&lt;&gt;"", H3629&lt;&gt;""), HYPERLINK("#'" &amp; C3629 &amp; "'!" &amp; H3629, H3629), "")</f>
        <v>0</v>
      </c>
    </row>
    <row r="3630" spans="2:2">
      <c r="B3630" s="21">
        <f>IF(AND(C3630&lt;&gt;"", H3630&lt;&gt;""), HYPERLINK("#'" &amp; C3630 &amp; "'!" &amp; H3630, H3630), "")</f>
        <v>0</v>
      </c>
    </row>
    <row r="3631" spans="2:2">
      <c r="B3631" s="21">
        <f>IF(AND(C3631&lt;&gt;"", H3631&lt;&gt;""), HYPERLINK("#'" &amp; C3631 &amp; "'!" &amp; H3631, H3631), "")</f>
        <v>0</v>
      </c>
    </row>
    <row r="3632" spans="2:2">
      <c r="B3632" s="21">
        <f>IF(AND(C3632&lt;&gt;"", H3632&lt;&gt;""), HYPERLINK("#'" &amp; C3632 &amp; "'!" &amp; H3632, H3632), "")</f>
        <v>0</v>
      </c>
    </row>
    <row r="3633" spans="2:2">
      <c r="B3633" s="21">
        <f>IF(AND(C3633&lt;&gt;"", H3633&lt;&gt;""), HYPERLINK("#'" &amp; C3633 &amp; "'!" &amp; H3633, H3633), "")</f>
        <v>0</v>
      </c>
    </row>
    <row r="3634" spans="2:2">
      <c r="B3634" s="21">
        <f>IF(AND(C3634&lt;&gt;"", H3634&lt;&gt;""), HYPERLINK("#'" &amp; C3634 &amp; "'!" &amp; H3634, H3634), "")</f>
        <v>0</v>
      </c>
    </row>
    <row r="3635" spans="2:2">
      <c r="B3635" s="21">
        <f>IF(AND(C3635&lt;&gt;"", H3635&lt;&gt;""), HYPERLINK("#'" &amp; C3635 &amp; "'!" &amp; H3635, H3635), "")</f>
        <v>0</v>
      </c>
    </row>
    <row r="3636" spans="2:2">
      <c r="B3636" s="21">
        <f>IF(AND(C3636&lt;&gt;"", H3636&lt;&gt;""), HYPERLINK("#'" &amp; C3636 &amp; "'!" &amp; H3636, H3636), "")</f>
        <v>0</v>
      </c>
    </row>
    <row r="3637" spans="2:2">
      <c r="B3637" s="21">
        <f>IF(AND(C3637&lt;&gt;"", H3637&lt;&gt;""), HYPERLINK("#'" &amp; C3637 &amp; "'!" &amp; H3637, H3637), "")</f>
        <v>0</v>
      </c>
    </row>
    <row r="3638" spans="2:2">
      <c r="B3638" s="21">
        <f>IF(AND(C3638&lt;&gt;"", H3638&lt;&gt;""), HYPERLINK("#'" &amp; C3638 &amp; "'!" &amp; H3638, H3638), "")</f>
        <v>0</v>
      </c>
    </row>
    <row r="3639" spans="2:2">
      <c r="B3639" s="21">
        <f>IF(AND(C3639&lt;&gt;"", H3639&lt;&gt;""), HYPERLINK("#'" &amp; C3639 &amp; "'!" &amp; H3639, H3639), "")</f>
        <v>0</v>
      </c>
    </row>
    <row r="3640" spans="2:2">
      <c r="B3640" s="21">
        <f>IF(AND(C3640&lt;&gt;"", H3640&lt;&gt;""), HYPERLINK("#'" &amp; C3640 &amp; "'!" &amp; H3640, H3640), "")</f>
        <v>0</v>
      </c>
    </row>
    <row r="3641" spans="2:2">
      <c r="B3641" s="21">
        <f>IF(AND(C3641&lt;&gt;"", H3641&lt;&gt;""), HYPERLINK("#'" &amp; C3641 &amp; "'!" &amp; H3641, H3641), "")</f>
        <v>0</v>
      </c>
    </row>
    <row r="3642" spans="2:2">
      <c r="B3642" s="21">
        <f>IF(AND(C3642&lt;&gt;"", H3642&lt;&gt;""), HYPERLINK("#'" &amp; C3642 &amp; "'!" &amp; H3642, H3642), "")</f>
        <v>0</v>
      </c>
    </row>
    <row r="3643" spans="2:2">
      <c r="B3643" s="21">
        <f>IF(AND(C3643&lt;&gt;"", H3643&lt;&gt;""), HYPERLINK("#'" &amp; C3643 &amp; "'!" &amp; H3643, H3643), "")</f>
        <v>0</v>
      </c>
    </row>
    <row r="3644" spans="2:2">
      <c r="B3644" s="21">
        <f>IF(AND(C3644&lt;&gt;"", H3644&lt;&gt;""), HYPERLINK("#'" &amp; C3644 &amp; "'!" &amp; H3644, H3644), "")</f>
        <v>0</v>
      </c>
    </row>
    <row r="3645" spans="2:2">
      <c r="B3645" s="21">
        <f>IF(AND(C3645&lt;&gt;"", H3645&lt;&gt;""), HYPERLINK("#'" &amp; C3645 &amp; "'!" &amp; H3645, H3645), "")</f>
        <v>0</v>
      </c>
    </row>
    <row r="3646" spans="2:2">
      <c r="B3646" s="21">
        <f>IF(AND(C3646&lt;&gt;"", H3646&lt;&gt;""), HYPERLINK("#'" &amp; C3646 &amp; "'!" &amp; H3646, H3646), "")</f>
        <v>0</v>
      </c>
    </row>
    <row r="3647" spans="2:2">
      <c r="B3647" s="21">
        <f>IF(AND(C3647&lt;&gt;"", H3647&lt;&gt;""), HYPERLINK("#'" &amp; C3647 &amp; "'!" &amp; H3647, H3647), "")</f>
        <v>0</v>
      </c>
    </row>
    <row r="3648" spans="2:2">
      <c r="B3648" s="21">
        <f>IF(AND(C3648&lt;&gt;"", H3648&lt;&gt;""), HYPERLINK("#'" &amp; C3648 &amp; "'!" &amp; H3648, H3648), "")</f>
        <v>0</v>
      </c>
    </row>
    <row r="3649" spans="2:2">
      <c r="B3649" s="21">
        <f>IF(AND(C3649&lt;&gt;"", H3649&lt;&gt;""), HYPERLINK("#'" &amp; C3649 &amp; "'!" &amp; H3649, H3649), "")</f>
        <v>0</v>
      </c>
    </row>
    <row r="3650" spans="2:2">
      <c r="B3650" s="21">
        <f>IF(AND(C3650&lt;&gt;"", H3650&lt;&gt;""), HYPERLINK("#'" &amp; C3650 &amp; "'!" &amp; H3650, H3650), "")</f>
        <v>0</v>
      </c>
    </row>
    <row r="3651" spans="2:2">
      <c r="B3651" s="21">
        <f>IF(AND(C3651&lt;&gt;"", H3651&lt;&gt;""), HYPERLINK("#'" &amp; C3651 &amp; "'!" &amp; H3651, H3651), "")</f>
        <v>0</v>
      </c>
    </row>
    <row r="3652" spans="2:2">
      <c r="B3652" s="21">
        <f>IF(AND(C3652&lt;&gt;"", H3652&lt;&gt;""), HYPERLINK("#'" &amp; C3652 &amp; "'!" &amp; H3652, H3652), "")</f>
        <v>0</v>
      </c>
    </row>
    <row r="3653" spans="2:2">
      <c r="B3653" s="21">
        <f>IF(AND(C3653&lt;&gt;"", H3653&lt;&gt;""), HYPERLINK("#'" &amp; C3653 &amp; "'!" &amp; H3653, H3653), "")</f>
        <v>0</v>
      </c>
    </row>
    <row r="3654" spans="2:2">
      <c r="B3654" s="21">
        <f>IF(AND(C3654&lt;&gt;"", H3654&lt;&gt;""), HYPERLINK("#'" &amp; C3654 &amp; "'!" &amp; H3654, H3654), "")</f>
        <v>0</v>
      </c>
    </row>
    <row r="3655" spans="2:2">
      <c r="B3655" s="21">
        <f>IF(AND(C3655&lt;&gt;"", H3655&lt;&gt;""), HYPERLINK("#'" &amp; C3655 &amp; "'!" &amp; H3655, H3655), "")</f>
        <v>0</v>
      </c>
    </row>
    <row r="3656" spans="2:2">
      <c r="B3656" s="21">
        <f>IF(AND(C3656&lt;&gt;"", H3656&lt;&gt;""), HYPERLINK("#'" &amp; C3656 &amp; "'!" &amp; H3656, H3656), "")</f>
        <v>0</v>
      </c>
    </row>
    <row r="3657" spans="2:2">
      <c r="B3657" s="21">
        <f>IF(AND(C3657&lt;&gt;"", H3657&lt;&gt;""), HYPERLINK("#'" &amp; C3657 &amp; "'!" &amp; H3657, H3657), "")</f>
        <v>0</v>
      </c>
    </row>
    <row r="3658" spans="2:2">
      <c r="B3658" s="21">
        <f>IF(AND(C3658&lt;&gt;"", H3658&lt;&gt;""), HYPERLINK("#'" &amp; C3658 &amp; "'!" &amp; H3658, H3658), "")</f>
        <v>0</v>
      </c>
    </row>
    <row r="3659" spans="2:2">
      <c r="B3659" s="21">
        <f>IF(AND(C3659&lt;&gt;"", H3659&lt;&gt;""), HYPERLINK("#'" &amp; C3659 &amp; "'!" &amp; H3659, H3659), "")</f>
        <v>0</v>
      </c>
    </row>
    <row r="3660" spans="2:2">
      <c r="B3660" s="21">
        <f>IF(AND(C3660&lt;&gt;"", H3660&lt;&gt;""), HYPERLINK("#'" &amp; C3660 &amp; "'!" &amp; H3660, H3660), "")</f>
        <v>0</v>
      </c>
    </row>
    <row r="3661" spans="2:2">
      <c r="B3661" s="21">
        <f>IF(AND(C3661&lt;&gt;"", H3661&lt;&gt;""), HYPERLINK("#'" &amp; C3661 &amp; "'!" &amp; H3661, H3661), "")</f>
        <v>0</v>
      </c>
    </row>
    <row r="3662" spans="2:2">
      <c r="B3662" s="21">
        <f>IF(AND(C3662&lt;&gt;"", H3662&lt;&gt;""), HYPERLINK("#'" &amp; C3662 &amp; "'!" &amp; H3662, H3662), "")</f>
        <v>0</v>
      </c>
    </row>
    <row r="3663" spans="2:2">
      <c r="B3663" s="21">
        <f>IF(AND(C3663&lt;&gt;"", H3663&lt;&gt;""), HYPERLINK("#'" &amp; C3663 &amp; "'!" &amp; H3663, H3663), "")</f>
        <v>0</v>
      </c>
    </row>
    <row r="3664" spans="2:2">
      <c r="B3664" s="21">
        <f>IF(AND(C3664&lt;&gt;"", H3664&lt;&gt;""), HYPERLINK("#'" &amp; C3664 &amp; "'!" &amp; H3664, H3664), "")</f>
        <v>0</v>
      </c>
    </row>
    <row r="3665" spans="2:2">
      <c r="B3665" s="21">
        <f>IF(AND(C3665&lt;&gt;"", H3665&lt;&gt;""), HYPERLINK("#'" &amp; C3665 &amp; "'!" &amp; H3665, H3665), "")</f>
        <v>0</v>
      </c>
    </row>
    <row r="3666" spans="2:2">
      <c r="B3666" s="21">
        <f>IF(AND(C3666&lt;&gt;"", H3666&lt;&gt;""), HYPERLINK("#'" &amp; C3666 &amp; "'!" &amp; H3666, H3666), "")</f>
        <v>0</v>
      </c>
    </row>
    <row r="3667" spans="2:2">
      <c r="B3667" s="21">
        <f>IF(AND(C3667&lt;&gt;"", H3667&lt;&gt;""), HYPERLINK("#'" &amp; C3667 &amp; "'!" &amp; H3667, H3667), "")</f>
        <v>0</v>
      </c>
    </row>
    <row r="3668" spans="2:2">
      <c r="B3668" s="21">
        <f>IF(AND(C3668&lt;&gt;"", H3668&lt;&gt;""), HYPERLINK("#'" &amp; C3668 &amp; "'!" &amp; H3668, H3668), "")</f>
        <v>0</v>
      </c>
    </row>
    <row r="3669" spans="2:2">
      <c r="B3669" s="21">
        <f>IF(AND(C3669&lt;&gt;"", H3669&lt;&gt;""), HYPERLINK("#'" &amp; C3669 &amp; "'!" &amp; H3669, H3669), "")</f>
        <v>0</v>
      </c>
    </row>
    <row r="3670" spans="2:2">
      <c r="B3670" s="21">
        <f>IF(AND(C3670&lt;&gt;"", H3670&lt;&gt;""), HYPERLINK("#'" &amp; C3670 &amp; "'!" &amp; H3670, H3670), "")</f>
        <v>0</v>
      </c>
    </row>
    <row r="3671" spans="2:2">
      <c r="B3671" s="21">
        <f>IF(AND(C3671&lt;&gt;"", H3671&lt;&gt;""), HYPERLINK("#'" &amp; C3671 &amp; "'!" &amp; H3671, H3671), "")</f>
        <v>0</v>
      </c>
    </row>
    <row r="3672" spans="2:2">
      <c r="B3672" s="21">
        <f>IF(AND(C3672&lt;&gt;"", H3672&lt;&gt;""), HYPERLINK("#'" &amp; C3672 &amp; "'!" &amp; H3672, H3672), "")</f>
        <v>0</v>
      </c>
    </row>
    <row r="3673" spans="2:2">
      <c r="B3673" s="21">
        <f>IF(AND(C3673&lt;&gt;"", H3673&lt;&gt;""), HYPERLINK("#'" &amp; C3673 &amp; "'!" &amp; H3673, H3673), "")</f>
        <v>0</v>
      </c>
    </row>
    <row r="3674" spans="2:2">
      <c r="B3674" s="21">
        <f>IF(AND(C3674&lt;&gt;"", H3674&lt;&gt;""), HYPERLINK("#'" &amp; C3674 &amp; "'!" &amp; H3674, H3674), "")</f>
        <v>0</v>
      </c>
    </row>
    <row r="3675" spans="2:2">
      <c r="B3675" s="21">
        <f>IF(AND(C3675&lt;&gt;"", H3675&lt;&gt;""), HYPERLINK("#'" &amp; C3675 &amp; "'!" &amp; H3675, H3675), "")</f>
        <v>0</v>
      </c>
    </row>
    <row r="3676" spans="2:2">
      <c r="B3676" s="21">
        <f>IF(AND(C3676&lt;&gt;"", H3676&lt;&gt;""), HYPERLINK("#'" &amp; C3676 &amp; "'!" &amp; H3676, H3676), "")</f>
        <v>0</v>
      </c>
    </row>
    <row r="3677" spans="2:2">
      <c r="B3677" s="21">
        <f>IF(AND(C3677&lt;&gt;"", H3677&lt;&gt;""), HYPERLINK("#'" &amp; C3677 &amp; "'!" &amp; H3677, H3677), "")</f>
        <v>0</v>
      </c>
    </row>
    <row r="3678" spans="2:2">
      <c r="B3678" s="21">
        <f>IF(AND(C3678&lt;&gt;"", H3678&lt;&gt;""), HYPERLINK("#'" &amp; C3678 &amp; "'!" &amp; H3678, H3678), "")</f>
        <v>0</v>
      </c>
    </row>
    <row r="3679" spans="2:2">
      <c r="B3679" s="21">
        <f>IF(AND(C3679&lt;&gt;"", H3679&lt;&gt;""), HYPERLINK("#'" &amp; C3679 &amp; "'!" &amp; H3679, H3679), "")</f>
        <v>0</v>
      </c>
    </row>
    <row r="3680" spans="2:2">
      <c r="B3680" s="21">
        <f>IF(AND(C3680&lt;&gt;"", H3680&lt;&gt;""), HYPERLINK("#'" &amp; C3680 &amp; "'!" &amp; H3680, H3680), "")</f>
        <v>0</v>
      </c>
    </row>
    <row r="3681" spans="2:2">
      <c r="B3681" s="21">
        <f>IF(AND(C3681&lt;&gt;"", H3681&lt;&gt;""), HYPERLINK("#'" &amp; C3681 &amp; "'!" &amp; H3681, H3681), "")</f>
        <v>0</v>
      </c>
    </row>
    <row r="3682" spans="2:2">
      <c r="B3682" s="21">
        <f>IF(AND(C3682&lt;&gt;"", H3682&lt;&gt;""), HYPERLINK("#'" &amp; C3682 &amp; "'!" &amp; H3682, H3682), "")</f>
        <v>0</v>
      </c>
    </row>
    <row r="3683" spans="2:2">
      <c r="B3683" s="21">
        <f>IF(AND(C3683&lt;&gt;"", H3683&lt;&gt;""), HYPERLINK("#'" &amp; C3683 &amp; "'!" &amp; H3683, H3683), "")</f>
        <v>0</v>
      </c>
    </row>
    <row r="3684" spans="2:2">
      <c r="B3684" s="21">
        <f>IF(AND(C3684&lt;&gt;"", H3684&lt;&gt;""), HYPERLINK("#'" &amp; C3684 &amp; "'!" &amp; H3684, H3684), "")</f>
        <v>0</v>
      </c>
    </row>
    <row r="3685" spans="2:2">
      <c r="B3685" s="21">
        <f>IF(AND(C3685&lt;&gt;"", H3685&lt;&gt;""), HYPERLINK("#'" &amp; C3685 &amp; "'!" &amp; H3685, H3685), "")</f>
        <v>0</v>
      </c>
    </row>
    <row r="3686" spans="2:2">
      <c r="B3686" s="21">
        <f>IF(AND(C3686&lt;&gt;"", H3686&lt;&gt;""), HYPERLINK("#'" &amp; C3686 &amp; "'!" &amp; H3686, H3686), "")</f>
        <v>0</v>
      </c>
    </row>
    <row r="3687" spans="2:2">
      <c r="B3687" s="21">
        <f>IF(AND(C3687&lt;&gt;"", H3687&lt;&gt;""), HYPERLINK("#'" &amp; C3687 &amp; "'!" &amp; H3687, H3687), "")</f>
        <v>0</v>
      </c>
    </row>
    <row r="3688" spans="2:2">
      <c r="B3688" s="21">
        <f>IF(AND(C3688&lt;&gt;"", H3688&lt;&gt;""), HYPERLINK("#'" &amp; C3688 &amp; "'!" &amp; H3688, H3688), "")</f>
        <v>0</v>
      </c>
    </row>
    <row r="3689" spans="2:2">
      <c r="B3689" s="21">
        <f>IF(AND(C3689&lt;&gt;"", H3689&lt;&gt;""), HYPERLINK("#'" &amp; C3689 &amp; "'!" &amp; H3689, H3689), "")</f>
        <v>0</v>
      </c>
    </row>
    <row r="3690" spans="2:2">
      <c r="B3690" s="21">
        <f>IF(AND(C3690&lt;&gt;"", H3690&lt;&gt;""), HYPERLINK("#'" &amp; C3690 &amp; "'!" &amp; H3690, H3690), "")</f>
        <v>0</v>
      </c>
    </row>
    <row r="3691" spans="2:2">
      <c r="B3691" s="21">
        <f>IF(AND(C3691&lt;&gt;"", H3691&lt;&gt;""), HYPERLINK("#'" &amp; C3691 &amp; "'!" &amp; H3691, H3691), "")</f>
        <v>0</v>
      </c>
    </row>
    <row r="3692" spans="2:2">
      <c r="B3692" s="21">
        <f>IF(AND(C3692&lt;&gt;"", H3692&lt;&gt;""), HYPERLINK("#'" &amp; C3692 &amp; "'!" &amp; H3692, H3692), "")</f>
        <v>0</v>
      </c>
    </row>
    <row r="3693" spans="2:2">
      <c r="B3693" s="21">
        <f>IF(AND(C3693&lt;&gt;"", H3693&lt;&gt;""), HYPERLINK("#'" &amp; C3693 &amp; "'!" &amp; H3693, H3693), "")</f>
        <v>0</v>
      </c>
    </row>
    <row r="3694" spans="2:2">
      <c r="B3694" s="21">
        <f>IF(AND(C3694&lt;&gt;"", H3694&lt;&gt;""), HYPERLINK("#'" &amp; C3694 &amp; "'!" &amp; H3694, H3694), "")</f>
        <v>0</v>
      </c>
    </row>
    <row r="3695" spans="2:2">
      <c r="B3695" s="21">
        <f>IF(AND(C3695&lt;&gt;"", H3695&lt;&gt;""), HYPERLINK("#'" &amp; C3695 &amp; "'!" &amp; H3695, H3695), "")</f>
        <v>0</v>
      </c>
    </row>
    <row r="3696" spans="2:2">
      <c r="B3696" s="21">
        <f>IF(AND(C3696&lt;&gt;"", H3696&lt;&gt;""), HYPERLINK("#'" &amp; C3696 &amp; "'!" &amp; H3696, H3696), "")</f>
        <v>0</v>
      </c>
    </row>
    <row r="3697" spans="2:2">
      <c r="B3697" s="21">
        <f>IF(AND(C3697&lt;&gt;"", H3697&lt;&gt;""), HYPERLINK("#'" &amp; C3697 &amp; "'!" &amp; H3697, H3697), "")</f>
        <v>0</v>
      </c>
    </row>
    <row r="3698" spans="2:2">
      <c r="B3698" s="21">
        <f>IF(AND(C3698&lt;&gt;"", H3698&lt;&gt;""), HYPERLINK("#'" &amp; C3698 &amp; "'!" &amp; H3698, H3698), "")</f>
        <v>0</v>
      </c>
    </row>
    <row r="3699" spans="2:2">
      <c r="B3699" s="21">
        <f>IF(AND(C3699&lt;&gt;"", H3699&lt;&gt;""), HYPERLINK("#'" &amp; C3699 &amp; "'!" &amp; H3699, H3699), "")</f>
        <v>0</v>
      </c>
    </row>
    <row r="3700" spans="2:2">
      <c r="B3700" s="21">
        <f>IF(AND(C3700&lt;&gt;"", H3700&lt;&gt;""), HYPERLINK("#'" &amp; C3700 &amp; "'!" &amp; H3700, H3700), "")</f>
        <v>0</v>
      </c>
    </row>
    <row r="3701" spans="2:2">
      <c r="B3701" s="21">
        <f>IF(AND(C3701&lt;&gt;"", H3701&lt;&gt;""), HYPERLINK("#'" &amp; C3701 &amp; "'!" &amp; H3701, H3701), "")</f>
        <v>0</v>
      </c>
    </row>
    <row r="3702" spans="2:2">
      <c r="B3702" s="21">
        <f>IF(AND(C3702&lt;&gt;"", H3702&lt;&gt;""), HYPERLINK("#'" &amp; C3702 &amp; "'!" &amp; H3702, H3702), "")</f>
        <v>0</v>
      </c>
    </row>
    <row r="3703" spans="2:2">
      <c r="B3703" s="21">
        <f>IF(AND(C3703&lt;&gt;"", H3703&lt;&gt;""), HYPERLINK("#'" &amp; C3703 &amp; "'!" &amp; H3703, H3703), "")</f>
        <v>0</v>
      </c>
    </row>
    <row r="3704" spans="2:2">
      <c r="B3704" s="21">
        <f>IF(AND(C3704&lt;&gt;"", H3704&lt;&gt;""), HYPERLINK("#'" &amp; C3704 &amp; "'!" &amp; H3704, H3704), "")</f>
        <v>0</v>
      </c>
    </row>
    <row r="3705" spans="2:2">
      <c r="B3705" s="21">
        <f>IF(AND(C3705&lt;&gt;"", H3705&lt;&gt;""), HYPERLINK("#'" &amp; C3705 &amp; "'!" &amp; H3705, H3705), "")</f>
        <v>0</v>
      </c>
    </row>
    <row r="3706" spans="2:2">
      <c r="B3706" s="21">
        <f>IF(AND(C3706&lt;&gt;"", H3706&lt;&gt;""), HYPERLINK("#'" &amp; C3706 &amp; "'!" &amp; H3706, H3706), "")</f>
        <v>0</v>
      </c>
    </row>
    <row r="3707" spans="2:2">
      <c r="B3707" s="21">
        <f>IF(AND(C3707&lt;&gt;"", H3707&lt;&gt;""), HYPERLINK("#'" &amp; C3707 &amp; "'!" &amp; H3707, H3707), "")</f>
        <v>0</v>
      </c>
    </row>
    <row r="3708" spans="2:2">
      <c r="B3708" s="21">
        <f>IF(AND(C3708&lt;&gt;"", H3708&lt;&gt;""), HYPERLINK("#'" &amp; C3708 &amp; "'!" &amp; H3708, H3708), "")</f>
        <v>0</v>
      </c>
    </row>
    <row r="3709" spans="2:2">
      <c r="B3709" s="21">
        <f>IF(AND(C3709&lt;&gt;"", H3709&lt;&gt;""), HYPERLINK("#'" &amp; C3709 &amp; "'!" &amp; H3709, H3709), "")</f>
        <v>0</v>
      </c>
    </row>
    <row r="3710" spans="2:2">
      <c r="B3710" s="21">
        <f>IF(AND(C3710&lt;&gt;"", H3710&lt;&gt;""), HYPERLINK("#'" &amp; C3710 &amp; "'!" &amp; H3710, H3710), "")</f>
        <v>0</v>
      </c>
    </row>
    <row r="3711" spans="2:2">
      <c r="B3711" s="21">
        <f>IF(AND(C3711&lt;&gt;"", H3711&lt;&gt;""), HYPERLINK("#'" &amp; C3711 &amp; "'!" &amp; H3711, H3711), "")</f>
        <v>0</v>
      </c>
    </row>
    <row r="3712" spans="2:2">
      <c r="B3712" s="21">
        <f>IF(AND(C3712&lt;&gt;"", H3712&lt;&gt;""), HYPERLINK("#'" &amp; C3712 &amp; "'!" &amp; H3712, H3712), "")</f>
        <v>0</v>
      </c>
    </row>
    <row r="3713" spans="2:2">
      <c r="B3713" s="21">
        <f>IF(AND(C3713&lt;&gt;"", H3713&lt;&gt;""), HYPERLINK("#'" &amp; C3713 &amp; "'!" &amp; H3713, H3713), "")</f>
        <v>0</v>
      </c>
    </row>
    <row r="3714" spans="2:2">
      <c r="B3714" s="21">
        <f>IF(AND(C3714&lt;&gt;"", H3714&lt;&gt;""), HYPERLINK("#'" &amp; C3714 &amp; "'!" &amp; H3714, H3714), "")</f>
        <v>0</v>
      </c>
    </row>
    <row r="3715" spans="2:2">
      <c r="B3715" s="21">
        <f>IF(AND(C3715&lt;&gt;"", H3715&lt;&gt;""), HYPERLINK("#'" &amp; C3715 &amp; "'!" &amp; H3715, H3715), "")</f>
        <v>0</v>
      </c>
    </row>
    <row r="3716" spans="2:2">
      <c r="B3716" s="21">
        <f>IF(AND(C3716&lt;&gt;"", H3716&lt;&gt;""), HYPERLINK("#'" &amp; C3716 &amp; "'!" &amp; H3716, H3716), "")</f>
        <v>0</v>
      </c>
    </row>
    <row r="3717" spans="2:2">
      <c r="B3717" s="21">
        <f>IF(AND(C3717&lt;&gt;"", H3717&lt;&gt;""), HYPERLINK("#'" &amp; C3717 &amp; "'!" &amp; H3717, H3717), "")</f>
        <v>0</v>
      </c>
    </row>
    <row r="3718" spans="2:2">
      <c r="B3718" s="21">
        <f>IF(AND(C3718&lt;&gt;"", H3718&lt;&gt;""), HYPERLINK("#'" &amp; C3718 &amp; "'!" &amp; H3718, H3718), "")</f>
        <v>0</v>
      </c>
    </row>
    <row r="3719" spans="2:2">
      <c r="B3719" s="21">
        <f>IF(AND(C3719&lt;&gt;"", H3719&lt;&gt;""), HYPERLINK("#'" &amp; C3719 &amp; "'!" &amp; H3719, H3719), "")</f>
        <v>0</v>
      </c>
    </row>
    <row r="3720" spans="2:2">
      <c r="B3720" s="21">
        <f>IF(AND(C3720&lt;&gt;"", H3720&lt;&gt;""), HYPERLINK("#'" &amp; C3720 &amp; "'!" &amp; H3720, H3720), "")</f>
        <v>0</v>
      </c>
    </row>
    <row r="3721" spans="2:2">
      <c r="B3721" s="21">
        <f>IF(AND(C3721&lt;&gt;"", H3721&lt;&gt;""), HYPERLINK("#'" &amp; C3721 &amp; "'!" &amp; H3721, H3721), "")</f>
        <v>0</v>
      </c>
    </row>
    <row r="3722" spans="2:2">
      <c r="B3722" s="21">
        <f>IF(AND(C3722&lt;&gt;"", H3722&lt;&gt;""), HYPERLINK("#'" &amp; C3722 &amp; "'!" &amp; H3722, H3722), "")</f>
        <v>0</v>
      </c>
    </row>
    <row r="3723" spans="2:2">
      <c r="B3723" s="21">
        <f>IF(AND(C3723&lt;&gt;"", H3723&lt;&gt;""), HYPERLINK("#'" &amp; C3723 &amp; "'!" &amp; H3723, H3723), "")</f>
        <v>0</v>
      </c>
    </row>
    <row r="3724" spans="2:2">
      <c r="B3724" s="21">
        <f>IF(AND(C3724&lt;&gt;"", H3724&lt;&gt;""), HYPERLINK("#'" &amp; C3724 &amp; "'!" &amp; H3724, H3724), "")</f>
        <v>0</v>
      </c>
    </row>
    <row r="3725" spans="2:2">
      <c r="B3725" s="21">
        <f>IF(AND(C3725&lt;&gt;"", H3725&lt;&gt;""), HYPERLINK("#'" &amp; C3725 &amp; "'!" &amp; H3725, H3725), "")</f>
        <v>0</v>
      </c>
    </row>
    <row r="3726" spans="2:2">
      <c r="B3726" s="21">
        <f>IF(AND(C3726&lt;&gt;"", H3726&lt;&gt;""), HYPERLINK("#'" &amp; C3726 &amp; "'!" &amp; H3726, H3726), "")</f>
        <v>0</v>
      </c>
    </row>
    <row r="3727" spans="2:2">
      <c r="B3727" s="21">
        <f>IF(AND(C3727&lt;&gt;"", H3727&lt;&gt;""), HYPERLINK("#'" &amp; C3727 &amp; "'!" &amp; H3727, H3727), "")</f>
        <v>0</v>
      </c>
    </row>
    <row r="3728" spans="2:2">
      <c r="B3728" s="21">
        <f>IF(AND(C3728&lt;&gt;"", H3728&lt;&gt;""), HYPERLINK("#'" &amp; C3728 &amp; "'!" &amp; H3728, H3728), "")</f>
        <v>0</v>
      </c>
    </row>
    <row r="3729" spans="2:2">
      <c r="B3729" s="21">
        <f>IF(AND(C3729&lt;&gt;"", H3729&lt;&gt;""), HYPERLINK("#'" &amp; C3729 &amp; "'!" &amp; H3729, H3729), "")</f>
        <v>0</v>
      </c>
    </row>
    <row r="3730" spans="2:2">
      <c r="B3730" s="21">
        <f>IF(AND(C3730&lt;&gt;"", H3730&lt;&gt;""), HYPERLINK("#'" &amp; C3730 &amp; "'!" &amp; H3730, H3730), "")</f>
        <v>0</v>
      </c>
    </row>
    <row r="3731" spans="2:2">
      <c r="B3731" s="21">
        <f>IF(AND(C3731&lt;&gt;"", H3731&lt;&gt;""), HYPERLINK("#'" &amp; C3731 &amp; "'!" &amp; H3731, H3731), "")</f>
        <v>0</v>
      </c>
    </row>
    <row r="3732" spans="2:2">
      <c r="B3732" s="21">
        <f>IF(AND(C3732&lt;&gt;"", H3732&lt;&gt;""), HYPERLINK("#'" &amp; C3732 &amp; "'!" &amp; H3732, H3732), "")</f>
        <v>0</v>
      </c>
    </row>
    <row r="3733" spans="2:2">
      <c r="B3733" s="21">
        <f>IF(AND(C3733&lt;&gt;"", H3733&lt;&gt;""), HYPERLINK("#'" &amp; C3733 &amp; "'!" &amp; H3733, H3733), "")</f>
        <v>0</v>
      </c>
    </row>
    <row r="3734" spans="2:2">
      <c r="B3734" s="21">
        <f>IF(AND(C3734&lt;&gt;"", H3734&lt;&gt;""), HYPERLINK("#'" &amp; C3734 &amp; "'!" &amp; H3734, H3734), "")</f>
        <v>0</v>
      </c>
    </row>
    <row r="3735" spans="2:2">
      <c r="B3735" s="21">
        <f>IF(AND(C3735&lt;&gt;"", H3735&lt;&gt;""), HYPERLINK("#'" &amp; C3735 &amp; "'!" &amp; H3735, H3735), "")</f>
        <v>0</v>
      </c>
    </row>
    <row r="3736" spans="2:2">
      <c r="B3736" s="21">
        <f>IF(AND(C3736&lt;&gt;"", H3736&lt;&gt;""), HYPERLINK("#'" &amp; C3736 &amp; "'!" &amp; H3736, H3736), "")</f>
        <v>0</v>
      </c>
    </row>
    <row r="3737" spans="2:2">
      <c r="B3737" s="21">
        <f>IF(AND(C3737&lt;&gt;"", H3737&lt;&gt;""), HYPERLINK("#'" &amp; C3737 &amp; "'!" &amp; H3737, H3737), "")</f>
        <v>0</v>
      </c>
    </row>
    <row r="3738" spans="2:2">
      <c r="B3738" s="21">
        <f>IF(AND(C3738&lt;&gt;"", H3738&lt;&gt;""), HYPERLINK("#'" &amp; C3738 &amp; "'!" &amp; H3738, H3738), "")</f>
        <v>0</v>
      </c>
    </row>
    <row r="3739" spans="2:2">
      <c r="B3739" s="21">
        <f>IF(AND(C3739&lt;&gt;"", H3739&lt;&gt;""), HYPERLINK("#'" &amp; C3739 &amp; "'!" &amp; H3739, H3739), "")</f>
        <v>0</v>
      </c>
    </row>
    <row r="3740" spans="2:2">
      <c r="B3740" s="21">
        <f>IF(AND(C3740&lt;&gt;"", H3740&lt;&gt;""), HYPERLINK("#'" &amp; C3740 &amp; "'!" &amp; H3740, H3740), "")</f>
        <v>0</v>
      </c>
    </row>
    <row r="3741" spans="2:2">
      <c r="B3741" s="21">
        <f>IF(AND(C3741&lt;&gt;"", H3741&lt;&gt;""), HYPERLINK("#'" &amp; C3741 &amp; "'!" &amp; H3741, H3741), "")</f>
        <v>0</v>
      </c>
    </row>
    <row r="3742" spans="2:2">
      <c r="B3742" s="21">
        <f>IF(AND(C3742&lt;&gt;"", H3742&lt;&gt;""), HYPERLINK("#'" &amp; C3742 &amp; "'!" &amp; H3742, H3742), "")</f>
        <v>0</v>
      </c>
    </row>
    <row r="3743" spans="2:2">
      <c r="B3743" s="21">
        <f>IF(AND(C3743&lt;&gt;"", H3743&lt;&gt;""), HYPERLINK("#'" &amp; C3743 &amp; "'!" &amp; H3743, H3743), "")</f>
        <v>0</v>
      </c>
    </row>
    <row r="3744" spans="2:2">
      <c r="B3744" s="21">
        <f>IF(AND(C3744&lt;&gt;"", H3744&lt;&gt;""), HYPERLINK("#'" &amp; C3744 &amp; "'!" &amp; H3744, H3744), "")</f>
        <v>0</v>
      </c>
    </row>
    <row r="3745" spans="2:2">
      <c r="B3745" s="21">
        <f>IF(AND(C3745&lt;&gt;"", H3745&lt;&gt;""), HYPERLINK("#'" &amp; C3745 &amp; "'!" &amp; H3745, H3745), "")</f>
        <v>0</v>
      </c>
    </row>
    <row r="3746" spans="2:2">
      <c r="B3746" s="21">
        <f>IF(AND(C3746&lt;&gt;"", H3746&lt;&gt;""), HYPERLINK("#'" &amp; C3746 &amp; "'!" &amp; H3746, H3746), "")</f>
        <v>0</v>
      </c>
    </row>
    <row r="3747" spans="2:2">
      <c r="B3747" s="21">
        <f>IF(AND(C3747&lt;&gt;"", H3747&lt;&gt;""), HYPERLINK("#'" &amp; C3747 &amp; "'!" &amp; H3747, H3747), "")</f>
        <v>0</v>
      </c>
    </row>
    <row r="3748" spans="2:2">
      <c r="B3748" s="21">
        <f>IF(AND(C3748&lt;&gt;"", H3748&lt;&gt;""), HYPERLINK("#'" &amp; C3748 &amp; "'!" &amp; H3748, H3748), "")</f>
        <v>0</v>
      </c>
    </row>
    <row r="3749" spans="2:2">
      <c r="B3749" s="21">
        <f>IF(AND(C3749&lt;&gt;"", H3749&lt;&gt;""), HYPERLINK("#'" &amp; C3749 &amp; "'!" &amp; H3749, H3749), "")</f>
        <v>0</v>
      </c>
    </row>
    <row r="3750" spans="2:2">
      <c r="B3750" s="21">
        <f>IF(AND(C3750&lt;&gt;"", H3750&lt;&gt;""), HYPERLINK("#'" &amp; C3750 &amp; "'!" &amp; H3750, H3750), "")</f>
        <v>0</v>
      </c>
    </row>
    <row r="3751" spans="2:2">
      <c r="B3751" s="21">
        <f>IF(AND(C3751&lt;&gt;"", H3751&lt;&gt;""), HYPERLINK("#'" &amp; C3751 &amp; "'!" &amp; H3751, H3751), "")</f>
        <v>0</v>
      </c>
    </row>
    <row r="3752" spans="2:2">
      <c r="B3752" s="21">
        <f>IF(AND(C3752&lt;&gt;"", H3752&lt;&gt;""), HYPERLINK("#'" &amp; C3752 &amp; "'!" &amp; H3752, H3752), "")</f>
        <v>0</v>
      </c>
    </row>
    <row r="3753" spans="2:2">
      <c r="B3753" s="21">
        <f>IF(AND(C3753&lt;&gt;"", H3753&lt;&gt;""), HYPERLINK("#'" &amp; C3753 &amp; "'!" &amp; H3753, H3753), "")</f>
        <v>0</v>
      </c>
    </row>
    <row r="3754" spans="2:2">
      <c r="B3754" s="21">
        <f>IF(AND(C3754&lt;&gt;"", H3754&lt;&gt;""), HYPERLINK("#'" &amp; C3754 &amp; "'!" &amp; H3754, H3754), "")</f>
        <v>0</v>
      </c>
    </row>
    <row r="3755" spans="2:2">
      <c r="B3755" s="21">
        <f>IF(AND(C3755&lt;&gt;"", H3755&lt;&gt;""), HYPERLINK("#'" &amp; C3755 &amp; "'!" &amp; H3755, H3755), "")</f>
        <v>0</v>
      </c>
    </row>
    <row r="3756" spans="2:2">
      <c r="B3756" s="21">
        <f>IF(AND(C3756&lt;&gt;"", H3756&lt;&gt;""), HYPERLINK("#'" &amp; C3756 &amp; "'!" &amp; H3756, H3756), "")</f>
        <v>0</v>
      </c>
    </row>
    <row r="3757" spans="2:2">
      <c r="B3757" s="21">
        <f>IF(AND(C3757&lt;&gt;"", H3757&lt;&gt;""), HYPERLINK("#'" &amp; C3757 &amp; "'!" &amp; H3757, H3757), "")</f>
        <v>0</v>
      </c>
    </row>
    <row r="3758" spans="2:2">
      <c r="B3758" s="21">
        <f>IF(AND(C3758&lt;&gt;"", H3758&lt;&gt;""), HYPERLINK("#'" &amp; C3758 &amp; "'!" &amp; H3758, H3758), "")</f>
        <v>0</v>
      </c>
    </row>
    <row r="3759" spans="2:2">
      <c r="B3759" s="21">
        <f>IF(AND(C3759&lt;&gt;"", H3759&lt;&gt;""), HYPERLINK("#'" &amp; C3759 &amp; "'!" &amp; H3759, H3759), "")</f>
        <v>0</v>
      </c>
    </row>
    <row r="3760" spans="2:2">
      <c r="B3760" s="21">
        <f>IF(AND(C3760&lt;&gt;"", H3760&lt;&gt;""), HYPERLINK("#'" &amp; C3760 &amp; "'!" &amp; H3760, H3760), "")</f>
        <v>0</v>
      </c>
    </row>
    <row r="3761" spans="2:2">
      <c r="B3761" s="21">
        <f>IF(AND(C3761&lt;&gt;"", H3761&lt;&gt;""), HYPERLINK("#'" &amp; C3761 &amp; "'!" &amp; H3761, H3761), "")</f>
        <v>0</v>
      </c>
    </row>
    <row r="3762" spans="2:2">
      <c r="B3762" s="21">
        <f>IF(AND(C3762&lt;&gt;"", H3762&lt;&gt;""), HYPERLINK("#'" &amp; C3762 &amp; "'!" &amp; H3762, H3762), "")</f>
        <v>0</v>
      </c>
    </row>
    <row r="3763" spans="2:2">
      <c r="B3763" s="21">
        <f>IF(AND(C3763&lt;&gt;"", H3763&lt;&gt;""), HYPERLINK("#'" &amp; C3763 &amp; "'!" &amp; H3763, H3763), "")</f>
        <v>0</v>
      </c>
    </row>
    <row r="3764" spans="2:2">
      <c r="B3764" s="21">
        <f>IF(AND(C3764&lt;&gt;"", H3764&lt;&gt;""), HYPERLINK("#'" &amp; C3764 &amp; "'!" &amp; H3764, H3764), "")</f>
        <v>0</v>
      </c>
    </row>
    <row r="3765" spans="2:2">
      <c r="B3765" s="21">
        <f>IF(AND(C3765&lt;&gt;"", H3765&lt;&gt;""), HYPERLINK("#'" &amp; C3765 &amp; "'!" &amp; H3765, H3765), "")</f>
        <v>0</v>
      </c>
    </row>
    <row r="3766" spans="2:2">
      <c r="B3766" s="21">
        <f>IF(AND(C3766&lt;&gt;"", H3766&lt;&gt;""), HYPERLINK("#'" &amp; C3766 &amp; "'!" &amp; H3766, H3766), "")</f>
        <v>0</v>
      </c>
    </row>
    <row r="3767" spans="2:2">
      <c r="B3767" s="21">
        <f>IF(AND(C3767&lt;&gt;"", H3767&lt;&gt;""), HYPERLINK("#'" &amp; C3767 &amp; "'!" &amp; H3767, H3767), "")</f>
        <v>0</v>
      </c>
    </row>
    <row r="3768" spans="2:2">
      <c r="B3768" s="21">
        <f>IF(AND(C3768&lt;&gt;"", H3768&lt;&gt;""), HYPERLINK("#'" &amp; C3768 &amp; "'!" &amp; H3768, H3768), "")</f>
        <v>0</v>
      </c>
    </row>
    <row r="3769" spans="2:2">
      <c r="B3769" s="21">
        <f>IF(AND(C3769&lt;&gt;"", H3769&lt;&gt;""), HYPERLINK("#'" &amp; C3769 &amp; "'!" &amp; H3769, H3769), "")</f>
        <v>0</v>
      </c>
    </row>
    <row r="3770" spans="2:2">
      <c r="B3770" s="21">
        <f>IF(AND(C3770&lt;&gt;"", H3770&lt;&gt;""), HYPERLINK("#'" &amp; C3770 &amp; "'!" &amp; H3770, H3770), "")</f>
        <v>0</v>
      </c>
    </row>
    <row r="3771" spans="2:2">
      <c r="B3771" s="21">
        <f>IF(AND(C3771&lt;&gt;"", H3771&lt;&gt;""), HYPERLINK("#'" &amp; C3771 &amp; "'!" &amp; H3771, H3771), "")</f>
        <v>0</v>
      </c>
    </row>
    <row r="3772" spans="2:2">
      <c r="B3772" s="21">
        <f>IF(AND(C3772&lt;&gt;"", H3772&lt;&gt;""), HYPERLINK("#'" &amp; C3772 &amp; "'!" &amp; H3772, H3772), "")</f>
        <v>0</v>
      </c>
    </row>
    <row r="3773" spans="2:2">
      <c r="B3773" s="21">
        <f>IF(AND(C3773&lt;&gt;"", H3773&lt;&gt;""), HYPERLINK("#'" &amp; C3773 &amp; "'!" &amp; H3773, H3773), "")</f>
        <v>0</v>
      </c>
    </row>
    <row r="3774" spans="2:2">
      <c r="B3774" s="21">
        <f>IF(AND(C3774&lt;&gt;"", H3774&lt;&gt;""), HYPERLINK("#'" &amp; C3774 &amp; "'!" &amp; H3774, H3774), "")</f>
        <v>0</v>
      </c>
    </row>
    <row r="3775" spans="2:2">
      <c r="B3775" s="21">
        <f>IF(AND(C3775&lt;&gt;"", H3775&lt;&gt;""), HYPERLINK("#'" &amp; C3775 &amp; "'!" &amp; H3775, H3775), "")</f>
        <v>0</v>
      </c>
    </row>
    <row r="3776" spans="2:2">
      <c r="B3776" s="21">
        <f>IF(AND(C3776&lt;&gt;"", H3776&lt;&gt;""), HYPERLINK("#'" &amp; C3776 &amp; "'!" &amp; H3776, H3776), "")</f>
        <v>0</v>
      </c>
    </row>
    <row r="3777" spans="2:2">
      <c r="B3777" s="21">
        <f>IF(AND(C3777&lt;&gt;"", H3777&lt;&gt;""), HYPERLINK("#'" &amp; C3777 &amp; "'!" &amp; H3777, H3777), "")</f>
        <v>0</v>
      </c>
    </row>
    <row r="3778" spans="2:2">
      <c r="B3778" s="21">
        <f>IF(AND(C3778&lt;&gt;"", H3778&lt;&gt;""), HYPERLINK("#'" &amp; C3778 &amp; "'!" &amp; H3778, H3778), "")</f>
        <v>0</v>
      </c>
    </row>
    <row r="3779" spans="2:2">
      <c r="B3779" s="21">
        <f>IF(AND(C3779&lt;&gt;"", H3779&lt;&gt;""), HYPERLINK("#'" &amp; C3779 &amp; "'!" &amp; H3779, H3779), "")</f>
        <v>0</v>
      </c>
    </row>
    <row r="3780" spans="2:2">
      <c r="B3780" s="21">
        <f>IF(AND(C3780&lt;&gt;"", H3780&lt;&gt;""), HYPERLINK("#'" &amp; C3780 &amp; "'!" &amp; H3780, H3780), "")</f>
        <v>0</v>
      </c>
    </row>
    <row r="3781" spans="2:2">
      <c r="B3781" s="21">
        <f>IF(AND(C3781&lt;&gt;"", H3781&lt;&gt;""), HYPERLINK("#'" &amp; C3781 &amp; "'!" &amp; H3781, H3781), "")</f>
        <v>0</v>
      </c>
    </row>
    <row r="3782" spans="2:2">
      <c r="B3782" s="21">
        <f>IF(AND(C3782&lt;&gt;"", H3782&lt;&gt;""), HYPERLINK("#'" &amp; C3782 &amp; "'!" &amp; H3782, H3782), "")</f>
        <v>0</v>
      </c>
    </row>
    <row r="3783" spans="2:2">
      <c r="B3783" s="21">
        <f>IF(AND(C3783&lt;&gt;"", H3783&lt;&gt;""), HYPERLINK("#'" &amp; C3783 &amp; "'!" &amp; H3783, H3783), "")</f>
        <v>0</v>
      </c>
    </row>
    <row r="3784" spans="2:2">
      <c r="B3784" s="21">
        <f>IF(AND(C3784&lt;&gt;"", H3784&lt;&gt;""), HYPERLINK("#'" &amp; C3784 &amp; "'!" &amp; H3784, H3784), "")</f>
        <v>0</v>
      </c>
    </row>
    <row r="3785" spans="2:2">
      <c r="B3785" s="21">
        <f>IF(AND(C3785&lt;&gt;"", H3785&lt;&gt;""), HYPERLINK("#'" &amp; C3785 &amp; "'!" &amp; H3785, H3785), "")</f>
        <v>0</v>
      </c>
    </row>
    <row r="3786" spans="2:2">
      <c r="B3786" s="21">
        <f>IF(AND(C3786&lt;&gt;"", H3786&lt;&gt;""), HYPERLINK("#'" &amp; C3786 &amp; "'!" &amp; H3786, H3786), "")</f>
        <v>0</v>
      </c>
    </row>
    <row r="3787" spans="2:2">
      <c r="B3787" s="21">
        <f>IF(AND(C3787&lt;&gt;"", H3787&lt;&gt;""), HYPERLINK("#'" &amp; C3787 &amp; "'!" &amp; H3787, H3787), "")</f>
        <v>0</v>
      </c>
    </row>
    <row r="3788" spans="2:2">
      <c r="B3788" s="21">
        <f>IF(AND(C3788&lt;&gt;"", H3788&lt;&gt;""), HYPERLINK("#'" &amp; C3788 &amp; "'!" &amp; H3788, H3788), "")</f>
        <v>0</v>
      </c>
    </row>
    <row r="3789" spans="2:2">
      <c r="B3789" s="21">
        <f>IF(AND(C3789&lt;&gt;"", H3789&lt;&gt;""), HYPERLINK("#'" &amp; C3789 &amp; "'!" &amp; H3789, H3789), "")</f>
        <v>0</v>
      </c>
    </row>
    <row r="3790" spans="2:2">
      <c r="B3790" s="21">
        <f>IF(AND(C3790&lt;&gt;"", H3790&lt;&gt;""), HYPERLINK("#'" &amp; C3790 &amp; "'!" &amp; H3790, H3790), "")</f>
        <v>0</v>
      </c>
    </row>
    <row r="3791" spans="2:2">
      <c r="B3791" s="21">
        <f>IF(AND(C3791&lt;&gt;"", H3791&lt;&gt;""), HYPERLINK("#'" &amp; C3791 &amp; "'!" &amp; H3791, H3791), "")</f>
        <v>0</v>
      </c>
    </row>
    <row r="3792" spans="2:2">
      <c r="B3792" s="21">
        <f>IF(AND(C3792&lt;&gt;"", H3792&lt;&gt;""), HYPERLINK("#'" &amp; C3792 &amp; "'!" &amp; H3792, H3792), "")</f>
        <v>0</v>
      </c>
    </row>
    <row r="3793" spans="2:2">
      <c r="B3793" s="21">
        <f>IF(AND(C3793&lt;&gt;"", H3793&lt;&gt;""), HYPERLINK("#'" &amp; C3793 &amp; "'!" &amp; H3793, H3793), "")</f>
        <v>0</v>
      </c>
    </row>
    <row r="3794" spans="2:2">
      <c r="B3794" s="21">
        <f>IF(AND(C3794&lt;&gt;"", H3794&lt;&gt;""), HYPERLINK("#'" &amp; C3794 &amp; "'!" &amp; H3794, H3794), "")</f>
        <v>0</v>
      </c>
    </row>
    <row r="3795" spans="2:2">
      <c r="B3795" s="21">
        <f>IF(AND(C3795&lt;&gt;"", H3795&lt;&gt;""), HYPERLINK("#'" &amp; C3795 &amp; "'!" &amp; H3795, H3795), "")</f>
        <v>0</v>
      </c>
    </row>
    <row r="3796" spans="2:2">
      <c r="B3796" s="21">
        <f>IF(AND(C3796&lt;&gt;"", H3796&lt;&gt;""), HYPERLINK("#'" &amp; C3796 &amp; "'!" &amp; H3796, H3796), "")</f>
        <v>0</v>
      </c>
    </row>
    <row r="3797" spans="2:2">
      <c r="B3797" s="21">
        <f>IF(AND(C3797&lt;&gt;"", H3797&lt;&gt;""), HYPERLINK("#'" &amp; C3797 &amp; "'!" &amp; H3797, H3797), "")</f>
        <v>0</v>
      </c>
    </row>
    <row r="3798" spans="2:2">
      <c r="B3798" s="21">
        <f>IF(AND(C3798&lt;&gt;"", H3798&lt;&gt;""), HYPERLINK("#'" &amp; C3798 &amp; "'!" &amp; H3798, H3798), "")</f>
        <v>0</v>
      </c>
    </row>
    <row r="3799" spans="2:2">
      <c r="B3799" s="21">
        <f>IF(AND(C3799&lt;&gt;"", H3799&lt;&gt;""), HYPERLINK("#'" &amp; C3799 &amp; "'!" &amp; H3799, H3799), "")</f>
        <v>0</v>
      </c>
    </row>
    <row r="3800" spans="2:2">
      <c r="B3800" s="21">
        <f>IF(AND(C3800&lt;&gt;"", H3800&lt;&gt;""), HYPERLINK("#'" &amp; C3800 &amp; "'!" &amp; H3800, H3800), "")</f>
        <v>0</v>
      </c>
    </row>
    <row r="3801" spans="2:2">
      <c r="B3801" s="21">
        <f>IF(AND(C3801&lt;&gt;"", H3801&lt;&gt;""), HYPERLINK("#'" &amp; C3801 &amp; "'!" &amp; H3801, H3801), "")</f>
        <v>0</v>
      </c>
    </row>
    <row r="3802" spans="2:2">
      <c r="B3802" s="21">
        <f>IF(AND(C3802&lt;&gt;"", H3802&lt;&gt;""), HYPERLINK("#'" &amp; C3802 &amp; "'!" &amp; H3802, H3802), "")</f>
        <v>0</v>
      </c>
    </row>
    <row r="3803" spans="2:2">
      <c r="B3803" s="21">
        <f>IF(AND(C3803&lt;&gt;"", H3803&lt;&gt;""), HYPERLINK("#'" &amp; C3803 &amp; "'!" &amp; H3803, H3803), "")</f>
        <v>0</v>
      </c>
    </row>
    <row r="3804" spans="2:2">
      <c r="B3804" s="21">
        <f>IF(AND(C3804&lt;&gt;"", H3804&lt;&gt;""), HYPERLINK("#'" &amp; C3804 &amp; "'!" &amp; H3804, H3804), "")</f>
        <v>0</v>
      </c>
    </row>
    <row r="3805" spans="2:2">
      <c r="B3805" s="21">
        <f>IF(AND(C3805&lt;&gt;"", H3805&lt;&gt;""), HYPERLINK("#'" &amp; C3805 &amp; "'!" &amp; H3805, H3805), "")</f>
        <v>0</v>
      </c>
    </row>
    <row r="3806" spans="2:2">
      <c r="B3806" s="21">
        <f>IF(AND(C3806&lt;&gt;"", H3806&lt;&gt;""), HYPERLINK("#'" &amp; C3806 &amp; "'!" &amp; H3806, H3806), "")</f>
        <v>0</v>
      </c>
    </row>
    <row r="3807" spans="2:2">
      <c r="B3807" s="21">
        <f>IF(AND(C3807&lt;&gt;"", H3807&lt;&gt;""), HYPERLINK("#'" &amp; C3807 &amp; "'!" &amp; H3807, H3807), "")</f>
        <v>0</v>
      </c>
    </row>
    <row r="3808" spans="2:2">
      <c r="B3808" s="21">
        <f>IF(AND(C3808&lt;&gt;"", H3808&lt;&gt;""), HYPERLINK("#'" &amp; C3808 &amp; "'!" &amp; H3808, H3808), "")</f>
        <v>0</v>
      </c>
    </row>
    <row r="3809" spans="2:2">
      <c r="B3809" s="21">
        <f>IF(AND(C3809&lt;&gt;"", H3809&lt;&gt;""), HYPERLINK("#'" &amp; C3809 &amp; "'!" &amp; H3809, H3809), "")</f>
        <v>0</v>
      </c>
    </row>
    <row r="3810" spans="2:2">
      <c r="B3810" s="21">
        <f>IF(AND(C3810&lt;&gt;"", H3810&lt;&gt;""), HYPERLINK("#'" &amp; C3810 &amp; "'!" &amp; H3810, H3810), "")</f>
        <v>0</v>
      </c>
    </row>
    <row r="3811" spans="2:2">
      <c r="B3811" s="21">
        <f>IF(AND(C3811&lt;&gt;"", H3811&lt;&gt;""), HYPERLINK("#'" &amp; C3811 &amp; "'!" &amp; H3811, H3811), "")</f>
        <v>0</v>
      </c>
    </row>
    <row r="3812" spans="2:2">
      <c r="B3812" s="21">
        <f>IF(AND(C3812&lt;&gt;"", H3812&lt;&gt;""), HYPERLINK("#'" &amp; C3812 &amp; "'!" &amp; H3812, H3812), "")</f>
        <v>0</v>
      </c>
    </row>
    <row r="3813" spans="2:2">
      <c r="B3813" s="21">
        <f>IF(AND(C3813&lt;&gt;"", H3813&lt;&gt;""), HYPERLINK("#'" &amp; C3813 &amp; "'!" &amp; H3813, H3813), "")</f>
        <v>0</v>
      </c>
    </row>
    <row r="3814" spans="2:2">
      <c r="B3814" s="21">
        <f>IF(AND(C3814&lt;&gt;"", H3814&lt;&gt;""), HYPERLINK("#'" &amp; C3814 &amp; "'!" &amp; H3814, H3814), "")</f>
        <v>0</v>
      </c>
    </row>
    <row r="3815" spans="2:2">
      <c r="B3815" s="21">
        <f>IF(AND(C3815&lt;&gt;"", H3815&lt;&gt;""), HYPERLINK("#'" &amp; C3815 &amp; "'!" &amp; H3815, H3815), "")</f>
        <v>0</v>
      </c>
    </row>
    <row r="3816" spans="2:2">
      <c r="B3816" s="21">
        <f>IF(AND(C3816&lt;&gt;"", H3816&lt;&gt;""), HYPERLINK("#'" &amp; C3816 &amp; "'!" &amp; H3816, H3816), "")</f>
        <v>0</v>
      </c>
    </row>
    <row r="3817" spans="2:2">
      <c r="B3817" s="21">
        <f>IF(AND(C3817&lt;&gt;"", H3817&lt;&gt;""), HYPERLINK("#'" &amp; C3817 &amp; "'!" &amp; H3817, H3817), "")</f>
        <v>0</v>
      </c>
    </row>
    <row r="3818" spans="2:2">
      <c r="B3818" s="21">
        <f>IF(AND(C3818&lt;&gt;"", H3818&lt;&gt;""), HYPERLINK("#'" &amp; C3818 &amp; "'!" &amp; H3818, H3818), "")</f>
        <v>0</v>
      </c>
    </row>
    <row r="3819" spans="2:2">
      <c r="B3819" s="21">
        <f>IF(AND(C3819&lt;&gt;"", H3819&lt;&gt;""), HYPERLINK("#'" &amp; C3819 &amp; "'!" &amp; H3819, H3819), "")</f>
        <v>0</v>
      </c>
    </row>
    <row r="3820" spans="2:2">
      <c r="B3820" s="21">
        <f>IF(AND(C3820&lt;&gt;"", H3820&lt;&gt;""), HYPERLINK("#'" &amp; C3820 &amp; "'!" &amp; H3820, H3820), "")</f>
        <v>0</v>
      </c>
    </row>
    <row r="3821" spans="2:2">
      <c r="B3821" s="21">
        <f>IF(AND(C3821&lt;&gt;"", H3821&lt;&gt;""), HYPERLINK("#'" &amp; C3821 &amp; "'!" &amp; H3821, H3821), "")</f>
        <v>0</v>
      </c>
    </row>
    <row r="3822" spans="2:2">
      <c r="B3822" s="21">
        <f>IF(AND(C3822&lt;&gt;"", H3822&lt;&gt;""), HYPERLINK("#'" &amp; C3822 &amp; "'!" &amp; H3822, H3822), "")</f>
        <v>0</v>
      </c>
    </row>
    <row r="3823" spans="2:2">
      <c r="B3823" s="21">
        <f>IF(AND(C3823&lt;&gt;"", H3823&lt;&gt;""), HYPERLINK("#'" &amp; C3823 &amp; "'!" &amp; H3823, H3823), "")</f>
        <v>0</v>
      </c>
    </row>
    <row r="3824" spans="2:2">
      <c r="B3824" s="21">
        <f>IF(AND(C3824&lt;&gt;"", H3824&lt;&gt;""), HYPERLINK("#'" &amp; C3824 &amp; "'!" &amp; H3824, H3824), "")</f>
        <v>0</v>
      </c>
    </row>
    <row r="3825" spans="2:2">
      <c r="B3825" s="21">
        <f>IF(AND(C3825&lt;&gt;"", H3825&lt;&gt;""), HYPERLINK("#'" &amp; C3825 &amp; "'!" &amp; H3825, H3825), "")</f>
        <v>0</v>
      </c>
    </row>
    <row r="3826" spans="2:2">
      <c r="B3826" s="21">
        <f>IF(AND(C3826&lt;&gt;"", H3826&lt;&gt;""), HYPERLINK("#'" &amp; C3826 &amp; "'!" &amp; H3826, H3826), "")</f>
        <v>0</v>
      </c>
    </row>
    <row r="3827" spans="2:2">
      <c r="B3827" s="21">
        <f>IF(AND(C3827&lt;&gt;"", H3827&lt;&gt;""), HYPERLINK("#'" &amp; C3827 &amp; "'!" &amp; H3827, H3827), "")</f>
        <v>0</v>
      </c>
    </row>
    <row r="3828" spans="2:2">
      <c r="B3828" s="21">
        <f>IF(AND(C3828&lt;&gt;"", H3828&lt;&gt;""), HYPERLINK("#'" &amp; C3828 &amp; "'!" &amp; H3828, H3828), "")</f>
        <v>0</v>
      </c>
    </row>
    <row r="3829" spans="2:2">
      <c r="B3829" s="21">
        <f>IF(AND(C3829&lt;&gt;"", H3829&lt;&gt;""), HYPERLINK("#'" &amp; C3829 &amp; "'!" &amp; H3829, H3829), "")</f>
        <v>0</v>
      </c>
    </row>
    <row r="3830" spans="2:2">
      <c r="B3830" s="21">
        <f>IF(AND(C3830&lt;&gt;"", H3830&lt;&gt;""), HYPERLINK("#'" &amp; C3830 &amp; "'!" &amp; H3830, H3830), "")</f>
        <v>0</v>
      </c>
    </row>
    <row r="3831" spans="2:2">
      <c r="B3831" s="21">
        <f>IF(AND(C3831&lt;&gt;"", H3831&lt;&gt;""), HYPERLINK("#'" &amp; C3831 &amp; "'!" &amp; H3831, H3831), "")</f>
        <v>0</v>
      </c>
    </row>
    <row r="3832" spans="2:2">
      <c r="B3832" s="21">
        <f>IF(AND(C3832&lt;&gt;"", H3832&lt;&gt;""), HYPERLINK("#'" &amp; C3832 &amp; "'!" &amp; H3832, H3832), "")</f>
        <v>0</v>
      </c>
    </row>
    <row r="3833" spans="2:2">
      <c r="B3833" s="21">
        <f>IF(AND(C3833&lt;&gt;"", H3833&lt;&gt;""), HYPERLINK("#'" &amp; C3833 &amp; "'!" &amp; H3833, H3833), "")</f>
        <v>0</v>
      </c>
    </row>
    <row r="3834" spans="2:2">
      <c r="B3834" s="21">
        <f>IF(AND(C3834&lt;&gt;"", H3834&lt;&gt;""), HYPERLINK("#'" &amp; C3834 &amp; "'!" &amp; H3834, H3834), "")</f>
        <v>0</v>
      </c>
    </row>
    <row r="3835" spans="2:2">
      <c r="B3835" s="21">
        <f>IF(AND(C3835&lt;&gt;"", H3835&lt;&gt;""), HYPERLINK("#'" &amp; C3835 &amp; "'!" &amp; H3835, H3835), "")</f>
        <v>0</v>
      </c>
    </row>
    <row r="3836" spans="2:2">
      <c r="B3836" s="21">
        <f>IF(AND(C3836&lt;&gt;"", H3836&lt;&gt;""), HYPERLINK("#'" &amp; C3836 &amp; "'!" &amp; H3836, H3836), "")</f>
        <v>0</v>
      </c>
    </row>
    <row r="3837" spans="2:2">
      <c r="B3837" s="21">
        <f>IF(AND(C3837&lt;&gt;"", H3837&lt;&gt;""), HYPERLINK("#'" &amp; C3837 &amp; "'!" &amp; H3837, H3837), "")</f>
        <v>0</v>
      </c>
    </row>
    <row r="3838" spans="2:2">
      <c r="B3838" s="21">
        <f>IF(AND(C3838&lt;&gt;"", H3838&lt;&gt;""), HYPERLINK("#'" &amp; C3838 &amp; "'!" &amp; H3838, H3838), "")</f>
        <v>0</v>
      </c>
    </row>
    <row r="3839" spans="2:2">
      <c r="B3839" s="21">
        <f>IF(AND(C3839&lt;&gt;"", H3839&lt;&gt;""), HYPERLINK("#'" &amp; C3839 &amp; "'!" &amp; H3839, H3839), "")</f>
        <v>0</v>
      </c>
    </row>
    <row r="3840" spans="2:2">
      <c r="B3840" s="21">
        <f>IF(AND(C3840&lt;&gt;"", H3840&lt;&gt;""), HYPERLINK("#'" &amp; C3840 &amp; "'!" &amp; H3840, H3840), "")</f>
        <v>0</v>
      </c>
    </row>
    <row r="3841" spans="2:2">
      <c r="B3841" s="21">
        <f>IF(AND(C3841&lt;&gt;"", H3841&lt;&gt;""), HYPERLINK("#'" &amp; C3841 &amp; "'!" &amp; H3841, H3841), "")</f>
        <v>0</v>
      </c>
    </row>
    <row r="3842" spans="2:2">
      <c r="B3842" s="21">
        <f>IF(AND(C3842&lt;&gt;"", H3842&lt;&gt;""), HYPERLINK("#'" &amp; C3842 &amp; "'!" &amp; H3842, H3842), "")</f>
        <v>0</v>
      </c>
    </row>
    <row r="3843" spans="2:2">
      <c r="B3843" s="21">
        <f>IF(AND(C3843&lt;&gt;"", H3843&lt;&gt;""), HYPERLINK("#'" &amp; C3843 &amp; "'!" &amp; H3843, H3843), "")</f>
        <v>0</v>
      </c>
    </row>
    <row r="3844" spans="2:2">
      <c r="B3844" s="21">
        <f>IF(AND(C3844&lt;&gt;"", H3844&lt;&gt;""), HYPERLINK("#'" &amp; C3844 &amp; "'!" &amp; H3844, H3844), "")</f>
        <v>0</v>
      </c>
    </row>
    <row r="3845" spans="2:2">
      <c r="B3845" s="21">
        <f>IF(AND(C3845&lt;&gt;"", H3845&lt;&gt;""), HYPERLINK("#'" &amp; C3845 &amp; "'!" &amp; H3845, H3845), "")</f>
        <v>0</v>
      </c>
    </row>
    <row r="3846" spans="2:2">
      <c r="B3846" s="21">
        <f>IF(AND(C3846&lt;&gt;"", H3846&lt;&gt;""), HYPERLINK("#'" &amp; C3846 &amp; "'!" &amp; H3846, H3846), "")</f>
        <v>0</v>
      </c>
    </row>
    <row r="3847" spans="2:2">
      <c r="B3847" s="21">
        <f>IF(AND(C3847&lt;&gt;"", H3847&lt;&gt;""), HYPERLINK("#'" &amp; C3847 &amp; "'!" &amp; H3847, H3847), "")</f>
        <v>0</v>
      </c>
    </row>
    <row r="3848" spans="2:2">
      <c r="B3848" s="21">
        <f>IF(AND(C3848&lt;&gt;"", H3848&lt;&gt;""), HYPERLINK("#'" &amp; C3848 &amp; "'!" &amp; H3848, H3848), "")</f>
        <v>0</v>
      </c>
    </row>
    <row r="3849" spans="2:2">
      <c r="B3849" s="21">
        <f>IF(AND(C3849&lt;&gt;"", H3849&lt;&gt;""), HYPERLINK("#'" &amp; C3849 &amp; "'!" &amp; H3849, H3849), "")</f>
        <v>0</v>
      </c>
    </row>
    <row r="3850" spans="2:2">
      <c r="B3850" s="21">
        <f>IF(AND(C3850&lt;&gt;"", H3850&lt;&gt;""), HYPERLINK("#'" &amp; C3850 &amp; "'!" &amp; H3850, H3850), "")</f>
        <v>0</v>
      </c>
    </row>
    <row r="3851" spans="2:2">
      <c r="B3851" s="21">
        <f>IF(AND(C3851&lt;&gt;"", H3851&lt;&gt;""), HYPERLINK("#'" &amp; C3851 &amp; "'!" &amp; H3851, H3851), "")</f>
        <v>0</v>
      </c>
    </row>
    <row r="3852" spans="2:2">
      <c r="B3852" s="21">
        <f>IF(AND(C3852&lt;&gt;"", H3852&lt;&gt;""), HYPERLINK("#'" &amp; C3852 &amp; "'!" &amp; H3852, H3852), "")</f>
        <v>0</v>
      </c>
    </row>
    <row r="3853" spans="2:2">
      <c r="B3853" s="21">
        <f>IF(AND(C3853&lt;&gt;"", H3853&lt;&gt;""), HYPERLINK("#'" &amp; C3853 &amp; "'!" &amp; H3853, H3853), "")</f>
        <v>0</v>
      </c>
    </row>
    <row r="3854" spans="2:2">
      <c r="B3854" s="21">
        <f>IF(AND(C3854&lt;&gt;"", H3854&lt;&gt;""), HYPERLINK("#'" &amp; C3854 &amp; "'!" &amp; H3854, H3854), "")</f>
        <v>0</v>
      </c>
    </row>
    <row r="3855" spans="2:2">
      <c r="B3855" s="21">
        <f>IF(AND(C3855&lt;&gt;"", H3855&lt;&gt;""), HYPERLINK("#'" &amp; C3855 &amp; "'!" &amp; H3855, H3855), "")</f>
        <v>0</v>
      </c>
    </row>
    <row r="3856" spans="2:2">
      <c r="B3856" s="21">
        <f>IF(AND(C3856&lt;&gt;"", H3856&lt;&gt;""), HYPERLINK("#'" &amp; C3856 &amp; "'!" &amp; H3856, H3856), "")</f>
        <v>0</v>
      </c>
    </row>
    <row r="3857" spans="2:2">
      <c r="B3857" s="21">
        <f>IF(AND(C3857&lt;&gt;"", H3857&lt;&gt;""), HYPERLINK("#'" &amp; C3857 &amp; "'!" &amp; H3857, H3857), "")</f>
        <v>0</v>
      </c>
    </row>
    <row r="3858" spans="2:2">
      <c r="B3858" s="21">
        <f>IF(AND(C3858&lt;&gt;"", H3858&lt;&gt;""), HYPERLINK("#'" &amp; C3858 &amp; "'!" &amp; H3858, H3858), "")</f>
        <v>0</v>
      </c>
    </row>
    <row r="3859" spans="2:2">
      <c r="B3859" s="21">
        <f>IF(AND(C3859&lt;&gt;"", H3859&lt;&gt;""), HYPERLINK("#'" &amp; C3859 &amp; "'!" &amp; H3859, H3859), "")</f>
        <v>0</v>
      </c>
    </row>
    <row r="3860" spans="2:2">
      <c r="B3860" s="21">
        <f>IF(AND(C3860&lt;&gt;"", H3860&lt;&gt;""), HYPERLINK("#'" &amp; C3860 &amp; "'!" &amp; H3860, H3860), "")</f>
        <v>0</v>
      </c>
    </row>
    <row r="3861" spans="2:2">
      <c r="B3861" s="21">
        <f>IF(AND(C3861&lt;&gt;"", H3861&lt;&gt;""), HYPERLINK("#'" &amp; C3861 &amp; "'!" &amp; H3861, H3861), "")</f>
        <v>0</v>
      </c>
    </row>
    <row r="3862" spans="2:2">
      <c r="B3862" s="21">
        <f>IF(AND(C3862&lt;&gt;"", H3862&lt;&gt;""), HYPERLINK("#'" &amp; C3862 &amp; "'!" &amp; H3862, H3862), "")</f>
        <v>0</v>
      </c>
    </row>
    <row r="3863" spans="2:2">
      <c r="B3863" s="21">
        <f>IF(AND(C3863&lt;&gt;"", H3863&lt;&gt;""), HYPERLINK("#'" &amp; C3863 &amp; "'!" &amp; H3863, H3863), "")</f>
        <v>0</v>
      </c>
    </row>
    <row r="3864" spans="2:2">
      <c r="B3864" s="21">
        <f>IF(AND(C3864&lt;&gt;"", H3864&lt;&gt;""), HYPERLINK("#'" &amp; C3864 &amp; "'!" &amp; H3864, H3864), "")</f>
        <v>0</v>
      </c>
    </row>
    <row r="3865" spans="2:2">
      <c r="B3865" s="21">
        <f>IF(AND(C3865&lt;&gt;"", H3865&lt;&gt;""), HYPERLINK("#'" &amp; C3865 &amp; "'!" &amp; H3865, H3865), "")</f>
        <v>0</v>
      </c>
    </row>
    <row r="3866" spans="2:2">
      <c r="B3866" s="21">
        <f>IF(AND(C3866&lt;&gt;"", H3866&lt;&gt;""), HYPERLINK("#'" &amp; C3866 &amp; "'!" &amp; H3866, H3866), "")</f>
        <v>0</v>
      </c>
    </row>
    <row r="3867" spans="2:2">
      <c r="B3867" s="21">
        <f>IF(AND(C3867&lt;&gt;"", H3867&lt;&gt;""), HYPERLINK("#'" &amp; C3867 &amp; "'!" &amp; H3867, H3867), "")</f>
        <v>0</v>
      </c>
    </row>
    <row r="3868" spans="2:2">
      <c r="B3868" s="21">
        <f>IF(AND(C3868&lt;&gt;"", H3868&lt;&gt;""), HYPERLINK("#'" &amp; C3868 &amp; "'!" &amp; H3868, H3868), "")</f>
        <v>0</v>
      </c>
    </row>
    <row r="3869" spans="2:2">
      <c r="B3869" s="21">
        <f>IF(AND(C3869&lt;&gt;"", H3869&lt;&gt;""), HYPERLINK("#'" &amp; C3869 &amp; "'!" &amp; H3869, H3869), "")</f>
        <v>0</v>
      </c>
    </row>
    <row r="3870" spans="2:2">
      <c r="B3870" s="21">
        <f>IF(AND(C3870&lt;&gt;"", H3870&lt;&gt;""), HYPERLINK("#'" &amp; C3870 &amp; "'!" &amp; H3870, H3870), "")</f>
        <v>0</v>
      </c>
    </row>
    <row r="3871" spans="2:2">
      <c r="B3871" s="21">
        <f>IF(AND(C3871&lt;&gt;"", H3871&lt;&gt;""), HYPERLINK("#'" &amp; C3871 &amp; "'!" &amp; H3871, H3871), "")</f>
        <v>0</v>
      </c>
    </row>
    <row r="3872" spans="2:2">
      <c r="B3872" s="21">
        <f>IF(AND(C3872&lt;&gt;"", H3872&lt;&gt;""), HYPERLINK("#'" &amp; C3872 &amp; "'!" &amp; H3872, H3872), "")</f>
        <v>0</v>
      </c>
    </row>
    <row r="3873" spans="2:2">
      <c r="B3873" s="21">
        <f>IF(AND(C3873&lt;&gt;"", H3873&lt;&gt;""), HYPERLINK("#'" &amp; C3873 &amp; "'!" &amp; H3873, H3873), "")</f>
        <v>0</v>
      </c>
    </row>
    <row r="3874" spans="2:2">
      <c r="B3874" s="21">
        <f>IF(AND(C3874&lt;&gt;"", H3874&lt;&gt;""), HYPERLINK("#'" &amp; C3874 &amp; "'!" &amp; H3874, H3874), "")</f>
        <v>0</v>
      </c>
    </row>
    <row r="3875" spans="2:2">
      <c r="B3875" s="21">
        <f>IF(AND(C3875&lt;&gt;"", H3875&lt;&gt;""), HYPERLINK("#'" &amp; C3875 &amp; "'!" &amp; H3875, H3875), "")</f>
        <v>0</v>
      </c>
    </row>
    <row r="3876" spans="2:2">
      <c r="B3876" s="21">
        <f>IF(AND(C3876&lt;&gt;"", H3876&lt;&gt;""), HYPERLINK("#'" &amp; C3876 &amp; "'!" &amp; H3876, H3876), "")</f>
        <v>0</v>
      </c>
    </row>
    <row r="3877" spans="2:2">
      <c r="B3877" s="21">
        <f>IF(AND(C3877&lt;&gt;"", H3877&lt;&gt;""), HYPERLINK("#'" &amp; C3877 &amp; "'!" &amp; H3877, H3877), "")</f>
        <v>0</v>
      </c>
    </row>
    <row r="3878" spans="2:2">
      <c r="B3878" s="21">
        <f>IF(AND(C3878&lt;&gt;"", H3878&lt;&gt;""), HYPERLINK("#'" &amp; C3878 &amp; "'!" &amp; H3878, H3878), "")</f>
        <v>0</v>
      </c>
    </row>
    <row r="3879" spans="2:2">
      <c r="B3879" s="21">
        <f>IF(AND(C3879&lt;&gt;"", H3879&lt;&gt;""), HYPERLINK("#'" &amp; C3879 &amp; "'!" &amp; H3879, H3879), "")</f>
        <v>0</v>
      </c>
    </row>
    <row r="3880" spans="2:2">
      <c r="B3880" s="21">
        <f>IF(AND(C3880&lt;&gt;"", H3880&lt;&gt;""), HYPERLINK("#'" &amp; C3880 &amp; "'!" &amp; H3880, H3880), "")</f>
        <v>0</v>
      </c>
    </row>
    <row r="3881" spans="2:2">
      <c r="B3881" s="21">
        <f>IF(AND(C3881&lt;&gt;"", H3881&lt;&gt;""), HYPERLINK("#'" &amp; C3881 &amp; "'!" &amp; H3881, H3881), "")</f>
        <v>0</v>
      </c>
    </row>
    <row r="3882" spans="2:2">
      <c r="B3882" s="21">
        <f>IF(AND(C3882&lt;&gt;"", H3882&lt;&gt;""), HYPERLINK("#'" &amp; C3882 &amp; "'!" &amp; H3882, H3882), "")</f>
        <v>0</v>
      </c>
    </row>
    <row r="3883" spans="2:2">
      <c r="B3883" s="21">
        <f>IF(AND(C3883&lt;&gt;"", H3883&lt;&gt;""), HYPERLINK("#'" &amp; C3883 &amp; "'!" &amp; H3883, H3883), "")</f>
        <v>0</v>
      </c>
    </row>
    <row r="3884" spans="2:2">
      <c r="B3884" s="21">
        <f>IF(AND(C3884&lt;&gt;"", H3884&lt;&gt;""), HYPERLINK("#'" &amp; C3884 &amp; "'!" &amp; H3884, H3884), "")</f>
        <v>0</v>
      </c>
    </row>
    <row r="3885" spans="2:2">
      <c r="B3885" s="21">
        <f>IF(AND(C3885&lt;&gt;"", H3885&lt;&gt;""), HYPERLINK("#'" &amp; C3885 &amp; "'!" &amp; H3885, H3885), "")</f>
        <v>0</v>
      </c>
    </row>
    <row r="3886" spans="2:2">
      <c r="B3886" s="21">
        <f>IF(AND(C3886&lt;&gt;"", H3886&lt;&gt;""), HYPERLINK("#'" &amp; C3886 &amp; "'!" &amp; H3886, H3886), "")</f>
        <v>0</v>
      </c>
    </row>
    <row r="3887" spans="2:2">
      <c r="B3887" s="21">
        <f>IF(AND(C3887&lt;&gt;"", H3887&lt;&gt;""), HYPERLINK("#'" &amp; C3887 &amp; "'!" &amp; H3887, H3887), "")</f>
        <v>0</v>
      </c>
    </row>
    <row r="3888" spans="2:2">
      <c r="B3888" s="21">
        <f>IF(AND(C3888&lt;&gt;"", H3888&lt;&gt;""), HYPERLINK("#'" &amp; C3888 &amp; "'!" &amp; H3888, H3888), "")</f>
        <v>0</v>
      </c>
    </row>
    <row r="3889" spans="2:2">
      <c r="B3889" s="21">
        <f>IF(AND(C3889&lt;&gt;"", H3889&lt;&gt;""), HYPERLINK("#'" &amp; C3889 &amp; "'!" &amp; H3889, H3889), "")</f>
        <v>0</v>
      </c>
    </row>
    <row r="3890" spans="2:2">
      <c r="B3890" s="21">
        <f>IF(AND(C3890&lt;&gt;"", H3890&lt;&gt;""), HYPERLINK("#'" &amp; C3890 &amp; "'!" &amp; H3890, H3890), "")</f>
        <v>0</v>
      </c>
    </row>
    <row r="3891" spans="2:2">
      <c r="B3891" s="21">
        <f>IF(AND(C3891&lt;&gt;"", H3891&lt;&gt;""), HYPERLINK("#'" &amp; C3891 &amp; "'!" &amp; H3891, H3891), "")</f>
        <v>0</v>
      </c>
    </row>
    <row r="3892" spans="2:2">
      <c r="B3892" s="21">
        <f>IF(AND(C3892&lt;&gt;"", H3892&lt;&gt;""), HYPERLINK("#'" &amp; C3892 &amp; "'!" &amp; H3892, H3892), "")</f>
        <v>0</v>
      </c>
    </row>
    <row r="3893" spans="2:2">
      <c r="B3893" s="21">
        <f>IF(AND(C3893&lt;&gt;"", H3893&lt;&gt;""), HYPERLINK("#'" &amp; C3893 &amp; "'!" &amp; H3893, H3893), "")</f>
        <v>0</v>
      </c>
    </row>
    <row r="3894" spans="2:2">
      <c r="B3894" s="21">
        <f>IF(AND(C3894&lt;&gt;"", H3894&lt;&gt;""), HYPERLINK("#'" &amp; C3894 &amp; "'!" &amp; H3894, H3894), "")</f>
        <v>0</v>
      </c>
    </row>
    <row r="3895" spans="2:2">
      <c r="B3895" s="21">
        <f>IF(AND(C3895&lt;&gt;"", H3895&lt;&gt;""), HYPERLINK("#'" &amp; C3895 &amp; "'!" &amp; H3895, H3895), "")</f>
        <v>0</v>
      </c>
    </row>
    <row r="3896" spans="2:2">
      <c r="B3896" s="21">
        <f>IF(AND(C3896&lt;&gt;"", H3896&lt;&gt;""), HYPERLINK("#'" &amp; C3896 &amp; "'!" &amp; H3896, H3896), "")</f>
        <v>0</v>
      </c>
    </row>
    <row r="3897" spans="2:2">
      <c r="B3897" s="21">
        <f>IF(AND(C3897&lt;&gt;"", H3897&lt;&gt;""), HYPERLINK("#'" &amp; C3897 &amp; "'!" &amp; H3897, H3897), "")</f>
        <v>0</v>
      </c>
    </row>
    <row r="3898" spans="2:2">
      <c r="B3898" s="21">
        <f>IF(AND(C3898&lt;&gt;"", H3898&lt;&gt;""), HYPERLINK("#'" &amp; C3898 &amp; "'!" &amp; H3898, H3898), "")</f>
        <v>0</v>
      </c>
    </row>
    <row r="3899" spans="2:2">
      <c r="B3899" s="21">
        <f>IF(AND(C3899&lt;&gt;"", H3899&lt;&gt;""), HYPERLINK("#'" &amp; C3899 &amp; "'!" &amp; H3899, H3899), "")</f>
        <v>0</v>
      </c>
    </row>
    <row r="3900" spans="2:2">
      <c r="B3900" s="21">
        <f>IF(AND(C3900&lt;&gt;"", H3900&lt;&gt;""), HYPERLINK("#'" &amp; C3900 &amp; "'!" &amp; H3900, H3900), "")</f>
        <v>0</v>
      </c>
    </row>
    <row r="3901" spans="2:2">
      <c r="B3901" s="21">
        <f>IF(AND(C3901&lt;&gt;"", H3901&lt;&gt;""), HYPERLINK("#'" &amp; C3901 &amp; "'!" &amp; H3901, H3901), "")</f>
        <v>0</v>
      </c>
    </row>
    <row r="3902" spans="2:2">
      <c r="B3902" s="21">
        <f>IF(AND(C3902&lt;&gt;"", H3902&lt;&gt;""), HYPERLINK("#'" &amp; C3902 &amp; "'!" &amp; H3902, H3902), "")</f>
        <v>0</v>
      </c>
    </row>
    <row r="3903" spans="2:2">
      <c r="B3903" s="21">
        <f>IF(AND(C3903&lt;&gt;"", H3903&lt;&gt;""), HYPERLINK("#'" &amp; C3903 &amp; "'!" &amp; H3903, H3903), "")</f>
        <v>0</v>
      </c>
    </row>
    <row r="3904" spans="2:2">
      <c r="B3904" s="21">
        <f>IF(AND(C3904&lt;&gt;"", H3904&lt;&gt;""), HYPERLINK("#'" &amp; C3904 &amp; "'!" &amp; H3904, H3904), "")</f>
        <v>0</v>
      </c>
    </row>
    <row r="3905" spans="2:2">
      <c r="B3905" s="21">
        <f>IF(AND(C3905&lt;&gt;"", H3905&lt;&gt;""), HYPERLINK("#'" &amp; C3905 &amp; "'!" &amp; H3905, H3905), "")</f>
        <v>0</v>
      </c>
    </row>
    <row r="3906" spans="2:2">
      <c r="B3906" s="21">
        <f>IF(AND(C3906&lt;&gt;"", H3906&lt;&gt;""), HYPERLINK("#'" &amp; C3906 &amp; "'!" &amp; H3906, H3906), "")</f>
        <v>0</v>
      </c>
    </row>
    <row r="3907" spans="2:2">
      <c r="B3907" s="21">
        <f>IF(AND(C3907&lt;&gt;"", H3907&lt;&gt;""), HYPERLINK("#'" &amp; C3907 &amp; "'!" &amp; H3907, H3907), "")</f>
        <v>0</v>
      </c>
    </row>
    <row r="3908" spans="2:2">
      <c r="B3908" s="21">
        <f>IF(AND(C3908&lt;&gt;"", H3908&lt;&gt;""), HYPERLINK("#'" &amp; C3908 &amp; "'!" &amp; H3908, H3908), "")</f>
        <v>0</v>
      </c>
    </row>
    <row r="3909" spans="2:2">
      <c r="B3909" s="21">
        <f>IF(AND(C3909&lt;&gt;"", H3909&lt;&gt;""), HYPERLINK("#'" &amp; C3909 &amp; "'!" &amp; H3909, H3909), "")</f>
        <v>0</v>
      </c>
    </row>
    <row r="3910" spans="2:2">
      <c r="B3910" s="21">
        <f>IF(AND(C3910&lt;&gt;"", H3910&lt;&gt;""), HYPERLINK("#'" &amp; C3910 &amp; "'!" &amp; H3910, H3910), "")</f>
        <v>0</v>
      </c>
    </row>
    <row r="3911" spans="2:2">
      <c r="B3911" s="21">
        <f>IF(AND(C3911&lt;&gt;"", H3911&lt;&gt;""), HYPERLINK("#'" &amp; C3911 &amp; "'!" &amp; H3911, H3911), "")</f>
        <v>0</v>
      </c>
    </row>
    <row r="3912" spans="2:2">
      <c r="B3912" s="21">
        <f>IF(AND(C3912&lt;&gt;"", H3912&lt;&gt;""), HYPERLINK("#'" &amp; C3912 &amp; "'!" &amp; H3912, H3912), "")</f>
        <v>0</v>
      </c>
    </row>
    <row r="3913" spans="2:2">
      <c r="B3913" s="21">
        <f>IF(AND(C3913&lt;&gt;"", H3913&lt;&gt;""), HYPERLINK("#'" &amp; C3913 &amp; "'!" &amp; H3913, H3913), "")</f>
        <v>0</v>
      </c>
    </row>
    <row r="3914" spans="2:2">
      <c r="B3914" s="21">
        <f>IF(AND(C3914&lt;&gt;"", H3914&lt;&gt;""), HYPERLINK("#'" &amp; C3914 &amp; "'!" &amp; H3914, H3914), "")</f>
        <v>0</v>
      </c>
    </row>
    <row r="3915" spans="2:2">
      <c r="B3915" s="21">
        <f>IF(AND(C3915&lt;&gt;"", H3915&lt;&gt;""), HYPERLINK("#'" &amp; C3915 &amp; "'!" &amp; H3915, H3915), "")</f>
        <v>0</v>
      </c>
    </row>
    <row r="3916" spans="2:2">
      <c r="B3916" s="21">
        <f>IF(AND(C3916&lt;&gt;"", H3916&lt;&gt;""), HYPERLINK("#'" &amp; C3916 &amp; "'!" &amp; H3916, H3916), "")</f>
        <v>0</v>
      </c>
    </row>
    <row r="3917" spans="2:2">
      <c r="B3917" s="21">
        <f>IF(AND(C3917&lt;&gt;"", H3917&lt;&gt;""), HYPERLINK("#'" &amp; C3917 &amp; "'!" &amp; H3917, H3917), "")</f>
        <v>0</v>
      </c>
    </row>
    <row r="3918" spans="2:2">
      <c r="B3918" s="21">
        <f>IF(AND(C3918&lt;&gt;"", H3918&lt;&gt;""), HYPERLINK("#'" &amp; C3918 &amp; "'!" &amp; H3918, H3918), "")</f>
        <v>0</v>
      </c>
    </row>
    <row r="3919" spans="2:2">
      <c r="B3919" s="21">
        <f>IF(AND(C3919&lt;&gt;"", H3919&lt;&gt;""), HYPERLINK("#'" &amp; C3919 &amp; "'!" &amp; H3919, H3919), "")</f>
        <v>0</v>
      </c>
    </row>
    <row r="3920" spans="2:2">
      <c r="B3920" s="21">
        <f>IF(AND(C3920&lt;&gt;"", H3920&lt;&gt;""), HYPERLINK("#'" &amp; C3920 &amp; "'!" &amp; H3920, H3920), "")</f>
        <v>0</v>
      </c>
    </row>
    <row r="3921" spans="2:2">
      <c r="B3921" s="21">
        <f>IF(AND(C3921&lt;&gt;"", H3921&lt;&gt;""), HYPERLINK("#'" &amp; C3921 &amp; "'!" &amp; H3921, H3921), "")</f>
        <v>0</v>
      </c>
    </row>
    <row r="3922" spans="2:2">
      <c r="B3922" s="21">
        <f>IF(AND(C3922&lt;&gt;"", H3922&lt;&gt;""), HYPERLINK("#'" &amp; C3922 &amp; "'!" &amp; H3922, H3922), "")</f>
        <v>0</v>
      </c>
    </row>
    <row r="3923" spans="2:2">
      <c r="B3923" s="21">
        <f>IF(AND(C3923&lt;&gt;"", H3923&lt;&gt;""), HYPERLINK("#'" &amp; C3923 &amp; "'!" &amp; H3923, H3923), "")</f>
        <v>0</v>
      </c>
    </row>
    <row r="3924" spans="2:2">
      <c r="B3924" s="21">
        <f>IF(AND(C3924&lt;&gt;"", H3924&lt;&gt;""), HYPERLINK("#'" &amp; C3924 &amp; "'!" &amp; H3924, H3924), "")</f>
        <v>0</v>
      </c>
    </row>
    <row r="3925" spans="2:2">
      <c r="B3925" s="21">
        <f>IF(AND(C3925&lt;&gt;"", H3925&lt;&gt;""), HYPERLINK("#'" &amp; C3925 &amp; "'!" &amp; H3925, H3925), "")</f>
        <v>0</v>
      </c>
    </row>
    <row r="3926" spans="2:2">
      <c r="B3926" s="21">
        <f>IF(AND(C3926&lt;&gt;"", H3926&lt;&gt;""), HYPERLINK("#'" &amp; C3926 &amp; "'!" &amp; H3926, H3926), "")</f>
        <v>0</v>
      </c>
    </row>
    <row r="3927" spans="2:2">
      <c r="B3927" s="21">
        <f>IF(AND(C3927&lt;&gt;"", H3927&lt;&gt;""), HYPERLINK("#'" &amp; C3927 &amp; "'!" &amp; H3927, H3927), "")</f>
        <v>0</v>
      </c>
    </row>
    <row r="3928" spans="2:2">
      <c r="B3928" s="21">
        <f>IF(AND(C3928&lt;&gt;"", H3928&lt;&gt;""), HYPERLINK("#'" &amp; C3928 &amp; "'!" &amp; H3928, H3928), "")</f>
        <v>0</v>
      </c>
    </row>
    <row r="3929" spans="2:2">
      <c r="B3929" s="21">
        <f>IF(AND(C3929&lt;&gt;"", H3929&lt;&gt;""), HYPERLINK("#'" &amp; C3929 &amp; "'!" &amp; H3929, H3929), "")</f>
        <v>0</v>
      </c>
    </row>
    <row r="3930" spans="2:2">
      <c r="B3930" s="21">
        <f>IF(AND(C3930&lt;&gt;"", H3930&lt;&gt;""), HYPERLINK("#'" &amp; C3930 &amp; "'!" &amp; H3930, H3930), "")</f>
        <v>0</v>
      </c>
    </row>
    <row r="3931" spans="2:2">
      <c r="B3931" s="21">
        <f>IF(AND(C3931&lt;&gt;"", H3931&lt;&gt;""), HYPERLINK("#'" &amp; C3931 &amp; "'!" &amp; H3931, H3931), "")</f>
        <v>0</v>
      </c>
    </row>
    <row r="3932" spans="2:2">
      <c r="B3932" s="21">
        <f>IF(AND(C3932&lt;&gt;"", H3932&lt;&gt;""), HYPERLINK("#'" &amp; C3932 &amp; "'!" &amp; H3932, H3932), "")</f>
        <v>0</v>
      </c>
    </row>
    <row r="3933" spans="2:2">
      <c r="B3933" s="21">
        <f>IF(AND(C3933&lt;&gt;"", H3933&lt;&gt;""), HYPERLINK("#'" &amp; C3933 &amp; "'!" &amp; H3933, H3933), "")</f>
        <v>0</v>
      </c>
    </row>
    <row r="3934" spans="2:2">
      <c r="B3934" s="21">
        <f>IF(AND(C3934&lt;&gt;"", H3934&lt;&gt;""), HYPERLINK("#'" &amp; C3934 &amp; "'!" &amp; H3934, H3934), "")</f>
        <v>0</v>
      </c>
    </row>
    <row r="3935" spans="2:2">
      <c r="B3935" s="21">
        <f>IF(AND(C3935&lt;&gt;"", H3935&lt;&gt;""), HYPERLINK("#'" &amp; C3935 &amp; "'!" &amp; H3935, H3935), "")</f>
        <v>0</v>
      </c>
    </row>
    <row r="3936" spans="2:2">
      <c r="B3936" s="21">
        <f>IF(AND(C3936&lt;&gt;"", H3936&lt;&gt;""), HYPERLINK("#'" &amp; C3936 &amp; "'!" &amp; H3936, H3936), "")</f>
        <v>0</v>
      </c>
    </row>
    <row r="3937" spans="2:2">
      <c r="B3937" s="21">
        <f>IF(AND(C3937&lt;&gt;"", H3937&lt;&gt;""), HYPERLINK("#'" &amp; C3937 &amp; "'!" &amp; H3937, H3937), "")</f>
        <v>0</v>
      </c>
    </row>
    <row r="3938" spans="2:2">
      <c r="B3938" s="21">
        <f>IF(AND(C3938&lt;&gt;"", H3938&lt;&gt;""), HYPERLINK("#'" &amp; C3938 &amp; "'!" &amp; H3938, H3938), "")</f>
        <v>0</v>
      </c>
    </row>
    <row r="3939" spans="2:2">
      <c r="B3939" s="21">
        <f>IF(AND(C3939&lt;&gt;"", H3939&lt;&gt;""), HYPERLINK("#'" &amp; C3939 &amp; "'!" &amp; H3939, H3939), "")</f>
        <v>0</v>
      </c>
    </row>
    <row r="3940" spans="2:2">
      <c r="B3940" s="21">
        <f>IF(AND(C3940&lt;&gt;"", H3940&lt;&gt;""), HYPERLINK("#'" &amp; C3940 &amp; "'!" &amp; H3940, H3940), "")</f>
        <v>0</v>
      </c>
    </row>
    <row r="3941" spans="2:2">
      <c r="B3941" s="21">
        <f>IF(AND(C3941&lt;&gt;"", H3941&lt;&gt;""), HYPERLINK("#'" &amp; C3941 &amp; "'!" &amp; H3941, H3941), "")</f>
        <v>0</v>
      </c>
    </row>
    <row r="3942" spans="2:2">
      <c r="B3942" s="21">
        <f>IF(AND(C3942&lt;&gt;"", H3942&lt;&gt;""), HYPERLINK("#'" &amp; C3942 &amp; "'!" &amp; H3942, H3942), "")</f>
        <v>0</v>
      </c>
    </row>
    <row r="3943" spans="2:2">
      <c r="B3943" s="21">
        <f>IF(AND(C3943&lt;&gt;"", H3943&lt;&gt;""), HYPERLINK("#'" &amp; C3943 &amp; "'!" &amp; H3943, H3943), "")</f>
        <v>0</v>
      </c>
    </row>
    <row r="3944" spans="2:2">
      <c r="B3944" s="21">
        <f>IF(AND(C3944&lt;&gt;"", H3944&lt;&gt;""), HYPERLINK("#'" &amp; C3944 &amp; "'!" &amp; H3944, H3944), "")</f>
        <v>0</v>
      </c>
    </row>
    <row r="3945" spans="2:2">
      <c r="B3945" s="21">
        <f>IF(AND(C3945&lt;&gt;"", H3945&lt;&gt;""), HYPERLINK("#'" &amp; C3945 &amp; "'!" &amp; H3945, H3945), "")</f>
        <v>0</v>
      </c>
    </row>
    <row r="3946" spans="2:2">
      <c r="B3946" s="21">
        <f>IF(AND(C3946&lt;&gt;"", H3946&lt;&gt;""), HYPERLINK("#'" &amp; C3946 &amp; "'!" &amp; H3946, H3946), "")</f>
        <v>0</v>
      </c>
    </row>
    <row r="3947" spans="2:2">
      <c r="B3947" s="21">
        <f>IF(AND(C3947&lt;&gt;"", H3947&lt;&gt;""), HYPERLINK("#'" &amp; C3947 &amp; "'!" &amp; H3947, H3947), "")</f>
        <v>0</v>
      </c>
    </row>
    <row r="3948" spans="2:2">
      <c r="B3948" s="21">
        <f>IF(AND(C3948&lt;&gt;"", H3948&lt;&gt;""), HYPERLINK("#'" &amp; C3948 &amp; "'!" &amp; H3948, H3948), "")</f>
        <v>0</v>
      </c>
    </row>
    <row r="3949" spans="2:2">
      <c r="B3949" s="21">
        <f>IF(AND(C3949&lt;&gt;"", H3949&lt;&gt;""), HYPERLINK("#'" &amp; C3949 &amp; "'!" &amp; H3949, H3949), "")</f>
        <v>0</v>
      </c>
    </row>
    <row r="3950" spans="2:2">
      <c r="B3950" s="21">
        <f>IF(AND(C3950&lt;&gt;"", H3950&lt;&gt;""), HYPERLINK("#'" &amp; C3950 &amp; "'!" &amp; H3950, H3950), "")</f>
        <v>0</v>
      </c>
    </row>
    <row r="3951" spans="2:2">
      <c r="B3951" s="21">
        <f>IF(AND(C3951&lt;&gt;"", H3951&lt;&gt;""), HYPERLINK("#'" &amp; C3951 &amp; "'!" &amp; H3951, H3951), "")</f>
        <v>0</v>
      </c>
    </row>
    <row r="3952" spans="2:2">
      <c r="B3952" s="21">
        <f>IF(AND(C3952&lt;&gt;"", H3952&lt;&gt;""), HYPERLINK("#'" &amp; C3952 &amp; "'!" &amp; H3952, H3952), "")</f>
        <v>0</v>
      </c>
    </row>
    <row r="3953" spans="2:2">
      <c r="B3953" s="21">
        <f>IF(AND(C3953&lt;&gt;"", H3953&lt;&gt;""), HYPERLINK("#'" &amp; C3953 &amp; "'!" &amp; H3953, H3953), "")</f>
        <v>0</v>
      </c>
    </row>
    <row r="3954" spans="2:2">
      <c r="B3954" s="21">
        <f>IF(AND(C3954&lt;&gt;"", H3954&lt;&gt;""), HYPERLINK("#'" &amp; C3954 &amp; "'!" &amp; H3954, H3954), "")</f>
        <v>0</v>
      </c>
    </row>
    <row r="3955" spans="2:2">
      <c r="B3955" s="21">
        <f>IF(AND(C3955&lt;&gt;"", H3955&lt;&gt;""), HYPERLINK("#'" &amp; C3955 &amp; "'!" &amp; H3955, H3955), "")</f>
        <v>0</v>
      </c>
    </row>
    <row r="3956" spans="2:2">
      <c r="B3956" s="21">
        <f>IF(AND(C3956&lt;&gt;"", H3956&lt;&gt;""), HYPERLINK("#'" &amp; C3956 &amp; "'!" &amp; H3956, H3956), "")</f>
        <v>0</v>
      </c>
    </row>
    <row r="3957" spans="2:2">
      <c r="B3957" s="21">
        <f>IF(AND(C3957&lt;&gt;"", H3957&lt;&gt;""), HYPERLINK("#'" &amp; C3957 &amp; "'!" &amp; H3957, H3957), "")</f>
        <v>0</v>
      </c>
    </row>
    <row r="3958" spans="2:2">
      <c r="B3958" s="21">
        <f>IF(AND(C3958&lt;&gt;"", H3958&lt;&gt;""), HYPERLINK("#'" &amp; C3958 &amp; "'!" &amp; H3958, H3958), "")</f>
        <v>0</v>
      </c>
    </row>
    <row r="3959" spans="2:2">
      <c r="B3959" s="21">
        <f>IF(AND(C3959&lt;&gt;"", H3959&lt;&gt;""), HYPERLINK("#'" &amp; C3959 &amp; "'!" &amp; H3959, H3959), "")</f>
        <v>0</v>
      </c>
    </row>
    <row r="3960" spans="2:2">
      <c r="B3960" s="21">
        <f>IF(AND(C3960&lt;&gt;"", H3960&lt;&gt;""), HYPERLINK("#'" &amp; C3960 &amp; "'!" &amp; H3960, H3960), "")</f>
        <v>0</v>
      </c>
    </row>
    <row r="3961" spans="2:2">
      <c r="B3961" s="21">
        <f>IF(AND(C3961&lt;&gt;"", H3961&lt;&gt;""), HYPERLINK("#'" &amp; C3961 &amp; "'!" &amp; H3961, H3961), "")</f>
        <v>0</v>
      </c>
    </row>
    <row r="3962" spans="2:2">
      <c r="B3962" s="21">
        <f>IF(AND(C3962&lt;&gt;"", H3962&lt;&gt;""), HYPERLINK("#'" &amp; C3962 &amp; "'!" &amp; H3962, H3962), "")</f>
        <v>0</v>
      </c>
    </row>
    <row r="3963" spans="2:2">
      <c r="B3963" s="21">
        <f>IF(AND(C3963&lt;&gt;"", H3963&lt;&gt;""), HYPERLINK("#'" &amp; C3963 &amp; "'!" &amp; H3963, H3963), "")</f>
        <v>0</v>
      </c>
    </row>
    <row r="3964" spans="2:2">
      <c r="B3964" s="21">
        <f>IF(AND(C3964&lt;&gt;"", H3964&lt;&gt;""), HYPERLINK("#'" &amp; C3964 &amp; "'!" &amp; H3964, H3964), "")</f>
        <v>0</v>
      </c>
    </row>
    <row r="3965" spans="2:2">
      <c r="B3965" s="21">
        <f>IF(AND(C3965&lt;&gt;"", H3965&lt;&gt;""), HYPERLINK("#'" &amp; C3965 &amp; "'!" &amp; H3965, H3965), "")</f>
        <v>0</v>
      </c>
    </row>
    <row r="3966" spans="2:2">
      <c r="B3966" s="21">
        <f>IF(AND(C3966&lt;&gt;"", H3966&lt;&gt;""), HYPERLINK("#'" &amp; C3966 &amp; "'!" &amp; H3966, H3966), "")</f>
        <v>0</v>
      </c>
    </row>
    <row r="3967" spans="2:2">
      <c r="B3967" s="21">
        <f>IF(AND(C3967&lt;&gt;"", H3967&lt;&gt;""), HYPERLINK("#'" &amp; C3967 &amp; "'!" &amp; H3967, H3967), "")</f>
        <v>0</v>
      </c>
    </row>
    <row r="3968" spans="2:2">
      <c r="B3968" s="21">
        <f>IF(AND(C3968&lt;&gt;"", H3968&lt;&gt;""), HYPERLINK("#'" &amp; C3968 &amp; "'!" &amp; H3968, H3968), "")</f>
        <v>0</v>
      </c>
    </row>
    <row r="3969" spans="2:2">
      <c r="B3969" s="21">
        <f>IF(AND(C3969&lt;&gt;"", H3969&lt;&gt;""), HYPERLINK("#'" &amp; C3969 &amp; "'!" &amp; H3969, H3969), "")</f>
        <v>0</v>
      </c>
    </row>
    <row r="3970" spans="2:2">
      <c r="B3970" s="21">
        <f>IF(AND(C3970&lt;&gt;"", H3970&lt;&gt;""), HYPERLINK("#'" &amp; C3970 &amp; "'!" &amp; H3970, H3970), "")</f>
        <v>0</v>
      </c>
    </row>
    <row r="3971" spans="2:2">
      <c r="B3971" s="21">
        <f>IF(AND(C3971&lt;&gt;"", H3971&lt;&gt;""), HYPERLINK("#'" &amp; C3971 &amp; "'!" &amp; H3971, H3971), "")</f>
        <v>0</v>
      </c>
    </row>
    <row r="3972" spans="2:2">
      <c r="B3972" s="21">
        <f>IF(AND(C3972&lt;&gt;"", H3972&lt;&gt;""), HYPERLINK("#'" &amp; C3972 &amp; "'!" &amp; H3972, H3972), "")</f>
        <v>0</v>
      </c>
    </row>
    <row r="3973" spans="2:2">
      <c r="B3973" s="21">
        <f>IF(AND(C3973&lt;&gt;"", H3973&lt;&gt;""), HYPERLINK("#'" &amp; C3973 &amp; "'!" &amp; H3973, H3973), "")</f>
        <v>0</v>
      </c>
    </row>
    <row r="3974" spans="2:2">
      <c r="B3974" s="21">
        <f>IF(AND(C3974&lt;&gt;"", H3974&lt;&gt;""), HYPERLINK("#'" &amp; C3974 &amp; "'!" &amp; H3974, H3974), "")</f>
        <v>0</v>
      </c>
    </row>
    <row r="3975" spans="2:2">
      <c r="B3975" s="21">
        <f>IF(AND(C3975&lt;&gt;"", H3975&lt;&gt;""), HYPERLINK("#'" &amp; C3975 &amp; "'!" &amp; H3975, H3975), "")</f>
        <v>0</v>
      </c>
    </row>
    <row r="3976" spans="2:2">
      <c r="B3976" s="21">
        <f>IF(AND(C3976&lt;&gt;"", H3976&lt;&gt;""), HYPERLINK("#'" &amp; C3976 &amp; "'!" &amp; H3976, H3976), "")</f>
        <v>0</v>
      </c>
    </row>
    <row r="3977" spans="2:2">
      <c r="B3977" s="21">
        <f>IF(AND(C3977&lt;&gt;"", H3977&lt;&gt;""), HYPERLINK("#'" &amp; C3977 &amp; "'!" &amp; H3977, H3977), "")</f>
        <v>0</v>
      </c>
    </row>
    <row r="3978" spans="2:2">
      <c r="B3978" s="21">
        <f>IF(AND(C3978&lt;&gt;"", H3978&lt;&gt;""), HYPERLINK("#'" &amp; C3978 &amp; "'!" &amp; H3978, H3978), "")</f>
        <v>0</v>
      </c>
    </row>
    <row r="3979" spans="2:2">
      <c r="B3979" s="21">
        <f>IF(AND(C3979&lt;&gt;"", H3979&lt;&gt;""), HYPERLINK("#'" &amp; C3979 &amp; "'!" &amp; H3979, H3979), "")</f>
        <v>0</v>
      </c>
    </row>
    <row r="3980" spans="2:2">
      <c r="B3980" s="21">
        <f>IF(AND(C3980&lt;&gt;"", H3980&lt;&gt;""), HYPERLINK("#'" &amp; C3980 &amp; "'!" &amp; H3980, H3980), "")</f>
        <v>0</v>
      </c>
    </row>
    <row r="3981" spans="2:2">
      <c r="B3981" s="21">
        <f>IF(AND(C3981&lt;&gt;"", H3981&lt;&gt;""), HYPERLINK("#'" &amp; C3981 &amp; "'!" &amp; H3981, H3981), "")</f>
        <v>0</v>
      </c>
    </row>
    <row r="3982" spans="2:2">
      <c r="B3982" s="21">
        <f>IF(AND(C3982&lt;&gt;"", H3982&lt;&gt;""), HYPERLINK("#'" &amp; C3982 &amp; "'!" &amp; H3982, H3982), "")</f>
        <v>0</v>
      </c>
    </row>
    <row r="3983" spans="2:2">
      <c r="B3983" s="21">
        <f>IF(AND(C3983&lt;&gt;"", H3983&lt;&gt;""), HYPERLINK("#'" &amp; C3983 &amp; "'!" &amp; H3983, H3983), "")</f>
        <v>0</v>
      </c>
    </row>
    <row r="3984" spans="2:2">
      <c r="B3984" s="21">
        <f>IF(AND(C3984&lt;&gt;"", H3984&lt;&gt;""), HYPERLINK("#'" &amp; C3984 &amp; "'!" &amp; H3984, H3984), "")</f>
        <v>0</v>
      </c>
    </row>
    <row r="3985" spans="2:2">
      <c r="B3985" s="21">
        <f>IF(AND(C3985&lt;&gt;"", H3985&lt;&gt;""), HYPERLINK("#'" &amp; C3985 &amp; "'!" &amp; H3985, H3985), "")</f>
        <v>0</v>
      </c>
    </row>
    <row r="3986" spans="2:2">
      <c r="B3986" s="21">
        <f>IF(AND(C3986&lt;&gt;"", H3986&lt;&gt;""), HYPERLINK("#'" &amp; C3986 &amp; "'!" &amp; H3986, H3986), "")</f>
        <v>0</v>
      </c>
    </row>
    <row r="3987" spans="2:2">
      <c r="B3987" s="21">
        <f>IF(AND(C3987&lt;&gt;"", H3987&lt;&gt;""), HYPERLINK("#'" &amp; C3987 &amp; "'!" &amp; H3987, H3987), "")</f>
        <v>0</v>
      </c>
    </row>
    <row r="3988" spans="2:2">
      <c r="B3988" s="21">
        <f>IF(AND(C3988&lt;&gt;"", H3988&lt;&gt;""), HYPERLINK("#'" &amp; C3988 &amp; "'!" &amp; H3988, H3988), "")</f>
        <v>0</v>
      </c>
    </row>
    <row r="3989" spans="2:2">
      <c r="B3989" s="21">
        <f>IF(AND(C3989&lt;&gt;"", H3989&lt;&gt;""), HYPERLINK("#'" &amp; C3989 &amp; "'!" &amp; H3989, H3989), "")</f>
        <v>0</v>
      </c>
    </row>
    <row r="3990" spans="2:2">
      <c r="B3990" s="21">
        <f>IF(AND(C3990&lt;&gt;"", H3990&lt;&gt;""), HYPERLINK("#'" &amp; C3990 &amp; "'!" &amp; H3990, H3990), "")</f>
        <v>0</v>
      </c>
    </row>
    <row r="3991" spans="2:2">
      <c r="B3991" s="21">
        <f>IF(AND(C3991&lt;&gt;"", H3991&lt;&gt;""), HYPERLINK("#'" &amp; C3991 &amp; "'!" &amp; H3991, H3991), "")</f>
        <v>0</v>
      </c>
    </row>
    <row r="3992" spans="2:2">
      <c r="B3992" s="21">
        <f>IF(AND(C3992&lt;&gt;"", H3992&lt;&gt;""), HYPERLINK("#'" &amp; C3992 &amp; "'!" &amp; H3992, H3992), "")</f>
        <v>0</v>
      </c>
    </row>
    <row r="3993" spans="2:2">
      <c r="B3993" s="21">
        <f>IF(AND(C3993&lt;&gt;"", H3993&lt;&gt;""), HYPERLINK("#'" &amp; C3993 &amp; "'!" &amp; H3993, H3993), "")</f>
        <v>0</v>
      </c>
    </row>
    <row r="3994" spans="2:2">
      <c r="B3994" s="21">
        <f>IF(AND(C3994&lt;&gt;"", H3994&lt;&gt;""), HYPERLINK("#'" &amp; C3994 &amp; "'!" &amp; H3994, H3994), "")</f>
        <v>0</v>
      </c>
    </row>
    <row r="3995" spans="2:2">
      <c r="B3995" s="21">
        <f>IF(AND(C3995&lt;&gt;"", H3995&lt;&gt;""), HYPERLINK("#'" &amp; C3995 &amp; "'!" &amp; H3995, H3995), "")</f>
        <v>0</v>
      </c>
    </row>
    <row r="3996" spans="2:2">
      <c r="B3996" s="21">
        <f>IF(AND(C3996&lt;&gt;"", H3996&lt;&gt;""), HYPERLINK("#'" &amp; C3996 &amp; "'!" &amp; H3996, H3996), "")</f>
        <v>0</v>
      </c>
    </row>
    <row r="3997" spans="2:2">
      <c r="B3997" s="21">
        <f>IF(AND(C3997&lt;&gt;"", H3997&lt;&gt;""), HYPERLINK("#'" &amp; C3997 &amp; "'!" &amp; H3997, H3997), "")</f>
        <v>0</v>
      </c>
    </row>
    <row r="3998" spans="2:2">
      <c r="B3998" s="21">
        <f>IF(AND(C3998&lt;&gt;"", H3998&lt;&gt;""), HYPERLINK("#'" &amp; C3998 &amp; "'!" &amp; H3998, H3998), "")</f>
        <v>0</v>
      </c>
    </row>
    <row r="3999" spans="2:2">
      <c r="B3999" s="21">
        <f>IF(AND(C3999&lt;&gt;"", H3999&lt;&gt;""), HYPERLINK("#'" &amp; C3999 &amp; "'!" &amp; H3999, H3999), "")</f>
        <v>0</v>
      </c>
    </row>
    <row r="4000" spans="2:2">
      <c r="B4000" s="21">
        <f>IF(AND(C4000&lt;&gt;"", H4000&lt;&gt;""), HYPERLINK("#'" &amp; C4000 &amp; "'!" &amp; H4000, H4000), "")</f>
        <v>0</v>
      </c>
    </row>
    <row r="4001" spans="2:2">
      <c r="B4001" s="21">
        <f>IF(AND(C4001&lt;&gt;"", H4001&lt;&gt;""), HYPERLINK("#'" &amp; C4001 &amp; "'!" &amp; H4001, H4001), "")</f>
        <v>0</v>
      </c>
    </row>
    <row r="4002" spans="2:2">
      <c r="B4002" s="21">
        <f>IF(AND(C4002&lt;&gt;"", H4002&lt;&gt;""), HYPERLINK("#'" &amp; C4002 &amp; "'!" &amp; H4002, H4002), "")</f>
        <v>0</v>
      </c>
    </row>
    <row r="4003" spans="2:2">
      <c r="B4003" s="21">
        <f>IF(AND(C4003&lt;&gt;"", H4003&lt;&gt;""), HYPERLINK("#'" &amp; C4003 &amp; "'!" &amp; H4003, H4003), "")</f>
        <v>0</v>
      </c>
    </row>
    <row r="4004" spans="2:2">
      <c r="B4004" s="21">
        <f>IF(AND(C4004&lt;&gt;"", H4004&lt;&gt;""), HYPERLINK("#'" &amp; C4004 &amp; "'!" &amp; H4004, H4004), "")</f>
        <v>0</v>
      </c>
    </row>
    <row r="4005" spans="2:2">
      <c r="B4005" s="21">
        <f>IF(AND(C4005&lt;&gt;"", H4005&lt;&gt;""), HYPERLINK("#'" &amp; C4005 &amp; "'!" &amp; H4005, H4005), "")</f>
        <v>0</v>
      </c>
    </row>
    <row r="4006" spans="2:2">
      <c r="B4006" s="21">
        <f>IF(AND(C4006&lt;&gt;"", H4006&lt;&gt;""), HYPERLINK("#'" &amp; C4006 &amp; "'!" &amp; H4006, H4006), "")</f>
        <v>0</v>
      </c>
    </row>
    <row r="4007" spans="2:2">
      <c r="B4007" s="21">
        <f>IF(AND(C4007&lt;&gt;"", H4007&lt;&gt;""), HYPERLINK("#'" &amp; C4007 &amp; "'!" &amp; H4007, H4007), "")</f>
        <v>0</v>
      </c>
    </row>
    <row r="4008" spans="2:2">
      <c r="B4008" s="21">
        <f>IF(AND(C4008&lt;&gt;"", H4008&lt;&gt;""), HYPERLINK("#'" &amp; C4008 &amp; "'!" &amp; H4008, H4008), "")</f>
        <v>0</v>
      </c>
    </row>
    <row r="4009" spans="2:2">
      <c r="B4009" s="21">
        <f>IF(AND(C4009&lt;&gt;"", H4009&lt;&gt;""), HYPERLINK("#'" &amp; C4009 &amp; "'!" &amp; H4009, H4009), "")</f>
        <v>0</v>
      </c>
    </row>
    <row r="4010" spans="2:2">
      <c r="B4010" s="21">
        <f>IF(AND(C4010&lt;&gt;"", H4010&lt;&gt;""), HYPERLINK("#'" &amp; C4010 &amp; "'!" &amp; H4010, H4010), "")</f>
        <v>0</v>
      </c>
    </row>
    <row r="4011" spans="2:2">
      <c r="B4011" s="21">
        <f>IF(AND(C4011&lt;&gt;"", H4011&lt;&gt;""), HYPERLINK("#'" &amp; C4011 &amp; "'!" &amp; H4011, H4011), "")</f>
        <v>0</v>
      </c>
    </row>
    <row r="4012" spans="2:2">
      <c r="B4012" s="21">
        <f>IF(AND(C4012&lt;&gt;"", H4012&lt;&gt;""), HYPERLINK("#'" &amp; C4012 &amp; "'!" &amp; H4012, H4012), "")</f>
        <v>0</v>
      </c>
    </row>
    <row r="4013" spans="2:2">
      <c r="B4013" s="21">
        <f>IF(AND(C4013&lt;&gt;"", H4013&lt;&gt;""), HYPERLINK("#'" &amp; C4013 &amp; "'!" &amp; H4013, H4013), "")</f>
        <v>0</v>
      </c>
    </row>
    <row r="4014" spans="2:2">
      <c r="B4014" s="21">
        <f>IF(AND(C4014&lt;&gt;"", H4014&lt;&gt;""), HYPERLINK("#'" &amp; C4014 &amp; "'!" &amp; H4014, H4014), "")</f>
        <v>0</v>
      </c>
    </row>
    <row r="4015" spans="2:2">
      <c r="B4015" s="21">
        <f>IF(AND(C4015&lt;&gt;"", H4015&lt;&gt;""), HYPERLINK("#'" &amp; C4015 &amp; "'!" &amp; H4015, H4015), "")</f>
        <v>0</v>
      </c>
    </row>
    <row r="4016" spans="2:2">
      <c r="B4016" s="21">
        <f>IF(AND(C4016&lt;&gt;"", H4016&lt;&gt;""), HYPERLINK("#'" &amp; C4016 &amp; "'!" &amp; H4016, H4016), "")</f>
        <v>0</v>
      </c>
    </row>
    <row r="4017" spans="2:2">
      <c r="B4017" s="21">
        <f>IF(AND(C4017&lt;&gt;"", H4017&lt;&gt;""), HYPERLINK("#'" &amp; C4017 &amp; "'!" &amp; H4017, H4017), "")</f>
        <v>0</v>
      </c>
    </row>
    <row r="4018" spans="2:2">
      <c r="B4018" s="21">
        <f>IF(AND(C4018&lt;&gt;"", H4018&lt;&gt;""), HYPERLINK("#'" &amp; C4018 &amp; "'!" &amp; H4018, H4018), "")</f>
        <v>0</v>
      </c>
    </row>
    <row r="4019" spans="2:2">
      <c r="B4019" s="21">
        <f>IF(AND(C4019&lt;&gt;"", H4019&lt;&gt;""), HYPERLINK("#'" &amp; C4019 &amp; "'!" &amp; H4019, H4019), "")</f>
        <v>0</v>
      </c>
    </row>
    <row r="4020" spans="2:2">
      <c r="B4020" s="21">
        <f>IF(AND(C4020&lt;&gt;"", H4020&lt;&gt;""), HYPERLINK("#'" &amp; C4020 &amp; "'!" &amp; H4020, H4020), "")</f>
        <v>0</v>
      </c>
    </row>
    <row r="4021" spans="2:2">
      <c r="B4021" s="21">
        <f>IF(AND(C4021&lt;&gt;"", H4021&lt;&gt;""), HYPERLINK("#'" &amp; C4021 &amp; "'!" &amp; H4021, H4021), "")</f>
        <v>0</v>
      </c>
    </row>
    <row r="4022" spans="2:2">
      <c r="B4022" s="21">
        <f>IF(AND(C4022&lt;&gt;"", H4022&lt;&gt;""), HYPERLINK("#'" &amp; C4022 &amp; "'!" &amp; H4022, H4022), "")</f>
        <v>0</v>
      </c>
    </row>
    <row r="4023" spans="2:2">
      <c r="B4023" s="21">
        <f>IF(AND(C4023&lt;&gt;"", H4023&lt;&gt;""), HYPERLINK("#'" &amp; C4023 &amp; "'!" &amp; H4023, H4023), "")</f>
        <v>0</v>
      </c>
    </row>
    <row r="4024" spans="2:2">
      <c r="B4024" s="21">
        <f>IF(AND(C4024&lt;&gt;"", H4024&lt;&gt;""), HYPERLINK("#'" &amp; C4024 &amp; "'!" &amp; H4024, H4024), "")</f>
        <v>0</v>
      </c>
    </row>
    <row r="4025" spans="2:2">
      <c r="B4025" s="21">
        <f>IF(AND(C4025&lt;&gt;"", H4025&lt;&gt;""), HYPERLINK("#'" &amp; C4025 &amp; "'!" &amp; H4025, H4025), "")</f>
        <v>0</v>
      </c>
    </row>
    <row r="4026" spans="2:2">
      <c r="B4026" s="21">
        <f>IF(AND(C4026&lt;&gt;"", H4026&lt;&gt;""), HYPERLINK("#'" &amp; C4026 &amp; "'!" &amp; H4026, H4026), "")</f>
        <v>0</v>
      </c>
    </row>
    <row r="4027" spans="2:2">
      <c r="B4027" s="21">
        <f>IF(AND(C4027&lt;&gt;"", H4027&lt;&gt;""), HYPERLINK("#'" &amp; C4027 &amp; "'!" &amp; H4027, H4027), "")</f>
        <v>0</v>
      </c>
    </row>
    <row r="4028" spans="2:2">
      <c r="B4028" s="21">
        <f>IF(AND(C4028&lt;&gt;"", H4028&lt;&gt;""), HYPERLINK("#'" &amp; C4028 &amp; "'!" &amp; H4028, H4028), "")</f>
        <v>0</v>
      </c>
    </row>
    <row r="4029" spans="2:2">
      <c r="B4029" s="21">
        <f>IF(AND(C4029&lt;&gt;"", H4029&lt;&gt;""), HYPERLINK("#'" &amp; C4029 &amp; "'!" &amp; H4029, H4029), "")</f>
        <v>0</v>
      </c>
    </row>
    <row r="4030" spans="2:2">
      <c r="B4030" s="21">
        <f>IF(AND(C4030&lt;&gt;"", H4030&lt;&gt;""), HYPERLINK("#'" &amp; C4030 &amp; "'!" &amp; H4030, H4030), "")</f>
        <v>0</v>
      </c>
    </row>
    <row r="4031" spans="2:2">
      <c r="B4031" s="21">
        <f>IF(AND(C4031&lt;&gt;"", H4031&lt;&gt;""), HYPERLINK("#'" &amp; C4031 &amp; "'!" &amp; H4031, H4031), "")</f>
        <v>0</v>
      </c>
    </row>
    <row r="4032" spans="2:2">
      <c r="B4032" s="21">
        <f>IF(AND(C4032&lt;&gt;"", H4032&lt;&gt;""), HYPERLINK("#'" &amp; C4032 &amp; "'!" &amp; H4032, H4032), "")</f>
        <v>0</v>
      </c>
    </row>
    <row r="4033" spans="2:2">
      <c r="B4033" s="21">
        <f>IF(AND(C4033&lt;&gt;"", H4033&lt;&gt;""), HYPERLINK("#'" &amp; C4033 &amp; "'!" &amp; H4033, H4033), "")</f>
        <v>0</v>
      </c>
    </row>
    <row r="4034" spans="2:2">
      <c r="B4034" s="21">
        <f>IF(AND(C4034&lt;&gt;"", H4034&lt;&gt;""), HYPERLINK("#'" &amp; C4034 &amp; "'!" &amp; H4034, H4034), "")</f>
        <v>0</v>
      </c>
    </row>
    <row r="4035" spans="2:2">
      <c r="B4035" s="21">
        <f>IF(AND(C4035&lt;&gt;"", H4035&lt;&gt;""), HYPERLINK("#'" &amp; C4035 &amp; "'!" &amp; H4035, H4035), "")</f>
        <v>0</v>
      </c>
    </row>
    <row r="4036" spans="2:2">
      <c r="B4036" s="21">
        <f>IF(AND(C4036&lt;&gt;"", H4036&lt;&gt;""), HYPERLINK("#'" &amp; C4036 &amp; "'!" &amp; H4036, H4036), "")</f>
        <v>0</v>
      </c>
    </row>
    <row r="4037" spans="2:2">
      <c r="B4037" s="21">
        <f>IF(AND(C4037&lt;&gt;"", H4037&lt;&gt;""), HYPERLINK("#'" &amp; C4037 &amp; "'!" &amp; H4037, H4037), "")</f>
        <v>0</v>
      </c>
    </row>
    <row r="4038" spans="2:2">
      <c r="B4038" s="21">
        <f>IF(AND(C4038&lt;&gt;"", H4038&lt;&gt;""), HYPERLINK("#'" &amp; C4038 &amp; "'!" &amp; H4038, H4038), "")</f>
        <v>0</v>
      </c>
    </row>
    <row r="4039" spans="2:2">
      <c r="B4039" s="21">
        <f>IF(AND(C4039&lt;&gt;"", H4039&lt;&gt;""), HYPERLINK("#'" &amp; C4039 &amp; "'!" &amp; H4039, H4039), "")</f>
        <v>0</v>
      </c>
    </row>
    <row r="4040" spans="2:2">
      <c r="B4040" s="21">
        <f>IF(AND(C4040&lt;&gt;"", H4040&lt;&gt;""), HYPERLINK("#'" &amp; C4040 &amp; "'!" &amp; H4040, H4040), "")</f>
        <v>0</v>
      </c>
    </row>
    <row r="4041" spans="2:2">
      <c r="B4041" s="21">
        <f>IF(AND(C4041&lt;&gt;"", H4041&lt;&gt;""), HYPERLINK("#'" &amp; C4041 &amp; "'!" &amp; H4041, H4041), "")</f>
        <v>0</v>
      </c>
    </row>
    <row r="4042" spans="2:2">
      <c r="B4042" s="21">
        <f>IF(AND(C4042&lt;&gt;"", H4042&lt;&gt;""), HYPERLINK("#'" &amp; C4042 &amp; "'!" &amp; H4042, H4042), "")</f>
        <v>0</v>
      </c>
    </row>
    <row r="4043" spans="2:2">
      <c r="B4043" s="21">
        <f>IF(AND(C4043&lt;&gt;"", H4043&lt;&gt;""), HYPERLINK("#'" &amp; C4043 &amp; "'!" &amp; H4043, H4043), "")</f>
        <v>0</v>
      </c>
    </row>
    <row r="4044" spans="2:2">
      <c r="B4044" s="21">
        <f>IF(AND(C4044&lt;&gt;"", H4044&lt;&gt;""), HYPERLINK("#'" &amp; C4044 &amp; "'!" &amp; H4044, H4044), "")</f>
        <v>0</v>
      </c>
    </row>
    <row r="4045" spans="2:2">
      <c r="B4045" s="21">
        <f>IF(AND(C4045&lt;&gt;"", H4045&lt;&gt;""), HYPERLINK("#'" &amp; C4045 &amp; "'!" &amp; H4045, H4045), "")</f>
        <v>0</v>
      </c>
    </row>
    <row r="4046" spans="2:2">
      <c r="B4046" s="21">
        <f>IF(AND(C4046&lt;&gt;"", H4046&lt;&gt;""), HYPERLINK("#'" &amp; C4046 &amp; "'!" &amp; H4046, H4046), "")</f>
        <v>0</v>
      </c>
    </row>
    <row r="4047" spans="2:2">
      <c r="B4047" s="21">
        <f>IF(AND(C4047&lt;&gt;"", H4047&lt;&gt;""), HYPERLINK("#'" &amp; C4047 &amp; "'!" &amp; H4047, H4047), "")</f>
        <v>0</v>
      </c>
    </row>
    <row r="4048" spans="2:2">
      <c r="B4048" s="21">
        <f>IF(AND(C4048&lt;&gt;"", H4048&lt;&gt;""), HYPERLINK("#'" &amp; C4048 &amp; "'!" &amp; H4048, H4048), "")</f>
        <v>0</v>
      </c>
    </row>
    <row r="4049" spans="2:2">
      <c r="B4049" s="21">
        <f>IF(AND(C4049&lt;&gt;"", H4049&lt;&gt;""), HYPERLINK("#'" &amp; C4049 &amp; "'!" &amp; H4049, H4049), "")</f>
        <v>0</v>
      </c>
    </row>
    <row r="4050" spans="2:2">
      <c r="B4050" s="21">
        <f>IF(AND(C4050&lt;&gt;"", H4050&lt;&gt;""), HYPERLINK("#'" &amp; C4050 &amp; "'!" &amp; H4050, H4050), "")</f>
        <v>0</v>
      </c>
    </row>
    <row r="4051" spans="2:2">
      <c r="B4051" s="21">
        <f>IF(AND(C4051&lt;&gt;"", H4051&lt;&gt;""), HYPERLINK("#'" &amp; C4051 &amp; "'!" &amp; H4051, H4051), "")</f>
        <v>0</v>
      </c>
    </row>
    <row r="4052" spans="2:2">
      <c r="B4052" s="21">
        <f>IF(AND(C4052&lt;&gt;"", H4052&lt;&gt;""), HYPERLINK("#'" &amp; C4052 &amp; "'!" &amp; H4052, H4052), "")</f>
        <v>0</v>
      </c>
    </row>
    <row r="4053" spans="2:2">
      <c r="B4053" s="21">
        <f>IF(AND(C4053&lt;&gt;"", H4053&lt;&gt;""), HYPERLINK("#'" &amp; C4053 &amp; "'!" &amp; H4053, H4053), "")</f>
        <v>0</v>
      </c>
    </row>
    <row r="4054" spans="2:2">
      <c r="B4054" s="21">
        <f>IF(AND(C4054&lt;&gt;"", H4054&lt;&gt;""), HYPERLINK("#'" &amp; C4054 &amp; "'!" &amp; H4054, H4054), "")</f>
        <v>0</v>
      </c>
    </row>
    <row r="4055" spans="2:2">
      <c r="B4055" s="21">
        <f>IF(AND(C4055&lt;&gt;"", H4055&lt;&gt;""), HYPERLINK("#'" &amp; C4055 &amp; "'!" &amp; H4055, H4055), "")</f>
        <v>0</v>
      </c>
    </row>
    <row r="4056" spans="2:2">
      <c r="B4056" s="21">
        <f>IF(AND(C4056&lt;&gt;"", H4056&lt;&gt;""), HYPERLINK("#'" &amp; C4056 &amp; "'!" &amp; H4056, H4056), "")</f>
        <v>0</v>
      </c>
    </row>
    <row r="4057" spans="2:2">
      <c r="B4057" s="21">
        <f>IF(AND(C4057&lt;&gt;"", H4057&lt;&gt;""), HYPERLINK("#'" &amp; C4057 &amp; "'!" &amp; H4057, H4057), "")</f>
        <v>0</v>
      </c>
    </row>
    <row r="4058" spans="2:2">
      <c r="B4058" s="21">
        <f>IF(AND(C4058&lt;&gt;"", H4058&lt;&gt;""), HYPERLINK("#'" &amp; C4058 &amp; "'!" &amp; H4058, H4058), "")</f>
        <v>0</v>
      </c>
    </row>
    <row r="4059" spans="2:2">
      <c r="B4059" s="21">
        <f>IF(AND(C4059&lt;&gt;"", H4059&lt;&gt;""), HYPERLINK("#'" &amp; C4059 &amp; "'!" &amp; H4059, H4059), "")</f>
        <v>0</v>
      </c>
    </row>
    <row r="4060" spans="2:2">
      <c r="B4060" s="21">
        <f>IF(AND(C4060&lt;&gt;"", H4060&lt;&gt;""), HYPERLINK("#'" &amp; C4060 &amp; "'!" &amp; H4060, H4060), "")</f>
        <v>0</v>
      </c>
    </row>
    <row r="4061" spans="2:2">
      <c r="B4061" s="21">
        <f>IF(AND(C4061&lt;&gt;"", H4061&lt;&gt;""), HYPERLINK("#'" &amp; C4061 &amp; "'!" &amp; H4061, H4061), "")</f>
        <v>0</v>
      </c>
    </row>
    <row r="4062" spans="2:2">
      <c r="B4062" s="21">
        <f>IF(AND(C4062&lt;&gt;"", H4062&lt;&gt;""), HYPERLINK("#'" &amp; C4062 &amp; "'!" &amp; H4062, H4062), "")</f>
        <v>0</v>
      </c>
    </row>
    <row r="4063" spans="2:2">
      <c r="B4063" s="21">
        <f>IF(AND(C4063&lt;&gt;"", H4063&lt;&gt;""), HYPERLINK("#'" &amp; C4063 &amp; "'!" &amp; H4063, H4063), "")</f>
        <v>0</v>
      </c>
    </row>
    <row r="4064" spans="2:2">
      <c r="B4064" s="21">
        <f>IF(AND(C4064&lt;&gt;"", H4064&lt;&gt;""), HYPERLINK("#'" &amp; C4064 &amp; "'!" &amp; H4064, H4064), "")</f>
        <v>0</v>
      </c>
    </row>
    <row r="4065" spans="2:2">
      <c r="B4065" s="21">
        <f>IF(AND(C4065&lt;&gt;"", H4065&lt;&gt;""), HYPERLINK("#'" &amp; C4065 &amp; "'!" &amp; H4065, H4065), "")</f>
        <v>0</v>
      </c>
    </row>
    <row r="4066" spans="2:2">
      <c r="B4066" s="21">
        <f>IF(AND(C4066&lt;&gt;"", H4066&lt;&gt;""), HYPERLINK("#'" &amp; C4066 &amp; "'!" &amp; H4066, H4066), "")</f>
        <v>0</v>
      </c>
    </row>
    <row r="4067" spans="2:2">
      <c r="B4067" s="21">
        <f>IF(AND(C4067&lt;&gt;"", H4067&lt;&gt;""), HYPERLINK("#'" &amp; C4067 &amp; "'!" &amp; H4067, H4067), "")</f>
        <v>0</v>
      </c>
    </row>
    <row r="4068" spans="2:2">
      <c r="B4068" s="21">
        <f>IF(AND(C4068&lt;&gt;"", H4068&lt;&gt;""), HYPERLINK("#'" &amp; C4068 &amp; "'!" &amp; H4068, H4068), "")</f>
        <v>0</v>
      </c>
    </row>
    <row r="4069" spans="2:2">
      <c r="B4069" s="21">
        <f>IF(AND(C4069&lt;&gt;"", H4069&lt;&gt;""), HYPERLINK("#'" &amp; C4069 &amp; "'!" &amp; H4069, H4069), "")</f>
        <v>0</v>
      </c>
    </row>
    <row r="4070" spans="2:2">
      <c r="B4070" s="21">
        <f>IF(AND(C4070&lt;&gt;"", H4070&lt;&gt;""), HYPERLINK("#'" &amp; C4070 &amp; "'!" &amp; H4070, H4070), "")</f>
        <v>0</v>
      </c>
    </row>
    <row r="4071" spans="2:2">
      <c r="B4071" s="21">
        <f>IF(AND(C4071&lt;&gt;"", H4071&lt;&gt;""), HYPERLINK("#'" &amp; C4071 &amp; "'!" &amp; H4071, H4071), "")</f>
        <v>0</v>
      </c>
    </row>
    <row r="4072" spans="2:2">
      <c r="B4072" s="21">
        <f>IF(AND(C4072&lt;&gt;"", H4072&lt;&gt;""), HYPERLINK("#'" &amp; C4072 &amp; "'!" &amp; H4072, H4072), "")</f>
        <v>0</v>
      </c>
    </row>
    <row r="4073" spans="2:2">
      <c r="B4073" s="21">
        <f>IF(AND(C4073&lt;&gt;"", H4073&lt;&gt;""), HYPERLINK("#'" &amp; C4073 &amp; "'!" &amp; H4073, H4073), "")</f>
        <v>0</v>
      </c>
    </row>
    <row r="4074" spans="2:2">
      <c r="B4074" s="21">
        <f>IF(AND(C4074&lt;&gt;"", H4074&lt;&gt;""), HYPERLINK("#'" &amp; C4074 &amp; "'!" &amp; H4074, H4074), "")</f>
        <v>0</v>
      </c>
    </row>
    <row r="4075" spans="2:2">
      <c r="B4075" s="21">
        <f>IF(AND(C4075&lt;&gt;"", H4075&lt;&gt;""), HYPERLINK("#'" &amp; C4075 &amp; "'!" &amp; H4075, H4075), "")</f>
        <v>0</v>
      </c>
    </row>
    <row r="4076" spans="2:2">
      <c r="B4076" s="21">
        <f>IF(AND(C4076&lt;&gt;"", H4076&lt;&gt;""), HYPERLINK("#'" &amp; C4076 &amp; "'!" &amp; H4076, H4076), "")</f>
        <v>0</v>
      </c>
    </row>
    <row r="4077" spans="2:2">
      <c r="B4077" s="21">
        <f>IF(AND(C4077&lt;&gt;"", H4077&lt;&gt;""), HYPERLINK("#'" &amp; C4077 &amp; "'!" &amp; H4077, H4077), "")</f>
        <v>0</v>
      </c>
    </row>
    <row r="4078" spans="2:2">
      <c r="B4078" s="21">
        <f>IF(AND(C4078&lt;&gt;"", H4078&lt;&gt;""), HYPERLINK("#'" &amp; C4078 &amp; "'!" &amp; H4078, H4078), "")</f>
        <v>0</v>
      </c>
    </row>
    <row r="4079" spans="2:2">
      <c r="B4079" s="21">
        <f>IF(AND(C4079&lt;&gt;"", H4079&lt;&gt;""), HYPERLINK("#'" &amp; C4079 &amp; "'!" &amp; H4079, H4079), "")</f>
        <v>0</v>
      </c>
    </row>
    <row r="4080" spans="2:2">
      <c r="B4080" s="21">
        <f>IF(AND(C4080&lt;&gt;"", H4080&lt;&gt;""), HYPERLINK("#'" &amp; C4080 &amp; "'!" &amp; H4080, H4080), "")</f>
        <v>0</v>
      </c>
    </row>
    <row r="4081" spans="2:2">
      <c r="B4081" s="21">
        <f>IF(AND(C4081&lt;&gt;"", H4081&lt;&gt;""), HYPERLINK("#'" &amp; C4081 &amp; "'!" &amp; H4081, H4081), "")</f>
        <v>0</v>
      </c>
    </row>
    <row r="4082" spans="2:2">
      <c r="B4082" s="21">
        <f>IF(AND(C4082&lt;&gt;"", H4082&lt;&gt;""), HYPERLINK("#'" &amp; C4082 &amp; "'!" &amp; H4082, H4082), "")</f>
        <v>0</v>
      </c>
    </row>
    <row r="4083" spans="2:2">
      <c r="B4083" s="21">
        <f>IF(AND(C4083&lt;&gt;"", H4083&lt;&gt;""), HYPERLINK("#'" &amp; C4083 &amp; "'!" &amp; H4083, H4083), "")</f>
        <v>0</v>
      </c>
    </row>
    <row r="4084" spans="2:2">
      <c r="B4084" s="21">
        <f>IF(AND(C4084&lt;&gt;"", H4084&lt;&gt;""), HYPERLINK("#'" &amp; C4084 &amp; "'!" &amp; H4084, H4084), "")</f>
        <v>0</v>
      </c>
    </row>
    <row r="4085" spans="2:2">
      <c r="B4085" s="21">
        <f>IF(AND(C4085&lt;&gt;"", H4085&lt;&gt;""), HYPERLINK("#'" &amp; C4085 &amp; "'!" &amp; H4085, H4085), "")</f>
        <v>0</v>
      </c>
    </row>
    <row r="4086" spans="2:2">
      <c r="B4086" s="21">
        <f>IF(AND(C4086&lt;&gt;"", H4086&lt;&gt;""), HYPERLINK("#'" &amp; C4086 &amp; "'!" &amp; H4086, H4086), "")</f>
        <v>0</v>
      </c>
    </row>
    <row r="4087" spans="2:2">
      <c r="B4087" s="21">
        <f>IF(AND(C4087&lt;&gt;"", H4087&lt;&gt;""), HYPERLINK("#'" &amp; C4087 &amp; "'!" &amp; H4087, H4087), "")</f>
        <v>0</v>
      </c>
    </row>
    <row r="4088" spans="2:2">
      <c r="B4088" s="21">
        <f>IF(AND(C4088&lt;&gt;"", H4088&lt;&gt;""), HYPERLINK("#'" &amp; C4088 &amp; "'!" &amp; H4088, H4088), "")</f>
        <v>0</v>
      </c>
    </row>
    <row r="4089" spans="2:2">
      <c r="B4089" s="21">
        <f>IF(AND(C4089&lt;&gt;"", H4089&lt;&gt;""), HYPERLINK("#'" &amp; C4089 &amp; "'!" &amp; H4089, H4089), "")</f>
        <v>0</v>
      </c>
    </row>
    <row r="4090" spans="2:2">
      <c r="B4090" s="21">
        <f>IF(AND(C4090&lt;&gt;"", H4090&lt;&gt;""), HYPERLINK("#'" &amp; C4090 &amp; "'!" &amp; H4090, H4090), "")</f>
        <v>0</v>
      </c>
    </row>
    <row r="4091" spans="2:2">
      <c r="B4091" s="21">
        <f>IF(AND(C4091&lt;&gt;"", H4091&lt;&gt;""), HYPERLINK("#'" &amp; C4091 &amp; "'!" &amp; H4091, H4091), "")</f>
        <v>0</v>
      </c>
    </row>
    <row r="4092" spans="2:2">
      <c r="B4092" s="21">
        <f>IF(AND(C4092&lt;&gt;"", H4092&lt;&gt;""), HYPERLINK("#'" &amp; C4092 &amp; "'!" &amp; H4092, H4092), "")</f>
        <v>0</v>
      </c>
    </row>
    <row r="4093" spans="2:2">
      <c r="B4093" s="21">
        <f>IF(AND(C4093&lt;&gt;"", H4093&lt;&gt;""), HYPERLINK("#'" &amp; C4093 &amp; "'!" &amp; H4093, H4093), "")</f>
        <v>0</v>
      </c>
    </row>
    <row r="4094" spans="2:2">
      <c r="B4094" s="21">
        <f>IF(AND(C4094&lt;&gt;"", H4094&lt;&gt;""), HYPERLINK("#'" &amp; C4094 &amp; "'!" &amp; H4094, H4094), "")</f>
        <v>0</v>
      </c>
    </row>
    <row r="4095" spans="2:2">
      <c r="B4095" s="21">
        <f>IF(AND(C4095&lt;&gt;"", H4095&lt;&gt;""), HYPERLINK("#'" &amp; C4095 &amp; "'!" &amp; H4095, H4095), "")</f>
        <v>0</v>
      </c>
    </row>
    <row r="4096" spans="2:2">
      <c r="B4096" s="21">
        <f>IF(AND(C4096&lt;&gt;"", H4096&lt;&gt;""), HYPERLINK("#'" &amp; C4096 &amp; "'!" &amp; H4096, H4096), "")</f>
        <v>0</v>
      </c>
    </row>
    <row r="4097" spans="2:2">
      <c r="B4097" s="21">
        <f>IF(AND(C4097&lt;&gt;"", H4097&lt;&gt;""), HYPERLINK("#'" &amp; C4097 &amp; "'!" &amp; H4097, H4097), "")</f>
        <v>0</v>
      </c>
    </row>
    <row r="4098" spans="2:2">
      <c r="B4098" s="21">
        <f>IF(AND(C4098&lt;&gt;"", H4098&lt;&gt;""), HYPERLINK("#'" &amp; C4098 &amp; "'!" &amp; H4098, H4098), "")</f>
        <v>0</v>
      </c>
    </row>
    <row r="4099" spans="2:2">
      <c r="B4099" s="21">
        <f>IF(AND(C4099&lt;&gt;"", H4099&lt;&gt;""), HYPERLINK("#'" &amp; C4099 &amp; "'!" &amp; H4099, H4099), "")</f>
        <v>0</v>
      </c>
    </row>
    <row r="4100" spans="2:2">
      <c r="B4100" s="21">
        <f>IF(AND(C4100&lt;&gt;"", H4100&lt;&gt;""), HYPERLINK("#'" &amp; C4100 &amp; "'!" &amp; H4100, H4100), "")</f>
        <v>0</v>
      </c>
    </row>
    <row r="4101" spans="2:2">
      <c r="B4101" s="21">
        <f>IF(AND(C4101&lt;&gt;"", H4101&lt;&gt;""), HYPERLINK("#'" &amp; C4101 &amp; "'!" &amp; H4101, H4101), "")</f>
        <v>0</v>
      </c>
    </row>
    <row r="4102" spans="2:2">
      <c r="B4102" s="21">
        <f>IF(AND(C4102&lt;&gt;"", H4102&lt;&gt;""), HYPERLINK("#'" &amp; C4102 &amp; "'!" &amp; H4102, H4102), "")</f>
        <v>0</v>
      </c>
    </row>
    <row r="4103" spans="2:2">
      <c r="B4103" s="21">
        <f>IF(AND(C4103&lt;&gt;"", H4103&lt;&gt;""), HYPERLINK("#'" &amp; C4103 &amp; "'!" &amp; H4103, H4103), "")</f>
        <v>0</v>
      </c>
    </row>
    <row r="4104" spans="2:2">
      <c r="B4104" s="21">
        <f>IF(AND(C4104&lt;&gt;"", H4104&lt;&gt;""), HYPERLINK("#'" &amp; C4104 &amp; "'!" &amp; H4104, H4104), "")</f>
        <v>0</v>
      </c>
    </row>
    <row r="4105" spans="2:2">
      <c r="B4105" s="21">
        <f>IF(AND(C4105&lt;&gt;"", H4105&lt;&gt;""), HYPERLINK("#'" &amp; C4105 &amp; "'!" &amp; H4105, H4105), "")</f>
        <v>0</v>
      </c>
    </row>
    <row r="4106" spans="2:2">
      <c r="B4106" s="21">
        <f>IF(AND(C4106&lt;&gt;"", H4106&lt;&gt;""), HYPERLINK("#'" &amp; C4106 &amp; "'!" &amp; H4106, H4106), "")</f>
        <v>0</v>
      </c>
    </row>
    <row r="4107" spans="2:2">
      <c r="B4107" s="21">
        <f>IF(AND(C4107&lt;&gt;"", H4107&lt;&gt;""), HYPERLINK("#'" &amp; C4107 &amp; "'!" &amp; H4107, H4107), "")</f>
        <v>0</v>
      </c>
    </row>
    <row r="4108" spans="2:2">
      <c r="B4108" s="21">
        <f>IF(AND(C4108&lt;&gt;"", H4108&lt;&gt;""), HYPERLINK("#'" &amp; C4108 &amp; "'!" &amp; H4108, H4108), "")</f>
        <v>0</v>
      </c>
    </row>
    <row r="4109" spans="2:2">
      <c r="B4109" s="21">
        <f>IF(AND(C4109&lt;&gt;"", H4109&lt;&gt;""), HYPERLINK("#'" &amp; C4109 &amp; "'!" &amp; H4109, H4109), "")</f>
        <v>0</v>
      </c>
    </row>
    <row r="4110" spans="2:2">
      <c r="B4110" s="21">
        <f>IF(AND(C4110&lt;&gt;"", H4110&lt;&gt;""), HYPERLINK("#'" &amp; C4110 &amp; "'!" &amp; H4110, H4110), "")</f>
        <v>0</v>
      </c>
    </row>
    <row r="4111" spans="2:2">
      <c r="B4111" s="21">
        <f>IF(AND(C4111&lt;&gt;"", H4111&lt;&gt;""), HYPERLINK("#'" &amp; C4111 &amp; "'!" &amp; H4111, H4111), "")</f>
        <v>0</v>
      </c>
    </row>
    <row r="4112" spans="2:2">
      <c r="B4112" s="21">
        <f>IF(AND(C4112&lt;&gt;"", H4112&lt;&gt;""), HYPERLINK("#'" &amp; C4112 &amp; "'!" &amp; H4112, H4112), "")</f>
        <v>0</v>
      </c>
    </row>
    <row r="4113" spans="2:2">
      <c r="B4113" s="21">
        <f>IF(AND(C4113&lt;&gt;"", H4113&lt;&gt;""), HYPERLINK("#'" &amp; C4113 &amp; "'!" &amp; H4113, H4113), "")</f>
        <v>0</v>
      </c>
    </row>
    <row r="4114" spans="2:2">
      <c r="B4114" s="21">
        <f>IF(AND(C4114&lt;&gt;"", H4114&lt;&gt;""), HYPERLINK("#'" &amp; C4114 &amp; "'!" &amp; H4114, H4114), "")</f>
        <v>0</v>
      </c>
    </row>
    <row r="4115" spans="2:2">
      <c r="B4115" s="21">
        <f>IF(AND(C4115&lt;&gt;"", H4115&lt;&gt;""), HYPERLINK("#'" &amp; C4115 &amp; "'!" &amp; H4115, H4115), "")</f>
        <v>0</v>
      </c>
    </row>
    <row r="4116" spans="2:2">
      <c r="B4116" s="21">
        <f>IF(AND(C4116&lt;&gt;"", H4116&lt;&gt;""), HYPERLINK("#'" &amp; C4116 &amp; "'!" &amp; H4116, H4116), "")</f>
        <v>0</v>
      </c>
    </row>
    <row r="4117" spans="2:2">
      <c r="B4117" s="21">
        <f>IF(AND(C4117&lt;&gt;"", H4117&lt;&gt;""), HYPERLINK("#'" &amp; C4117 &amp; "'!" &amp; H4117, H4117), "")</f>
        <v>0</v>
      </c>
    </row>
    <row r="4118" spans="2:2">
      <c r="B4118" s="21">
        <f>IF(AND(C4118&lt;&gt;"", H4118&lt;&gt;""), HYPERLINK("#'" &amp; C4118 &amp; "'!" &amp; H4118, H4118), "")</f>
        <v>0</v>
      </c>
    </row>
    <row r="4119" spans="2:2">
      <c r="B4119" s="21">
        <f>IF(AND(C4119&lt;&gt;"", H4119&lt;&gt;""), HYPERLINK("#'" &amp; C4119 &amp; "'!" &amp; H4119, H4119), "")</f>
        <v>0</v>
      </c>
    </row>
    <row r="4120" spans="2:2">
      <c r="B4120" s="21">
        <f>IF(AND(C4120&lt;&gt;"", H4120&lt;&gt;""), HYPERLINK("#'" &amp; C4120 &amp; "'!" &amp; H4120, H4120), "")</f>
        <v>0</v>
      </c>
    </row>
    <row r="4121" spans="2:2">
      <c r="B4121" s="21">
        <f>IF(AND(C4121&lt;&gt;"", H4121&lt;&gt;""), HYPERLINK("#'" &amp; C4121 &amp; "'!" &amp; H4121, H4121), "")</f>
        <v>0</v>
      </c>
    </row>
    <row r="4122" spans="2:2">
      <c r="B4122" s="21">
        <f>IF(AND(C4122&lt;&gt;"", H4122&lt;&gt;""), HYPERLINK("#'" &amp; C4122 &amp; "'!" &amp; H4122, H4122), "")</f>
        <v>0</v>
      </c>
    </row>
    <row r="4123" spans="2:2">
      <c r="B4123" s="21">
        <f>IF(AND(C4123&lt;&gt;"", H4123&lt;&gt;""), HYPERLINK("#'" &amp; C4123 &amp; "'!" &amp; H4123, H4123), "")</f>
        <v>0</v>
      </c>
    </row>
    <row r="4124" spans="2:2">
      <c r="B4124" s="21">
        <f>IF(AND(C4124&lt;&gt;"", H4124&lt;&gt;""), HYPERLINK("#'" &amp; C4124 &amp; "'!" &amp; H4124, H4124), "")</f>
        <v>0</v>
      </c>
    </row>
    <row r="4125" spans="2:2">
      <c r="B4125" s="21">
        <f>IF(AND(C4125&lt;&gt;"", H4125&lt;&gt;""), HYPERLINK("#'" &amp; C4125 &amp; "'!" &amp; H4125, H4125), "")</f>
        <v>0</v>
      </c>
    </row>
    <row r="4126" spans="2:2">
      <c r="B4126" s="21">
        <f>IF(AND(C4126&lt;&gt;"", H4126&lt;&gt;""), HYPERLINK("#'" &amp; C4126 &amp; "'!" &amp; H4126, H4126), "")</f>
        <v>0</v>
      </c>
    </row>
    <row r="4127" spans="2:2">
      <c r="B4127" s="21">
        <f>IF(AND(C4127&lt;&gt;"", H4127&lt;&gt;""), HYPERLINK("#'" &amp; C4127 &amp; "'!" &amp; H4127, H4127), "")</f>
        <v>0</v>
      </c>
    </row>
    <row r="4128" spans="2:2">
      <c r="B4128" s="21">
        <f>IF(AND(C4128&lt;&gt;"", H4128&lt;&gt;""), HYPERLINK("#'" &amp; C4128 &amp; "'!" &amp; H4128, H4128), "")</f>
        <v>0</v>
      </c>
    </row>
    <row r="4129" spans="2:2">
      <c r="B4129" s="21">
        <f>IF(AND(C4129&lt;&gt;"", H4129&lt;&gt;""), HYPERLINK("#'" &amp; C4129 &amp; "'!" &amp; H4129, H4129), "")</f>
        <v>0</v>
      </c>
    </row>
    <row r="4130" spans="2:2">
      <c r="B4130" s="21">
        <f>IF(AND(C4130&lt;&gt;"", H4130&lt;&gt;""), HYPERLINK("#'" &amp; C4130 &amp; "'!" &amp; H4130, H4130), "")</f>
        <v>0</v>
      </c>
    </row>
    <row r="4131" spans="2:2">
      <c r="B4131" s="21">
        <f>IF(AND(C4131&lt;&gt;"", H4131&lt;&gt;""), HYPERLINK("#'" &amp; C4131 &amp; "'!" &amp; H4131, H4131), "")</f>
        <v>0</v>
      </c>
    </row>
    <row r="4132" spans="2:2">
      <c r="B4132" s="21">
        <f>IF(AND(C4132&lt;&gt;"", H4132&lt;&gt;""), HYPERLINK("#'" &amp; C4132 &amp; "'!" &amp; H4132, H4132), "")</f>
        <v>0</v>
      </c>
    </row>
    <row r="4133" spans="2:2">
      <c r="B4133" s="21">
        <f>IF(AND(C4133&lt;&gt;"", H4133&lt;&gt;""), HYPERLINK("#'" &amp; C4133 &amp; "'!" &amp; H4133, H4133), "")</f>
        <v>0</v>
      </c>
    </row>
    <row r="4134" spans="2:2">
      <c r="B4134" s="21">
        <f>IF(AND(C4134&lt;&gt;"", H4134&lt;&gt;""), HYPERLINK("#'" &amp; C4134 &amp; "'!" &amp; H4134, H4134), "")</f>
        <v>0</v>
      </c>
    </row>
    <row r="4135" spans="2:2">
      <c r="B4135" s="21">
        <f>IF(AND(C4135&lt;&gt;"", H4135&lt;&gt;""), HYPERLINK("#'" &amp; C4135 &amp; "'!" &amp; H4135, H4135), "")</f>
        <v>0</v>
      </c>
    </row>
    <row r="4136" spans="2:2">
      <c r="B4136" s="21">
        <f>IF(AND(C4136&lt;&gt;"", H4136&lt;&gt;""), HYPERLINK("#'" &amp; C4136 &amp; "'!" &amp; H4136, H4136), "")</f>
        <v>0</v>
      </c>
    </row>
    <row r="4137" spans="2:2">
      <c r="B4137" s="21">
        <f>IF(AND(C4137&lt;&gt;"", H4137&lt;&gt;""), HYPERLINK("#'" &amp; C4137 &amp; "'!" &amp; H4137, H4137), "")</f>
        <v>0</v>
      </c>
    </row>
    <row r="4138" spans="2:2">
      <c r="B4138" s="21">
        <f>IF(AND(C4138&lt;&gt;"", H4138&lt;&gt;""), HYPERLINK("#'" &amp; C4138 &amp; "'!" &amp; H4138, H4138), "")</f>
        <v>0</v>
      </c>
    </row>
    <row r="4139" spans="2:2">
      <c r="B4139" s="21">
        <f>IF(AND(C4139&lt;&gt;"", H4139&lt;&gt;""), HYPERLINK("#'" &amp; C4139 &amp; "'!" &amp; H4139, H4139), "")</f>
        <v>0</v>
      </c>
    </row>
    <row r="4140" spans="2:2">
      <c r="B4140" s="21">
        <f>IF(AND(C4140&lt;&gt;"", H4140&lt;&gt;""), HYPERLINK("#'" &amp; C4140 &amp; "'!" &amp; H4140, H4140), "")</f>
        <v>0</v>
      </c>
    </row>
    <row r="4141" spans="2:2">
      <c r="B4141" s="21">
        <f>IF(AND(C4141&lt;&gt;"", H4141&lt;&gt;""), HYPERLINK("#'" &amp; C4141 &amp; "'!" &amp; H4141, H4141), "")</f>
        <v>0</v>
      </c>
    </row>
    <row r="4142" spans="2:2">
      <c r="B4142" s="21">
        <f>IF(AND(C4142&lt;&gt;"", H4142&lt;&gt;""), HYPERLINK("#'" &amp; C4142 &amp; "'!" &amp; H4142, H4142), "")</f>
        <v>0</v>
      </c>
    </row>
    <row r="4143" spans="2:2">
      <c r="B4143" s="21">
        <f>IF(AND(C4143&lt;&gt;"", H4143&lt;&gt;""), HYPERLINK("#'" &amp; C4143 &amp; "'!" &amp; H4143, H4143), "")</f>
        <v>0</v>
      </c>
    </row>
    <row r="4144" spans="2:2">
      <c r="B4144" s="21">
        <f>IF(AND(C4144&lt;&gt;"", H4144&lt;&gt;""), HYPERLINK("#'" &amp; C4144 &amp; "'!" &amp; H4144, H4144), "")</f>
        <v>0</v>
      </c>
    </row>
    <row r="4145" spans="2:2">
      <c r="B4145" s="21">
        <f>IF(AND(C4145&lt;&gt;"", H4145&lt;&gt;""), HYPERLINK("#'" &amp; C4145 &amp; "'!" &amp; H4145, H4145), "")</f>
        <v>0</v>
      </c>
    </row>
    <row r="4146" spans="2:2">
      <c r="B4146" s="21">
        <f>IF(AND(C4146&lt;&gt;"", H4146&lt;&gt;""), HYPERLINK("#'" &amp; C4146 &amp; "'!" &amp; H4146, H4146), "")</f>
        <v>0</v>
      </c>
    </row>
    <row r="4147" spans="2:2">
      <c r="B4147" s="21">
        <f>IF(AND(C4147&lt;&gt;"", H4147&lt;&gt;""), HYPERLINK("#'" &amp; C4147 &amp; "'!" &amp; H4147, H4147), "")</f>
        <v>0</v>
      </c>
    </row>
    <row r="4148" spans="2:2">
      <c r="B4148" s="21">
        <f>IF(AND(C4148&lt;&gt;"", H4148&lt;&gt;""), HYPERLINK("#'" &amp; C4148 &amp; "'!" &amp; H4148, H4148), "")</f>
        <v>0</v>
      </c>
    </row>
    <row r="4149" spans="2:2">
      <c r="B4149" s="21">
        <f>IF(AND(C4149&lt;&gt;"", H4149&lt;&gt;""), HYPERLINK("#'" &amp; C4149 &amp; "'!" &amp; H4149, H4149), "")</f>
        <v>0</v>
      </c>
    </row>
    <row r="4150" spans="2:2">
      <c r="B4150" s="21">
        <f>IF(AND(C4150&lt;&gt;"", H4150&lt;&gt;""), HYPERLINK("#'" &amp; C4150 &amp; "'!" &amp; H4150, H4150), "")</f>
        <v>0</v>
      </c>
    </row>
    <row r="4151" spans="2:2">
      <c r="B4151" s="21">
        <f>IF(AND(C4151&lt;&gt;"", H4151&lt;&gt;""), HYPERLINK("#'" &amp; C4151 &amp; "'!" &amp; H4151, H4151), "")</f>
        <v>0</v>
      </c>
    </row>
    <row r="4152" spans="2:2">
      <c r="B4152" s="21">
        <f>IF(AND(C4152&lt;&gt;"", H4152&lt;&gt;""), HYPERLINK("#'" &amp; C4152 &amp; "'!" &amp; H4152, H4152), "")</f>
        <v>0</v>
      </c>
    </row>
    <row r="4153" spans="2:2">
      <c r="B4153" s="21">
        <f>IF(AND(C4153&lt;&gt;"", H4153&lt;&gt;""), HYPERLINK("#'" &amp; C4153 &amp; "'!" &amp; H4153, H4153), "")</f>
        <v>0</v>
      </c>
    </row>
    <row r="4154" spans="2:2">
      <c r="B4154" s="21">
        <f>IF(AND(C4154&lt;&gt;"", H4154&lt;&gt;""), HYPERLINK("#'" &amp; C4154 &amp; "'!" &amp; H4154, H4154), "")</f>
        <v>0</v>
      </c>
    </row>
    <row r="4155" spans="2:2">
      <c r="B4155" s="21">
        <f>IF(AND(C4155&lt;&gt;"", H4155&lt;&gt;""), HYPERLINK("#'" &amp; C4155 &amp; "'!" &amp; H4155, H4155), "")</f>
        <v>0</v>
      </c>
    </row>
    <row r="4156" spans="2:2">
      <c r="B4156" s="21">
        <f>IF(AND(C4156&lt;&gt;"", H4156&lt;&gt;""), HYPERLINK("#'" &amp; C4156 &amp; "'!" &amp; H4156, H4156), "")</f>
        <v>0</v>
      </c>
    </row>
    <row r="4157" spans="2:2">
      <c r="B4157" s="21">
        <f>IF(AND(C4157&lt;&gt;"", H4157&lt;&gt;""), HYPERLINK("#'" &amp; C4157 &amp; "'!" &amp; H4157, H4157), "")</f>
        <v>0</v>
      </c>
    </row>
    <row r="4158" spans="2:2">
      <c r="B4158" s="21">
        <f>IF(AND(C4158&lt;&gt;"", H4158&lt;&gt;""), HYPERLINK("#'" &amp; C4158 &amp; "'!" &amp; H4158, H4158), "")</f>
        <v>0</v>
      </c>
    </row>
    <row r="4159" spans="2:2">
      <c r="B4159" s="21">
        <f>IF(AND(C4159&lt;&gt;"", H4159&lt;&gt;""), HYPERLINK("#'" &amp; C4159 &amp; "'!" &amp; H4159, H4159), "")</f>
        <v>0</v>
      </c>
    </row>
    <row r="4160" spans="2:2">
      <c r="B4160" s="21">
        <f>IF(AND(C4160&lt;&gt;"", H4160&lt;&gt;""), HYPERLINK("#'" &amp; C4160 &amp; "'!" &amp; H4160, H4160), "")</f>
        <v>0</v>
      </c>
    </row>
    <row r="4161" spans="2:2">
      <c r="B4161" s="21">
        <f>IF(AND(C4161&lt;&gt;"", H4161&lt;&gt;""), HYPERLINK("#'" &amp; C4161 &amp; "'!" &amp; H4161, H4161), "")</f>
        <v>0</v>
      </c>
    </row>
    <row r="4162" spans="2:2">
      <c r="B4162" s="21">
        <f>IF(AND(C4162&lt;&gt;"", H4162&lt;&gt;""), HYPERLINK("#'" &amp; C4162 &amp; "'!" &amp; H4162, H4162), "")</f>
        <v>0</v>
      </c>
    </row>
    <row r="4163" spans="2:2">
      <c r="B4163" s="21">
        <f>IF(AND(C4163&lt;&gt;"", H4163&lt;&gt;""), HYPERLINK("#'" &amp; C4163 &amp; "'!" &amp; H4163, H4163), "")</f>
        <v>0</v>
      </c>
    </row>
    <row r="4164" spans="2:2">
      <c r="B4164" s="21">
        <f>IF(AND(C4164&lt;&gt;"", H4164&lt;&gt;""), HYPERLINK("#'" &amp; C4164 &amp; "'!" &amp; H4164, H4164), "")</f>
        <v>0</v>
      </c>
    </row>
    <row r="4165" spans="2:2">
      <c r="B4165" s="21">
        <f>IF(AND(C4165&lt;&gt;"", H4165&lt;&gt;""), HYPERLINK("#'" &amp; C4165 &amp; "'!" &amp; H4165, H4165), "")</f>
        <v>0</v>
      </c>
    </row>
    <row r="4166" spans="2:2">
      <c r="B4166" s="21">
        <f>IF(AND(C4166&lt;&gt;"", H4166&lt;&gt;""), HYPERLINK("#'" &amp; C4166 &amp; "'!" &amp; H4166, H4166), "")</f>
        <v>0</v>
      </c>
    </row>
    <row r="4167" spans="2:2">
      <c r="B4167" s="21">
        <f>IF(AND(C4167&lt;&gt;"", H4167&lt;&gt;""), HYPERLINK("#'" &amp; C4167 &amp; "'!" &amp; H4167, H4167), "")</f>
        <v>0</v>
      </c>
    </row>
    <row r="4168" spans="2:2">
      <c r="B4168" s="21">
        <f>IF(AND(C4168&lt;&gt;"", H4168&lt;&gt;""), HYPERLINK("#'" &amp; C4168 &amp; "'!" &amp; H4168, H4168), "")</f>
        <v>0</v>
      </c>
    </row>
    <row r="4169" spans="2:2">
      <c r="B4169" s="21">
        <f>IF(AND(C4169&lt;&gt;"", H4169&lt;&gt;""), HYPERLINK("#'" &amp; C4169 &amp; "'!" &amp; H4169, H4169), "")</f>
        <v>0</v>
      </c>
    </row>
    <row r="4170" spans="2:2">
      <c r="B4170" s="21">
        <f>IF(AND(C4170&lt;&gt;"", H4170&lt;&gt;""), HYPERLINK("#'" &amp; C4170 &amp; "'!" &amp; H4170, H4170), "")</f>
        <v>0</v>
      </c>
    </row>
    <row r="4171" spans="2:2">
      <c r="B4171" s="21">
        <f>IF(AND(C4171&lt;&gt;"", H4171&lt;&gt;""), HYPERLINK("#'" &amp; C4171 &amp; "'!" &amp; H4171, H4171), "")</f>
        <v>0</v>
      </c>
    </row>
    <row r="4172" spans="2:2">
      <c r="B4172" s="21">
        <f>IF(AND(C4172&lt;&gt;"", H4172&lt;&gt;""), HYPERLINK("#'" &amp; C4172 &amp; "'!" &amp; H4172, H4172), "")</f>
        <v>0</v>
      </c>
    </row>
    <row r="4173" spans="2:2">
      <c r="B4173" s="21">
        <f>IF(AND(C4173&lt;&gt;"", H4173&lt;&gt;""), HYPERLINK("#'" &amp; C4173 &amp; "'!" &amp; H4173, H4173), "")</f>
        <v>0</v>
      </c>
    </row>
    <row r="4174" spans="2:2">
      <c r="B4174" s="21">
        <f>IF(AND(C4174&lt;&gt;"", H4174&lt;&gt;""), HYPERLINK("#'" &amp; C4174 &amp; "'!" &amp; H4174, H4174), "")</f>
        <v>0</v>
      </c>
    </row>
    <row r="4175" spans="2:2">
      <c r="B4175" s="21">
        <f>IF(AND(C4175&lt;&gt;"", H4175&lt;&gt;""), HYPERLINK("#'" &amp; C4175 &amp; "'!" &amp; H4175, H4175), "")</f>
        <v>0</v>
      </c>
    </row>
    <row r="4176" spans="2:2">
      <c r="B4176" s="21">
        <f>IF(AND(C4176&lt;&gt;"", H4176&lt;&gt;""), HYPERLINK("#'" &amp; C4176 &amp; "'!" &amp; H4176, H4176), "")</f>
        <v>0</v>
      </c>
    </row>
    <row r="4177" spans="2:2">
      <c r="B4177" s="21">
        <f>IF(AND(C4177&lt;&gt;"", H4177&lt;&gt;""), HYPERLINK("#'" &amp; C4177 &amp; "'!" &amp; H4177, H4177), "")</f>
        <v>0</v>
      </c>
    </row>
    <row r="4178" spans="2:2">
      <c r="B4178" s="21">
        <f>IF(AND(C4178&lt;&gt;"", H4178&lt;&gt;""), HYPERLINK("#'" &amp; C4178 &amp; "'!" &amp; H4178, H4178), "")</f>
        <v>0</v>
      </c>
    </row>
    <row r="4179" spans="2:2">
      <c r="B4179" s="21">
        <f>IF(AND(C4179&lt;&gt;"", H4179&lt;&gt;""), HYPERLINK("#'" &amp; C4179 &amp; "'!" &amp; H4179, H4179), "")</f>
        <v>0</v>
      </c>
    </row>
    <row r="4180" spans="2:2">
      <c r="B4180" s="21">
        <f>IF(AND(C4180&lt;&gt;"", H4180&lt;&gt;""), HYPERLINK("#'" &amp; C4180 &amp; "'!" &amp; H4180, H4180), "")</f>
        <v>0</v>
      </c>
    </row>
    <row r="4181" spans="2:2">
      <c r="B4181" s="21">
        <f>IF(AND(C4181&lt;&gt;"", H4181&lt;&gt;""), HYPERLINK("#'" &amp; C4181 &amp; "'!" &amp; H4181, H4181), "")</f>
        <v>0</v>
      </c>
    </row>
    <row r="4182" spans="2:2">
      <c r="B4182" s="21">
        <f>IF(AND(C4182&lt;&gt;"", H4182&lt;&gt;""), HYPERLINK("#'" &amp; C4182 &amp; "'!" &amp; H4182, H4182), "")</f>
        <v>0</v>
      </c>
    </row>
    <row r="4183" spans="2:2">
      <c r="B4183" s="21">
        <f>IF(AND(C4183&lt;&gt;"", H4183&lt;&gt;""), HYPERLINK("#'" &amp; C4183 &amp; "'!" &amp; H4183, H4183), "")</f>
        <v>0</v>
      </c>
    </row>
    <row r="4184" spans="2:2">
      <c r="B4184" s="21">
        <f>IF(AND(C4184&lt;&gt;"", H4184&lt;&gt;""), HYPERLINK("#'" &amp; C4184 &amp; "'!" &amp; H4184, H4184), "")</f>
        <v>0</v>
      </c>
    </row>
    <row r="4185" spans="2:2">
      <c r="B4185" s="21">
        <f>IF(AND(C4185&lt;&gt;"", H4185&lt;&gt;""), HYPERLINK("#'" &amp; C4185 &amp; "'!" &amp; H4185, H4185), "")</f>
        <v>0</v>
      </c>
    </row>
    <row r="4186" spans="2:2">
      <c r="B4186" s="21">
        <f>IF(AND(C4186&lt;&gt;"", H4186&lt;&gt;""), HYPERLINK("#'" &amp; C4186 &amp; "'!" &amp; H4186, H4186), "")</f>
        <v>0</v>
      </c>
    </row>
    <row r="4187" spans="2:2">
      <c r="B4187" s="21">
        <f>IF(AND(C4187&lt;&gt;"", H4187&lt;&gt;""), HYPERLINK("#'" &amp; C4187 &amp; "'!" &amp; H4187, H4187), "")</f>
        <v>0</v>
      </c>
    </row>
    <row r="4188" spans="2:2">
      <c r="B4188" s="21">
        <f>IF(AND(C4188&lt;&gt;"", H4188&lt;&gt;""), HYPERLINK("#'" &amp; C4188 &amp; "'!" &amp; H4188, H4188), "")</f>
        <v>0</v>
      </c>
    </row>
    <row r="4189" spans="2:2">
      <c r="B4189" s="21">
        <f>IF(AND(C4189&lt;&gt;"", H4189&lt;&gt;""), HYPERLINK("#'" &amp; C4189 &amp; "'!" &amp; H4189, H4189), "")</f>
        <v>0</v>
      </c>
    </row>
    <row r="4190" spans="2:2">
      <c r="B4190" s="21">
        <f>IF(AND(C4190&lt;&gt;"", H4190&lt;&gt;""), HYPERLINK("#'" &amp; C4190 &amp; "'!" &amp; H4190, H4190), "")</f>
        <v>0</v>
      </c>
    </row>
    <row r="4191" spans="2:2">
      <c r="B4191" s="21">
        <f>IF(AND(C4191&lt;&gt;"", H4191&lt;&gt;""), HYPERLINK("#'" &amp; C4191 &amp; "'!" &amp; H4191, H4191), "")</f>
        <v>0</v>
      </c>
    </row>
    <row r="4192" spans="2:2">
      <c r="B4192" s="21">
        <f>IF(AND(C4192&lt;&gt;"", H4192&lt;&gt;""), HYPERLINK("#'" &amp; C4192 &amp; "'!" &amp; H4192, H4192), "")</f>
        <v>0</v>
      </c>
    </row>
    <row r="4193" spans="2:2">
      <c r="B4193" s="21">
        <f>IF(AND(C4193&lt;&gt;"", H4193&lt;&gt;""), HYPERLINK("#'" &amp; C4193 &amp; "'!" &amp; H4193, H4193), "")</f>
        <v>0</v>
      </c>
    </row>
    <row r="4194" spans="2:2">
      <c r="B4194" s="21">
        <f>IF(AND(C4194&lt;&gt;"", H4194&lt;&gt;""), HYPERLINK("#'" &amp; C4194 &amp; "'!" &amp; H4194, H4194), "")</f>
        <v>0</v>
      </c>
    </row>
    <row r="4195" spans="2:2">
      <c r="B4195" s="21">
        <f>IF(AND(C4195&lt;&gt;"", H4195&lt;&gt;""), HYPERLINK("#'" &amp; C4195 &amp; "'!" &amp; H4195, H4195), "")</f>
        <v>0</v>
      </c>
    </row>
    <row r="4196" spans="2:2">
      <c r="B4196" s="21">
        <f>IF(AND(C4196&lt;&gt;"", H4196&lt;&gt;""), HYPERLINK("#'" &amp; C4196 &amp; "'!" &amp; H4196, H4196), "")</f>
        <v>0</v>
      </c>
    </row>
    <row r="4197" spans="2:2">
      <c r="B4197" s="21">
        <f>IF(AND(C4197&lt;&gt;"", H4197&lt;&gt;""), HYPERLINK("#'" &amp; C4197 &amp; "'!" &amp; H4197, H4197), "")</f>
        <v>0</v>
      </c>
    </row>
    <row r="4198" spans="2:2">
      <c r="B4198" s="21">
        <f>IF(AND(C4198&lt;&gt;"", H4198&lt;&gt;""), HYPERLINK("#'" &amp; C4198 &amp; "'!" &amp; H4198, H4198), "")</f>
        <v>0</v>
      </c>
    </row>
    <row r="4199" spans="2:2">
      <c r="B4199" s="21">
        <f>IF(AND(C4199&lt;&gt;"", H4199&lt;&gt;""), HYPERLINK("#'" &amp; C4199 &amp; "'!" &amp; H4199, H4199), "")</f>
        <v>0</v>
      </c>
    </row>
    <row r="4200" spans="2:2">
      <c r="B4200" s="21">
        <f>IF(AND(C4200&lt;&gt;"", H4200&lt;&gt;""), HYPERLINK("#'" &amp; C4200 &amp; "'!" &amp; H4200, H4200), "")</f>
        <v>0</v>
      </c>
    </row>
    <row r="4201" spans="2:2">
      <c r="B4201" s="21">
        <f>IF(AND(C4201&lt;&gt;"", H4201&lt;&gt;""), HYPERLINK("#'" &amp; C4201 &amp; "'!" &amp; H4201, H4201), "")</f>
        <v>0</v>
      </c>
    </row>
    <row r="4202" spans="2:2">
      <c r="B4202" s="21">
        <f>IF(AND(C4202&lt;&gt;"", H4202&lt;&gt;""), HYPERLINK("#'" &amp; C4202 &amp; "'!" &amp; H4202, H4202), "")</f>
        <v>0</v>
      </c>
    </row>
    <row r="4203" spans="2:2">
      <c r="B4203" s="21">
        <f>IF(AND(C4203&lt;&gt;"", H4203&lt;&gt;""), HYPERLINK("#'" &amp; C4203 &amp; "'!" &amp; H4203, H4203), "")</f>
        <v>0</v>
      </c>
    </row>
    <row r="4204" spans="2:2">
      <c r="B4204" s="21">
        <f>IF(AND(C4204&lt;&gt;"", H4204&lt;&gt;""), HYPERLINK("#'" &amp; C4204 &amp; "'!" &amp; H4204, H4204), "")</f>
        <v>0</v>
      </c>
    </row>
    <row r="4205" spans="2:2">
      <c r="B4205" s="21">
        <f>IF(AND(C4205&lt;&gt;"", H4205&lt;&gt;""), HYPERLINK("#'" &amp; C4205 &amp; "'!" &amp; H4205, H4205), "")</f>
        <v>0</v>
      </c>
    </row>
    <row r="4206" spans="2:2">
      <c r="B4206" s="21">
        <f>IF(AND(C4206&lt;&gt;"", H4206&lt;&gt;""), HYPERLINK("#'" &amp; C4206 &amp; "'!" &amp; H4206, H4206), "")</f>
        <v>0</v>
      </c>
    </row>
    <row r="4207" spans="2:2">
      <c r="B4207" s="21">
        <f>IF(AND(C4207&lt;&gt;"", H4207&lt;&gt;""), HYPERLINK("#'" &amp; C4207 &amp; "'!" &amp; H4207, H4207), "")</f>
        <v>0</v>
      </c>
    </row>
    <row r="4208" spans="2:2">
      <c r="B4208" s="21">
        <f>IF(AND(C4208&lt;&gt;"", H4208&lt;&gt;""), HYPERLINK("#'" &amp; C4208 &amp; "'!" &amp; H4208, H4208), "")</f>
        <v>0</v>
      </c>
    </row>
    <row r="4209" spans="2:2">
      <c r="B4209" s="21">
        <f>IF(AND(C4209&lt;&gt;"", H4209&lt;&gt;""), HYPERLINK("#'" &amp; C4209 &amp; "'!" &amp; H4209, H4209), "")</f>
        <v>0</v>
      </c>
    </row>
    <row r="4210" spans="2:2">
      <c r="B4210" s="21">
        <f>IF(AND(C4210&lt;&gt;"", H4210&lt;&gt;""), HYPERLINK("#'" &amp; C4210 &amp; "'!" &amp; H4210, H4210), "")</f>
        <v>0</v>
      </c>
    </row>
    <row r="4211" spans="2:2">
      <c r="B4211" s="21">
        <f>IF(AND(C4211&lt;&gt;"", H4211&lt;&gt;""), HYPERLINK("#'" &amp; C4211 &amp; "'!" &amp; H4211, H4211), "")</f>
        <v>0</v>
      </c>
    </row>
    <row r="4212" spans="2:2">
      <c r="B4212" s="21">
        <f>IF(AND(C4212&lt;&gt;"", H4212&lt;&gt;""), HYPERLINK("#'" &amp; C4212 &amp; "'!" &amp; H4212, H4212), "")</f>
        <v>0</v>
      </c>
    </row>
    <row r="4213" spans="2:2">
      <c r="B4213" s="21">
        <f>IF(AND(C4213&lt;&gt;"", H4213&lt;&gt;""), HYPERLINK("#'" &amp; C4213 &amp; "'!" &amp; H4213, H4213), "")</f>
        <v>0</v>
      </c>
    </row>
    <row r="4214" spans="2:2">
      <c r="B4214" s="21">
        <f>IF(AND(C4214&lt;&gt;"", H4214&lt;&gt;""), HYPERLINK("#'" &amp; C4214 &amp; "'!" &amp; H4214, H4214), "")</f>
        <v>0</v>
      </c>
    </row>
    <row r="4215" spans="2:2">
      <c r="B4215" s="21">
        <f>IF(AND(C4215&lt;&gt;"", H4215&lt;&gt;""), HYPERLINK("#'" &amp; C4215 &amp; "'!" &amp; H4215, H4215), "")</f>
        <v>0</v>
      </c>
    </row>
    <row r="4216" spans="2:2">
      <c r="B4216" s="21">
        <f>IF(AND(C4216&lt;&gt;"", H4216&lt;&gt;""), HYPERLINK("#'" &amp; C4216 &amp; "'!" &amp; H4216, H4216), "")</f>
        <v>0</v>
      </c>
    </row>
    <row r="4217" spans="2:2">
      <c r="B4217" s="21">
        <f>IF(AND(C4217&lt;&gt;"", H4217&lt;&gt;""), HYPERLINK("#'" &amp; C4217 &amp; "'!" &amp; H4217, H4217), "")</f>
        <v>0</v>
      </c>
    </row>
    <row r="4218" spans="2:2">
      <c r="B4218" s="21">
        <f>IF(AND(C4218&lt;&gt;"", H4218&lt;&gt;""), HYPERLINK("#'" &amp; C4218 &amp; "'!" &amp; H4218, H4218), "")</f>
        <v>0</v>
      </c>
    </row>
    <row r="4219" spans="2:2">
      <c r="B4219" s="21">
        <f>IF(AND(C4219&lt;&gt;"", H4219&lt;&gt;""), HYPERLINK("#'" &amp; C4219 &amp; "'!" &amp; H4219, H4219), "")</f>
        <v>0</v>
      </c>
    </row>
    <row r="4220" spans="2:2">
      <c r="B4220" s="21">
        <f>IF(AND(C4220&lt;&gt;"", H4220&lt;&gt;""), HYPERLINK("#'" &amp; C4220 &amp; "'!" &amp; H4220, H4220), "")</f>
        <v>0</v>
      </c>
    </row>
    <row r="4221" spans="2:2">
      <c r="B4221" s="21">
        <f>IF(AND(C4221&lt;&gt;"", H4221&lt;&gt;""), HYPERLINK("#'" &amp; C4221 &amp; "'!" &amp; H4221, H4221), "")</f>
        <v>0</v>
      </c>
    </row>
    <row r="4222" spans="2:2">
      <c r="B4222" s="21">
        <f>IF(AND(C4222&lt;&gt;"", H4222&lt;&gt;""), HYPERLINK("#'" &amp; C4222 &amp; "'!" &amp; H4222, H4222), "")</f>
        <v>0</v>
      </c>
    </row>
    <row r="4223" spans="2:2">
      <c r="B4223" s="21">
        <f>IF(AND(C4223&lt;&gt;"", H4223&lt;&gt;""), HYPERLINK("#'" &amp; C4223 &amp; "'!" &amp; H4223, H4223), "")</f>
        <v>0</v>
      </c>
    </row>
    <row r="4224" spans="2:2">
      <c r="B4224" s="21">
        <f>IF(AND(C4224&lt;&gt;"", H4224&lt;&gt;""), HYPERLINK("#'" &amp; C4224 &amp; "'!" &amp; H4224, H4224), "")</f>
        <v>0</v>
      </c>
    </row>
    <row r="4225" spans="2:2">
      <c r="B4225" s="21">
        <f>IF(AND(C4225&lt;&gt;"", H4225&lt;&gt;""), HYPERLINK("#'" &amp; C4225 &amp; "'!" &amp; H4225, H4225), "")</f>
        <v>0</v>
      </c>
    </row>
    <row r="4226" spans="2:2">
      <c r="B4226" s="21">
        <f>IF(AND(C4226&lt;&gt;"", H4226&lt;&gt;""), HYPERLINK("#'" &amp; C4226 &amp; "'!" &amp; H4226, H4226), "")</f>
        <v>0</v>
      </c>
    </row>
    <row r="4227" spans="2:2">
      <c r="B4227" s="21">
        <f>IF(AND(C4227&lt;&gt;"", H4227&lt;&gt;""), HYPERLINK("#'" &amp; C4227 &amp; "'!" &amp; H4227, H4227), "")</f>
        <v>0</v>
      </c>
    </row>
    <row r="4228" spans="2:2">
      <c r="B4228" s="21">
        <f>IF(AND(C4228&lt;&gt;"", H4228&lt;&gt;""), HYPERLINK("#'" &amp; C4228 &amp; "'!" &amp; H4228, H4228), "")</f>
        <v>0</v>
      </c>
    </row>
    <row r="4229" spans="2:2">
      <c r="B4229" s="21">
        <f>IF(AND(C4229&lt;&gt;"", H4229&lt;&gt;""), HYPERLINK("#'" &amp; C4229 &amp; "'!" &amp; H4229, H4229), "")</f>
        <v>0</v>
      </c>
    </row>
    <row r="4230" spans="2:2">
      <c r="B4230" s="21">
        <f>IF(AND(C4230&lt;&gt;"", H4230&lt;&gt;""), HYPERLINK("#'" &amp; C4230 &amp; "'!" &amp; H4230, H4230), "")</f>
        <v>0</v>
      </c>
    </row>
    <row r="4231" spans="2:2">
      <c r="B4231" s="21">
        <f>IF(AND(C4231&lt;&gt;"", H4231&lt;&gt;""), HYPERLINK("#'" &amp; C4231 &amp; "'!" &amp; H4231, H4231), "")</f>
        <v>0</v>
      </c>
    </row>
    <row r="4232" spans="2:2">
      <c r="B4232" s="21">
        <f>IF(AND(C4232&lt;&gt;"", H4232&lt;&gt;""), HYPERLINK("#'" &amp; C4232 &amp; "'!" &amp; H4232, H4232), "")</f>
        <v>0</v>
      </c>
    </row>
    <row r="4233" spans="2:2">
      <c r="B4233" s="21">
        <f>IF(AND(C4233&lt;&gt;"", H4233&lt;&gt;""), HYPERLINK("#'" &amp; C4233 &amp; "'!" &amp; H4233, H4233), "")</f>
        <v>0</v>
      </c>
    </row>
    <row r="4234" spans="2:2">
      <c r="B4234" s="21">
        <f>IF(AND(C4234&lt;&gt;"", H4234&lt;&gt;""), HYPERLINK("#'" &amp; C4234 &amp; "'!" &amp; H4234, H4234), "")</f>
        <v>0</v>
      </c>
    </row>
    <row r="4235" spans="2:2">
      <c r="B4235" s="21">
        <f>IF(AND(C4235&lt;&gt;"", H4235&lt;&gt;""), HYPERLINK("#'" &amp; C4235 &amp; "'!" &amp; H4235, H4235), "")</f>
        <v>0</v>
      </c>
    </row>
    <row r="4236" spans="2:2">
      <c r="B4236" s="21">
        <f>IF(AND(C4236&lt;&gt;"", H4236&lt;&gt;""), HYPERLINK("#'" &amp; C4236 &amp; "'!" &amp; H4236, H4236), "")</f>
        <v>0</v>
      </c>
    </row>
    <row r="4237" spans="2:2">
      <c r="B4237" s="21">
        <f>IF(AND(C4237&lt;&gt;"", H4237&lt;&gt;""), HYPERLINK("#'" &amp; C4237 &amp; "'!" &amp; H4237, H4237), "")</f>
        <v>0</v>
      </c>
    </row>
    <row r="4238" spans="2:2">
      <c r="B4238" s="21">
        <f>IF(AND(C4238&lt;&gt;"", H4238&lt;&gt;""), HYPERLINK("#'" &amp; C4238 &amp; "'!" &amp; H4238, H4238), "")</f>
        <v>0</v>
      </c>
    </row>
    <row r="4239" spans="2:2">
      <c r="B4239" s="21">
        <f>IF(AND(C4239&lt;&gt;"", H4239&lt;&gt;""), HYPERLINK("#'" &amp; C4239 &amp; "'!" &amp; H4239, H4239), "")</f>
        <v>0</v>
      </c>
    </row>
    <row r="4240" spans="2:2">
      <c r="B4240" s="21">
        <f>IF(AND(C4240&lt;&gt;"", H4240&lt;&gt;""), HYPERLINK("#'" &amp; C4240 &amp; "'!" &amp; H4240, H4240), "")</f>
        <v>0</v>
      </c>
    </row>
    <row r="4241" spans="2:2">
      <c r="B4241" s="21">
        <f>IF(AND(C4241&lt;&gt;"", H4241&lt;&gt;""), HYPERLINK("#'" &amp; C4241 &amp; "'!" &amp; H4241, H4241), "")</f>
        <v>0</v>
      </c>
    </row>
    <row r="4242" spans="2:2">
      <c r="B4242" s="21">
        <f>IF(AND(C4242&lt;&gt;"", H4242&lt;&gt;""), HYPERLINK("#'" &amp; C4242 &amp; "'!" &amp; H4242, H4242), "")</f>
        <v>0</v>
      </c>
    </row>
    <row r="4243" spans="2:2">
      <c r="B4243" s="21">
        <f>IF(AND(C4243&lt;&gt;"", H4243&lt;&gt;""), HYPERLINK("#'" &amp; C4243 &amp; "'!" &amp; H4243, H4243), "")</f>
        <v>0</v>
      </c>
    </row>
    <row r="4244" spans="2:2">
      <c r="B4244" s="21">
        <f>IF(AND(C4244&lt;&gt;"", H4244&lt;&gt;""), HYPERLINK("#'" &amp; C4244 &amp; "'!" &amp; H4244, H4244), "")</f>
        <v>0</v>
      </c>
    </row>
    <row r="4245" spans="2:2">
      <c r="B4245" s="21">
        <f>IF(AND(C4245&lt;&gt;"", H4245&lt;&gt;""), HYPERLINK("#'" &amp; C4245 &amp; "'!" &amp; H4245, H4245), "")</f>
        <v>0</v>
      </c>
    </row>
    <row r="4246" spans="2:2">
      <c r="B4246" s="21">
        <f>IF(AND(C4246&lt;&gt;"", H4246&lt;&gt;""), HYPERLINK("#'" &amp; C4246 &amp; "'!" &amp; H4246, H4246), "")</f>
        <v>0</v>
      </c>
    </row>
    <row r="4247" spans="2:2">
      <c r="B4247" s="21">
        <f>IF(AND(C4247&lt;&gt;"", H4247&lt;&gt;""), HYPERLINK("#'" &amp; C4247 &amp; "'!" &amp; H4247, H4247), "")</f>
        <v>0</v>
      </c>
    </row>
    <row r="4248" spans="2:2">
      <c r="B4248" s="21">
        <f>IF(AND(C4248&lt;&gt;"", H4248&lt;&gt;""), HYPERLINK("#'" &amp; C4248 &amp; "'!" &amp; H4248, H4248), "")</f>
        <v>0</v>
      </c>
    </row>
    <row r="4249" spans="2:2">
      <c r="B4249" s="21">
        <f>IF(AND(C4249&lt;&gt;"", H4249&lt;&gt;""), HYPERLINK("#'" &amp; C4249 &amp; "'!" &amp; H4249, H4249), "")</f>
        <v>0</v>
      </c>
    </row>
    <row r="4250" spans="2:2">
      <c r="B4250" s="21">
        <f>IF(AND(C4250&lt;&gt;"", H4250&lt;&gt;""), HYPERLINK("#'" &amp; C4250 &amp; "'!" &amp; H4250, H4250), "")</f>
        <v>0</v>
      </c>
    </row>
    <row r="4251" spans="2:2">
      <c r="B4251" s="21">
        <f>IF(AND(C4251&lt;&gt;"", H4251&lt;&gt;""), HYPERLINK("#'" &amp; C4251 &amp; "'!" &amp; H4251, H4251), "")</f>
        <v>0</v>
      </c>
    </row>
    <row r="4252" spans="2:2">
      <c r="B4252" s="21">
        <f>IF(AND(C4252&lt;&gt;"", H4252&lt;&gt;""), HYPERLINK("#'" &amp; C4252 &amp; "'!" &amp; H4252, H4252), "")</f>
        <v>0</v>
      </c>
    </row>
    <row r="4253" spans="2:2">
      <c r="B4253" s="21">
        <f>IF(AND(C4253&lt;&gt;"", H4253&lt;&gt;""), HYPERLINK("#'" &amp; C4253 &amp; "'!" &amp; H4253, H4253), "")</f>
        <v>0</v>
      </c>
    </row>
    <row r="4254" spans="2:2">
      <c r="B4254" s="21">
        <f>IF(AND(C4254&lt;&gt;"", H4254&lt;&gt;""), HYPERLINK("#'" &amp; C4254 &amp; "'!" &amp; H4254, H4254), "")</f>
        <v>0</v>
      </c>
    </row>
    <row r="4255" spans="2:2">
      <c r="B4255" s="21">
        <f>IF(AND(C4255&lt;&gt;"", H4255&lt;&gt;""), HYPERLINK("#'" &amp; C4255 &amp; "'!" &amp; H4255, H4255), "")</f>
        <v>0</v>
      </c>
    </row>
    <row r="4256" spans="2:2">
      <c r="B4256" s="21">
        <f>IF(AND(C4256&lt;&gt;"", H4256&lt;&gt;""), HYPERLINK("#'" &amp; C4256 &amp; "'!" &amp; H4256, H4256), "")</f>
        <v>0</v>
      </c>
    </row>
    <row r="4257" spans="2:2">
      <c r="B4257" s="21">
        <f>IF(AND(C4257&lt;&gt;"", H4257&lt;&gt;""), HYPERLINK("#'" &amp; C4257 &amp; "'!" &amp; H4257, H4257), "")</f>
        <v>0</v>
      </c>
    </row>
    <row r="4258" spans="2:2">
      <c r="B4258" s="21">
        <f>IF(AND(C4258&lt;&gt;"", H4258&lt;&gt;""), HYPERLINK("#'" &amp; C4258 &amp; "'!" &amp; H4258, H4258), "")</f>
        <v>0</v>
      </c>
    </row>
    <row r="4259" spans="2:2">
      <c r="B4259" s="21">
        <f>IF(AND(C4259&lt;&gt;"", H4259&lt;&gt;""), HYPERLINK("#'" &amp; C4259 &amp; "'!" &amp; H4259, H4259), "")</f>
        <v>0</v>
      </c>
    </row>
    <row r="4260" spans="2:2">
      <c r="B4260" s="21">
        <f>IF(AND(C4260&lt;&gt;"", H4260&lt;&gt;""), HYPERLINK("#'" &amp; C4260 &amp; "'!" &amp; H4260, H4260), "")</f>
        <v>0</v>
      </c>
    </row>
    <row r="4261" spans="2:2">
      <c r="B4261" s="21">
        <f>IF(AND(C4261&lt;&gt;"", H4261&lt;&gt;""), HYPERLINK("#'" &amp; C4261 &amp; "'!" &amp; H4261, H4261), "")</f>
        <v>0</v>
      </c>
    </row>
    <row r="4262" spans="2:2">
      <c r="B4262" s="21">
        <f>IF(AND(C4262&lt;&gt;"", H4262&lt;&gt;""), HYPERLINK("#'" &amp; C4262 &amp; "'!" &amp; H4262, H4262), "")</f>
        <v>0</v>
      </c>
    </row>
    <row r="4263" spans="2:2">
      <c r="B4263" s="21">
        <f>IF(AND(C4263&lt;&gt;"", H4263&lt;&gt;""), HYPERLINK("#'" &amp; C4263 &amp; "'!" &amp; H4263, H4263), "")</f>
        <v>0</v>
      </c>
    </row>
    <row r="4264" spans="2:2">
      <c r="B4264" s="21">
        <f>IF(AND(C4264&lt;&gt;"", H4264&lt;&gt;""), HYPERLINK("#'" &amp; C4264 &amp; "'!" &amp; H4264, H4264), "")</f>
        <v>0</v>
      </c>
    </row>
    <row r="4265" spans="2:2">
      <c r="B4265" s="21">
        <f>IF(AND(C4265&lt;&gt;"", H4265&lt;&gt;""), HYPERLINK("#'" &amp; C4265 &amp; "'!" &amp; H4265, H4265), "")</f>
        <v>0</v>
      </c>
    </row>
    <row r="4266" spans="2:2">
      <c r="B4266" s="21">
        <f>IF(AND(C4266&lt;&gt;"", H4266&lt;&gt;""), HYPERLINK("#'" &amp; C4266 &amp; "'!" &amp; H4266, H4266), "")</f>
        <v>0</v>
      </c>
    </row>
    <row r="4267" spans="2:2">
      <c r="B4267" s="21">
        <f>IF(AND(C4267&lt;&gt;"", H4267&lt;&gt;""), HYPERLINK("#'" &amp; C4267 &amp; "'!" &amp; H4267, H4267), "")</f>
        <v>0</v>
      </c>
    </row>
    <row r="4268" spans="2:2">
      <c r="B4268" s="21">
        <f>IF(AND(C4268&lt;&gt;"", H4268&lt;&gt;""), HYPERLINK("#'" &amp; C4268 &amp; "'!" &amp; H4268, H4268), "")</f>
        <v>0</v>
      </c>
    </row>
    <row r="4269" spans="2:2">
      <c r="B4269" s="21">
        <f>IF(AND(C4269&lt;&gt;"", H4269&lt;&gt;""), HYPERLINK("#'" &amp; C4269 &amp; "'!" &amp; H4269, H4269), "")</f>
        <v>0</v>
      </c>
    </row>
    <row r="4270" spans="2:2">
      <c r="B4270" s="21">
        <f>IF(AND(C4270&lt;&gt;"", H4270&lt;&gt;""), HYPERLINK("#'" &amp; C4270 &amp; "'!" &amp; H4270, H4270), "")</f>
        <v>0</v>
      </c>
    </row>
    <row r="4271" spans="2:2">
      <c r="B4271" s="21">
        <f>IF(AND(C4271&lt;&gt;"", H4271&lt;&gt;""), HYPERLINK("#'" &amp; C4271 &amp; "'!" &amp; H4271, H4271), "")</f>
        <v>0</v>
      </c>
    </row>
    <row r="4272" spans="2:2">
      <c r="B4272" s="21">
        <f>IF(AND(C4272&lt;&gt;"", H4272&lt;&gt;""), HYPERLINK("#'" &amp; C4272 &amp; "'!" &amp; H4272, H4272), "")</f>
        <v>0</v>
      </c>
    </row>
    <row r="4273" spans="2:2">
      <c r="B4273" s="21">
        <f>IF(AND(C4273&lt;&gt;"", H4273&lt;&gt;""), HYPERLINK("#'" &amp; C4273 &amp; "'!" &amp; H4273, H4273), "")</f>
        <v>0</v>
      </c>
    </row>
    <row r="4274" spans="2:2">
      <c r="B4274" s="21">
        <f>IF(AND(C4274&lt;&gt;"", H4274&lt;&gt;""), HYPERLINK("#'" &amp; C4274 &amp; "'!" &amp; H4274, H4274), "")</f>
        <v>0</v>
      </c>
    </row>
    <row r="4275" spans="2:2">
      <c r="B4275" s="21">
        <f>IF(AND(C4275&lt;&gt;"", H4275&lt;&gt;""), HYPERLINK("#'" &amp; C4275 &amp; "'!" &amp; H4275, H4275), "")</f>
        <v>0</v>
      </c>
    </row>
    <row r="4276" spans="2:2">
      <c r="B4276" s="21">
        <f>IF(AND(C4276&lt;&gt;"", H4276&lt;&gt;""), HYPERLINK("#'" &amp; C4276 &amp; "'!" &amp; H4276, H4276), "")</f>
        <v>0</v>
      </c>
    </row>
    <row r="4277" spans="2:2">
      <c r="B4277" s="21">
        <f>IF(AND(C4277&lt;&gt;"", H4277&lt;&gt;""), HYPERLINK("#'" &amp; C4277 &amp; "'!" &amp; H4277, H4277), "")</f>
        <v>0</v>
      </c>
    </row>
    <row r="4278" spans="2:2">
      <c r="B4278" s="21">
        <f>IF(AND(C4278&lt;&gt;"", H4278&lt;&gt;""), HYPERLINK("#'" &amp; C4278 &amp; "'!" &amp; H4278, H4278), "")</f>
        <v>0</v>
      </c>
    </row>
    <row r="4279" spans="2:2">
      <c r="B4279" s="21">
        <f>IF(AND(C4279&lt;&gt;"", H4279&lt;&gt;""), HYPERLINK("#'" &amp; C4279 &amp; "'!" &amp; H4279, H4279), "")</f>
        <v>0</v>
      </c>
    </row>
    <row r="4280" spans="2:2">
      <c r="B4280" s="21">
        <f>IF(AND(C4280&lt;&gt;"", H4280&lt;&gt;""), HYPERLINK("#'" &amp; C4280 &amp; "'!" &amp; H4280, H4280), "")</f>
        <v>0</v>
      </c>
    </row>
    <row r="4281" spans="2:2">
      <c r="B4281" s="21">
        <f>IF(AND(C4281&lt;&gt;"", H4281&lt;&gt;""), HYPERLINK("#'" &amp; C4281 &amp; "'!" &amp; H4281, H4281), "")</f>
        <v>0</v>
      </c>
    </row>
    <row r="4282" spans="2:2">
      <c r="B4282" s="21">
        <f>IF(AND(C4282&lt;&gt;"", H4282&lt;&gt;""), HYPERLINK("#'" &amp; C4282 &amp; "'!" &amp; H4282, H4282), "")</f>
        <v>0</v>
      </c>
    </row>
    <row r="4283" spans="2:2">
      <c r="B4283" s="21">
        <f>IF(AND(C4283&lt;&gt;"", H4283&lt;&gt;""), HYPERLINK("#'" &amp; C4283 &amp; "'!" &amp; H4283, H4283), "")</f>
        <v>0</v>
      </c>
    </row>
    <row r="4284" spans="2:2">
      <c r="B4284" s="21">
        <f>IF(AND(C4284&lt;&gt;"", H4284&lt;&gt;""), HYPERLINK("#'" &amp; C4284 &amp; "'!" &amp; H4284, H4284), "")</f>
        <v>0</v>
      </c>
    </row>
    <row r="4285" spans="2:2">
      <c r="B4285" s="21">
        <f>IF(AND(C4285&lt;&gt;"", H4285&lt;&gt;""), HYPERLINK("#'" &amp; C4285 &amp; "'!" &amp; H4285, H4285), "")</f>
        <v>0</v>
      </c>
    </row>
    <row r="4286" spans="2:2">
      <c r="B4286" s="21">
        <f>IF(AND(C4286&lt;&gt;"", H4286&lt;&gt;""), HYPERLINK("#'" &amp; C4286 &amp; "'!" &amp; H4286, H4286), "")</f>
        <v>0</v>
      </c>
    </row>
    <row r="4287" spans="2:2">
      <c r="B4287" s="21">
        <f>IF(AND(C4287&lt;&gt;"", H4287&lt;&gt;""), HYPERLINK("#'" &amp; C4287 &amp; "'!" &amp; H4287, H4287), "")</f>
        <v>0</v>
      </c>
    </row>
    <row r="4288" spans="2:2">
      <c r="B4288" s="21">
        <f>IF(AND(C4288&lt;&gt;"", H4288&lt;&gt;""), HYPERLINK("#'" &amp; C4288 &amp; "'!" &amp; H4288, H4288), "")</f>
        <v>0</v>
      </c>
    </row>
    <row r="4289" spans="2:2">
      <c r="B4289" s="21">
        <f>IF(AND(C4289&lt;&gt;"", H4289&lt;&gt;""), HYPERLINK("#'" &amp; C4289 &amp; "'!" &amp; H4289, H4289), "")</f>
        <v>0</v>
      </c>
    </row>
    <row r="4290" spans="2:2">
      <c r="B4290" s="21">
        <f>IF(AND(C4290&lt;&gt;"", H4290&lt;&gt;""), HYPERLINK("#'" &amp; C4290 &amp; "'!" &amp; H4290, H4290), "")</f>
        <v>0</v>
      </c>
    </row>
    <row r="4291" spans="2:2">
      <c r="B4291" s="21">
        <f>IF(AND(C4291&lt;&gt;"", H4291&lt;&gt;""), HYPERLINK("#'" &amp; C4291 &amp; "'!" &amp; H4291, H4291), "")</f>
        <v>0</v>
      </c>
    </row>
    <row r="4292" spans="2:2">
      <c r="B4292" s="21">
        <f>IF(AND(C4292&lt;&gt;"", H4292&lt;&gt;""), HYPERLINK("#'" &amp; C4292 &amp; "'!" &amp; H4292, H4292), "")</f>
        <v>0</v>
      </c>
    </row>
    <row r="4293" spans="2:2">
      <c r="B4293" s="21">
        <f>IF(AND(C4293&lt;&gt;"", H4293&lt;&gt;""), HYPERLINK("#'" &amp; C4293 &amp; "'!" &amp; H4293, H4293), "")</f>
        <v>0</v>
      </c>
    </row>
    <row r="4294" spans="2:2">
      <c r="B4294" s="21">
        <f>IF(AND(C4294&lt;&gt;"", H4294&lt;&gt;""), HYPERLINK("#'" &amp; C4294 &amp; "'!" &amp; H4294, H4294), "")</f>
        <v>0</v>
      </c>
    </row>
    <row r="4295" spans="2:2">
      <c r="B4295" s="21">
        <f>IF(AND(C4295&lt;&gt;"", H4295&lt;&gt;""), HYPERLINK("#'" &amp; C4295 &amp; "'!" &amp; H4295, H4295), "")</f>
        <v>0</v>
      </c>
    </row>
    <row r="4296" spans="2:2">
      <c r="B4296" s="21">
        <f>IF(AND(C4296&lt;&gt;"", H4296&lt;&gt;""), HYPERLINK("#'" &amp; C4296 &amp; "'!" &amp; H4296, H4296), "")</f>
        <v>0</v>
      </c>
    </row>
    <row r="4297" spans="2:2">
      <c r="B4297" s="21">
        <f>IF(AND(C4297&lt;&gt;"", H4297&lt;&gt;""), HYPERLINK("#'" &amp; C4297 &amp; "'!" &amp; H4297, H4297), "")</f>
        <v>0</v>
      </c>
    </row>
    <row r="4298" spans="2:2">
      <c r="B4298" s="21">
        <f>IF(AND(C4298&lt;&gt;"", H4298&lt;&gt;""), HYPERLINK("#'" &amp; C4298 &amp; "'!" &amp; H4298, H4298), "")</f>
        <v>0</v>
      </c>
    </row>
    <row r="4299" spans="2:2">
      <c r="B4299" s="21">
        <f>IF(AND(C4299&lt;&gt;"", H4299&lt;&gt;""), HYPERLINK("#'" &amp; C4299 &amp; "'!" &amp; H4299, H4299), "")</f>
        <v>0</v>
      </c>
    </row>
    <row r="4300" spans="2:2">
      <c r="B4300" s="21">
        <f>IF(AND(C4300&lt;&gt;"", H4300&lt;&gt;""), HYPERLINK("#'" &amp; C4300 &amp; "'!" &amp; H4300, H4300), "")</f>
        <v>0</v>
      </c>
    </row>
    <row r="4301" spans="2:2">
      <c r="B4301" s="21">
        <f>IF(AND(C4301&lt;&gt;"", H4301&lt;&gt;""), HYPERLINK("#'" &amp; C4301 &amp; "'!" &amp; H4301, H4301), "")</f>
        <v>0</v>
      </c>
    </row>
    <row r="4302" spans="2:2">
      <c r="B4302" s="21">
        <f>IF(AND(C4302&lt;&gt;"", H4302&lt;&gt;""), HYPERLINK("#'" &amp; C4302 &amp; "'!" &amp; H4302, H4302), "")</f>
        <v>0</v>
      </c>
    </row>
    <row r="4303" spans="2:2">
      <c r="B4303" s="21">
        <f>IF(AND(C4303&lt;&gt;"", H4303&lt;&gt;""), HYPERLINK("#'" &amp; C4303 &amp; "'!" &amp; H4303, H4303), "")</f>
        <v>0</v>
      </c>
    </row>
    <row r="4304" spans="2:2">
      <c r="B4304" s="21">
        <f>IF(AND(C4304&lt;&gt;"", H4304&lt;&gt;""), HYPERLINK("#'" &amp; C4304 &amp; "'!" &amp; H4304, H4304), "")</f>
        <v>0</v>
      </c>
    </row>
    <row r="4305" spans="2:2">
      <c r="B4305" s="21">
        <f>IF(AND(C4305&lt;&gt;"", H4305&lt;&gt;""), HYPERLINK("#'" &amp; C4305 &amp; "'!" &amp; H4305, H4305), "")</f>
        <v>0</v>
      </c>
    </row>
    <row r="4306" spans="2:2">
      <c r="B4306" s="21">
        <f>IF(AND(C4306&lt;&gt;"", H4306&lt;&gt;""), HYPERLINK("#'" &amp; C4306 &amp; "'!" &amp; H4306, H4306), "")</f>
        <v>0</v>
      </c>
    </row>
    <row r="4307" spans="2:2">
      <c r="B4307" s="21">
        <f>IF(AND(C4307&lt;&gt;"", H4307&lt;&gt;""), HYPERLINK("#'" &amp; C4307 &amp; "'!" &amp; H4307, H4307), "")</f>
        <v>0</v>
      </c>
    </row>
    <row r="4308" spans="2:2">
      <c r="B4308" s="21">
        <f>IF(AND(C4308&lt;&gt;"", H4308&lt;&gt;""), HYPERLINK("#'" &amp; C4308 &amp; "'!" &amp; H4308, H4308), "")</f>
        <v>0</v>
      </c>
    </row>
    <row r="4309" spans="2:2">
      <c r="B4309" s="21">
        <f>IF(AND(C4309&lt;&gt;"", H4309&lt;&gt;""), HYPERLINK("#'" &amp; C4309 &amp; "'!" &amp; H4309, H4309), "")</f>
        <v>0</v>
      </c>
    </row>
    <row r="4310" spans="2:2">
      <c r="B4310" s="21">
        <f>IF(AND(C4310&lt;&gt;"", H4310&lt;&gt;""), HYPERLINK("#'" &amp; C4310 &amp; "'!" &amp; H4310, H4310), "")</f>
        <v>0</v>
      </c>
    </row>
    <row r="4311" spans="2:2">
      <c r="B4311" s="21">
        <f>IF(AND(C4311&lt;&gt;"", H4311&lt;&gt;""), HYPERLINK("#'" &amp; C4311 &amp; "'!" &amp; H4311, H4311), "")</f>
        <v>0</v>
      </c>
    </row>
    <row r="4312" spans="2:2">
      <c r="B4312" s="21">
        <f>IF(AND(C4312&lt;&gt;"", H4312&lt;&gt;""), HYPERLINK("#'" &amp; C4312 &amp; "'!" &amp; H4312, H4312), "")</f>
        <v>0</v>
      </c>
    </row>
    <row r="4313" spans="2:2">
      <c r="B4313" s="21">
        <f>IF(AND(C4313&lt;&gt;"", H4313&lt;&gt;""), HYPERLINK("#'" &amp; C4313 &amp; "'!" &amp; H4313, H4313), "")</f>
        <v>0</v>
      </c>
    </row>
    <row r="4314" spans="2:2">
      <c r="B4314" s="21">
        <f>IF(AND(C4314&lt;&gt;"", H4314&lt;&gt;""), HYPERLINK("#'" &amp; C4314 &amp; "'!" &amp; H4314, H4314), "")</f>
        <v>0</v>
      </c>
    </row>
    <row r="4315" spans="2:2">
      <c r="B4315" s="21">
        <f>IF(AND(C4315&lt;&gt;"", H4315&lt;&gt;""), HYPERLINK("#'" &amp; C4315 &amp; "'!" &amp; H4315, H4315), "")</f>
        <v>0</v>
      </c>
    </row>
    <row r="4316" spans="2:2">
      <c r="B4316" s="21">
        <f>IF(AND(C4316&lt;&gt;"", H4316&lt;&gt;""), HYPERLINK("#'" &amp; C4316 &amp; "'!" &amp; H4316, H4316), "")</f>
        <v>0</v>
      </c>
    </row>
    <row r="4317" spans="2:2">
      <c r="B4317" s="21">
        <f>IF(AND(C4317&lt;&gt;"", H4317&lt;&gt;""), HYPERLINK("#'" &amp; C4317 &amp; "'!" &amp; H4317, H4317), "")</f>
        <v>0</v>
      </c>
    </row>
    <row r="4318" spans="2:2">
      <c r="B4318" s="21">
        <f>IF(AND(C4318&lt;&gt;"", H4318&lt;&gt;""), HYPERLINK("#'" &amp; C4318 &amp; "'!" &amp; H4318, H4318), "")</f>
        <v>0</v>
      </c>
    </row>
    <row r="4319" spans="2:2">
      <c r="B4319" s="21">
        <f>IF(AND(C4319&lt;&gt;"", H4319&lt;&gt;""), HYPERLINK("#'" &amp; C4319 &amp; "'!" &amp; H4319, H4319), "")</f>
        <v>0</v>
      </c>
    </row>
    <row r="4320" spans="2:2">
      <c r="B4320" s="21">
        <f>IF(AND(C4320&lt;&gt;"", H4320&lt;&gt;""), HYPERLINK("#'" &amp; C4320 &amp; "'!" &amp; H4320, H4320), "")</f>
        <v>0</v>
      </c>
    </row>
    <row r="4321" spans="2:2">
      <c r="B4321" s="21">
        <f>IF(AND(C4321&lt;&gt;"", H4321&lt;&gt;""), HYPERLINK("#'" &amp; C4321 &amp; "'!" &amp; H4321, H4321), "")</f>
        <v>0</v>
      </c>
    </row>
    <row r="4322" spans="2:2">
      <c r="B4322" s="21">
        <f>IF(AND(C4322&lt;&gt;"", H4322&lt;&gt;""), HYPERLINK("#'" &amp; C4322 &amp; "'!" &amp; H4322, H4322), "")</f>
        <v>0</v>
      </c>
    </row>
    <row r="4323" spans="2:2">
      <c r="B4323" s="21">
        <f>IF(AND(C4323&lt;&gt;"", H4323&lt;&gt;""), HYPERLINK("#'" &amp; C4323 &amp; "'!" &amp; H4323, H4323), "")</f>
        <v>0</v>
      </c>
    </row>
    <row r="4324" spans="2:2">
      <c r="B4324" s="21">
        <f>IF(AND(C4324&lt;&gt;"", H4324&lt;&gt;""), HYPERLINK("#'" &amp; C4324 &amp; "'!" &amp; H4324, H4324), "")</f>
        <v>0</v>
      </c>
    </row>
    <row r="4325" spans="2:2">
      <c r="B4325" s="21">
        <f>IF(AND(C4325&lt;&gt;"", H4325&lt;&gt;""), HYPERLINK("#'" &amp; C4325 &amp; "'!" &amp; H4325, H4325), "")</f>
        <v>0</v>
      </c>
    </row>
    <row r="4326" spans="2:2">
      <c r="B4326" s="21">
        <f>IF(AND(C4326&lt;&gt;"", H4326&lt;&gt;""), HYPERLINK("#'" &amp; C4326 &amp; "'!" &amp; H4326, H4326), "")</f>
        <v>0</v>
      </c>
    </row>
    <row r="4327" spans="2:2">
      <c r="B4327" s="21">
        <f>IF(AND(C4327&lt;&gt;"", H4327&lt;&gt;""), HYPERLINK("#'" &amp; C4327 &amp; "'!" &amp; H4327, H4327), "")</f>
        <v>0</v>
      </c>
    </row>
    <row r="4328" spans="2:2">
      <c r="B4328" s="21">
        <f>IF(AND(C4328&lt;&gt;"", H4328&lt;&gt;""), HYPERLINK("#'" &amp; C4328 &amp; "'!" &amp; H4328, H4328), "")</f>
        <v>0</v>
      </c>
    </row>
    <row r="4329" spans="2:2">
      <c r="B4329" s="21">
        <f>IF(AND(C4329&lt;&gt;"", H4329&lt;&gt;""), HYPERLINK("#'" &amp; C4329 &amp; "'!" &amp; H4329, H4329), "")</f>
        <v>0</v>
      </c>
    </row>
    <row r="4330" spans="2:2">
      <c r="B4330" s="21">
        <f>IF(AND(C4330&lt;&gt;"", H4330&lt;&gt;""), HYPERLINK("#'" &amp; C4330 &amp; "'!" &amp; H4330, H4330), "")</f>
        <v>0</v>
      </c>
    </row>
    <row r="4331" spans="2:2">
      <c r="B4331" s="21">
        <f>IF(AND(C4331&lt;&gt;"", H4331&lt;&gt;""), HYPERLINK("#'" &amp; C4331 &amp; "'!" &amp; H4331, H4331), "")</f>
        <v>0</v>
      </c>
    </row>
    <row r="4332" spans="2:2">
      <c r="B4332" s="21">
        <f>IF(AND(C4332&lt;&gt;"", H4332&lt;&gt;""), HYPERLINK("#'" &amp; C4332 &amp; "'!" &amp; H4332, H4332), "")</f>
        <v>0</v>
      </c>
    </row>
    <row r="4333" spans="2:2">
      <c r="B4333" s="21">
        <f>IF(AND(C4333&lt;&gt;"", H4333&lt;&gt;""), HYPERLINK("#'" &amp; C4333 &amp; "'!" &amp; H4333, H4333), "")</f>
        <v>0</v>
      </c>
    </row>
    <row r="4334" spans="2:2">
      <c r="B4334" s="21">
        <f>IF(AND(C4334&lt;&gt;"", H4334&lt;&gt;""), HYPERLINK("#'" &amp; C4334 &amp; "'!" &amp; H4334, H4334), "")</f>
        <v>0</v>
      </c>
    </row>
    <row r="4335" spans="2:2">
      <c r="B4335" s="21">
        <f>IF(AND(C4335&lt;&gt;"", H4335&lt;&gt;""), HYPERLINK("#'" &amp; C4335 &amp; "'!" &amp; H4335, H4335), "")</f>
        <v>0</v>
      </c>
    </row>
    <row r="4336" spans="2:2">
      <c r="B4336" s="21">
        <f>IF(AND(C4336&lt;&gt;"", H4336&lt;&gt;""), HYPERLINK("#'" &amp; C4336 &amp; "'!" &amp; H4336, H4336), "")</f>
        <v>0</v>
      </c>
    </row>
    <row r="4337" spans="2:2">
      <c r="B4337" s="21">
        <f>IF(AND(C4337&lt;&gt;"", H4337&lt;&gt;""), HYPERLINK("#'" &amp; C4337 &amp; "'!" &amp; H4337, H4337), "")</f>
        <v>0</v>
      </c>
    </row>
    <row r="4338" spans="2:2">
      <c r="B4338" s="21">
        <f>IF(AND(C4338&lt;&gt;"", H4338&lt;&gt;""), HYPERLINK("#'" &amp; C4338 &amp; "'!" &amp; H4338, H4338), "")</f>
        <v>0</v>
      </c>
    </row>
    <row r="4339" spans="2:2">
      <c r="B4339" s="21">
        <f>IF(AND(C4339&lt;&gt;"", H4339&lt;&gt;""), HYPERLINK("#'" &amp; C4339 &amp; "'!" &amp; H4339, H4339), "")</f>
        <v>0</v>
      </c>
    </row>
    <row r="4340" spans="2:2">
      <c r="B4340" s="21">
        <f>IF(AND(C4340&lt;&gt;"", H4340&lt;&gt;""), HYPERLINK("#'" &amp; C4340 &amp; "'!" &amp; H4340, H4340), "")</f>
        <v>0</v>
      </c>
    </row>
    <row r="4341" spans="2:2">
      <c r="B4341" s="21">
        <f>IF(AND(C4341&lt;&gt;"", H4341&lt;&gt;""), HYPERLINK("#'" &amp; C4341 &amp; "'!" &amp; H4341, H4341), "")</f>
        <v>0</v>
      </c>
    </row>
    <row r="4342" spans="2:2">
      <c r="B4342" s="21">
        <f>IF(AND(C4342&lt;&gt;"", H4342&lt;&gt;""), HYPERLINK("#'" &amp; C4342 &amp; "'!" &amp; H4342, H4342), "")</f>
        <v>0</v>
      </c>
    </row>
    <row r="4343" spans="2:2">
      <c r="B4343" s="21">
        <f>IF(AND(C4343&lt;&gt;"", H4343&lt;&gt;""), HYPERLINK("#'" &amp; C4343 &amp; "'!" &amp; H4343, H4343), "")</f>
        <v>0</v>
      </c>
    </row>
    <row r="4344" spans="2:2">
      <c r="B4344" s="21">
        <f>IF(AND(C4344&lt;&gt;"", H4344&lt;&gt;""), HYPERLINK("#'" &amp; C4344 &amp; "'!" &amp; H4344, H4344), "")</f>
        <v>0</v>
      </c>
    </row>
    <row r="4345" spans="2:2">
      <c r="B4345" s="21">
        <f>IF(AND(C4345&lt;&gt;"", H4345&lt;&gt;""), HYPERLINK("#'" &amp; C4345 &amp; "'!" &amp; H4345, H4345), "")</f>
        <v>0</v>
      </c>
    </row>
    <row r="4346" spans="2:2">
      <c r="B4346" s="21">
        <f>IF(AND(C4346&lt;&gt;"", H4346&lt;&gt;""), HYPERLINK("#'" &amp; C4346 &amp; "'!" &amp; H4346, H4346), "")</f>
        <v>0</v>
      </c>
    </row>
    <row r="4347" spans="2:2">
      <c r="B4347" s="21">
        <f>IF(AND(C4347&lt;&gt;"", H4347&lt;&gt;""), HYPERLINK("#'" &amp; C4347 &amp; "'!" &amp; H4347, H4347), "")</f>
        <v>0</v>
      </c>
    </row>
    <row r="4348" spans="2:2">
      <c r="B4348" s="21">
        <f>IF(AND(C4348&lt;&gt;"", H4348&lt;&gt;""), HYPERLINK("#'" &amp; C4348 &amp; "'!" &amp; H4348, H4348), "")</f>
        <v>0</v>
      </c>
    </row>
    <row r="4349" spans="2:2">
      <c r="B4349" s="21">
        <f>IF(AND(C4349&lt;&gt;"", H4349&lt;&gt;""), HYPERLINK("#'" &amp; C4349 &amp; "'!" &amp; H4349, H4349), "")</f>
        <v>0</v>
      </c>
    </row>
    <row r="4350" spans="2:2">
      <c r="B4350" s="21">
        <f>IF(AND(C4350&lt;&gt;"", H4350&lt;&gt;""), HYPERLINK("#'" &amp; C4350 &amp; "'!" &amp; H4350, H4350), "")</f>
        <v>0</v>
      </c>
    </row>
    <row r="4351" spans="2:2">
      <c r="B4351" s="21">
        <f>IF(AND(C4351&lt;&gt;"", H4351&lt;&gt;""), HYPERLINK("#'" &amp; C4351 &amp; "'!" &amp; H4351, H4351), "")</f>
        <v>0</v>
      </c>
    </row>
    <row r="4352" spans="2:2">
      <c r="B4352" s="21">
        <f>IF(AND(C4352&lt;&gt;"", H4352&lt;&gt;""), HYPERLINK("#'" &amp; C4352 &amp; "'!" &amp; H4352, H4352), "")</f>
        <v>0</v>
      </c>
    </row>
    <row r="4353" spans="2:2">
      <c r="B4353" s="21">
        <f>IF(AND(C4353&lt;&gt;"", H4353&lt;&gt;""), HYPERLINK("#'" &amp; C4353 &amp; "'!" &amp; H4353, H4353), "")</f>
        <v>0</v>
      </c>
    </row>
    <row r="4354" spans="2:2">
      <c r="B4354" s="21">
        <f>IF(AND(C4354&lt;&gt;"", H4354&lt;&gt;""), HYPERLINK("#'" &amp; C4354 &amp; "'!" &amp; H4354, H4354), "")</f>
        <v>0</v>
      </c>
    </row>
    <row r="4355" spans="2:2">
      <c r="B4355" s="21">
        <f>IF(AND(C4355&lt;&gt;"", H4355&lt;&gt;""), HYPERLINK("#'" &amp; C4355 &amp; "'!" &amp; H4355, H4355), "")</f>
        <v>0</v>
      </c>
    </row>
    <row r="4356" spans="2:2">
      <c r="B4356" s="21">
        <f>IF(AND(C4356&lt;&gt;"", H4356&lt;&gt;""), HYPERLINK("#'" &amp; C4356 &amp; "'!" &amp; H4356, H4356), "")</f>
        <v>0</v>
      </c>
    </row>
    <row r="4357" spans="2:2">
      <c r="B4357" s="21">
        <f>IF(AND(C4357&lt;&gt;"", H4357&lt;&gt;""), HYPERLINK("#'" &amp; C4357 &amp; "'!" &amp; H4357, H4357), "")</f>
        <v>0</v>
      </c>
    </row>
    <row r="4358" spans="2:2">
      <c r="B4358" s="21">
        <f>IF(AND(C4358&lt;&gt;"", H4358&lt;&gt;""), HYPERLINK("#'" &amp; C4358 &amp; "'!" &amp; H4358, H4358), "")</f>
        <v>0</v>
      </c>
    </row>
    <row r="4359" spans="2:2">
      <c r="B4359" s="21">
        <f>IF(AND(C4359&lt;&gt;"", H4359&lt;&gt;""), HYPERLINK("#'" &amp; C4359 &amp; "'!" &amp; H4359, H4359), "")</f>
        <v>0</v>
      </c>
    </row>
    <row r="4360" spans="2:2">
      <c r="B4360" s="21">
        <f>IF(AND(C4360&lt;&gt;"", H4360&lt;&gt;""), HYPERLINK("#'" &amp; C4360 &amp; "'!" &amp; H4360, H4360), "")</f>
        <v>0</v>
      </c>
    </row>
    <row r="4361" spans="2:2">
      <c r="B4361" s="21">
        <f>IF(AND(C4361&lt;&gt;"", H4361&lt;&gt;""), HYPERLINK("#'" &amp; C4361 &amp; "'!" &amp; H4361, H4361), "")</f>
        <v>0</v>
      </c>
    </row>
    <row r="4362" spans="2:2">
      <c r="B4362" s="21">
        <f>IF(AND(C4362&lt;&gt;"", H4362&lt;&gt;""), HYPERLINK("#'" &amp; C4362 &amp; "'!" &amp; H4362, H4362), "")</f>
        <v>0</v>
      </c>
    </row>
    <row r="4363" spans="2:2">
      <c r="B4363" s="21">
        <f>IF(AND(C4363&lt;&gt;"", H4363&lt;&gt;""), HYPERLINK("#'" &amp; C4363 &amp; "'!" &amp; H4363, H4363), "")</f>
        <v>0</v>
      </c>
    </row>
    <row r="4364" spans="2:2">
      <c r="B4364" s="21">
        <f>IF(AND(C4364&lt;&gt;"", H4364&lt;&gt;""), HYPERLINK("#'" &amp; C4364 &amp; "'!" &amp; H4364, H4364), "")</f>
        <v>0</v>
      </c>
    </row>
    <row r="4365" spans="2:2">
      <c r="B4365" s="21">
        <f>IF(AND(C4365&lt;&gt;"", H4365&lt;&gt;""), HYPERLINK("#'" &amp; C4365 &amp; "'!" &amp; H4365, H4365), "")</f>
        <v>0</v>
      </c>
    </row>
    <row r="4366" spans="2:2">
      <c r="B4366" s="21">
        <f>IF(AND(C4366&lt;&gt;"", H4366&lt;&gt;""), HYPERLINK("#'" &amp; C4366 &amp; "'!" &amp; H4366, H4366), "")</f>
        <v>0</v>
      </c>
    </row>
    <row r="4367" spans="2:2">
      <c r="B4367" s="21">
        <f>IF(AND(C4367&lt;&gt;"", H4367&lt;&gt;""), HYPERLINK("#'" &amp; C4367 &amp; "'!" &amp; H4367, H4367), "")</f>
        <v>0</v>
      </c>
    </row>
    <row r="4368" spans="2:2">
      <c r="B4368" s="21">
        <f>IF(AND(C4368&lt;&gt;"", H4368&lt;&gt;""), HYPERLINK("#'" &amp; C4368 &amp; "'!" &amp; H4368, H4368), "")</f>
        <v>0</v>
      </c>
    </row>
    <row r="4369" spans="2:2">
      <c r="B4369" s="21">
        <f>IF(AND(C4369&lt;&gt;"", H4369&lt;&gt;""), HYPERLINK("#'" &amp; C4369 &amp; "'!" &amp; H4369, H4369), "")</f>
        <v>0</v>
      </c>
    </row>
    <row r="4370" spans="2:2">
      <c r="B4370" s="21">
        <f>IF(AND(C4370&lt;&gt;"", H4370&lt;&gt;""), HYPERLINK("#'" &amp; C4370 &amp; "'!" &amp; H4370, H4370), "")</f>
        <v>0</v>
      </c>
    </row>
    <row r="4371" spans="2:2">
      <c r="B4371" s="21">
        <f>IF(AND(C4371&lt;&gt;"", H4371&lt;&gt;""), HYPERLINK("#'" &amp; C4371 &amp; "'!" &amp; H4371, H4371), "")</f>
        <v>0</v>
      </c>
    </row>
    <row r="4372" spans="2:2">
      <c r="B4372" s="21">
        <f>IF(AND(C4372&lt;&gt;"", H4372&lt;&gt;""), HYPERLINK("#'" &amp; C4372 &amp; "'!" &amp; H4372, H4372), "")</f>
        <v>0</v>
      </c>
    </row>
    <row r="4373" spans="2:2">
      <c r="B4373" s="21">
        <f>IF(AND(C4373&lt;&gt;"", H4373&lt;&gt;""), HYPERLINK("#'" &amp; C4373 &amp; "'!" &amp; H4373, H4373), "")</f>
        <v>0</v>
      </c>
    </row>
    <row r="4374" spans="2:2">
      <c r="B4374" s="21">
        <f>IF(AND(C4374&lt;&gt;"", H4374&lt;&gt;""), HYPERLINK("#'" &amp; C4374 &amp; "'!" &amp; H4374, H4374), "")</f>
        <v>0</v>
      </c>
    </row>
    <row r="4375" spans="2:2">
      <c r="B4375" s="21">
        <f>IF(AND(C4375&lt;&gt;"", H4375&lt;&gt;""), HYPERLINK("#'" &amp; C4375 &amp; "'!" &amp; H4375, H4375), "")</f>
        <v>0</v>
      </c>
    </row>
    <row r="4376" spans="2:2">
      <c r="B4376" s="21">
        <f>IF(AND(C4376&lt;&gt;"", H4376&lt;&gt;""), HYPERLINK("#'" &amp; C4376 &amp; "'!" &amp; H4376, H4376), "")</f>
        <v>0</v>
      </c>
    </row>
    <row r="4377" spans="2:2">
      <c r="B4377" s="21">
        <f>IF(AND(C4377&lt;&gt;"", H4377&lt;&gt;""), HYPERLINK("#'" &amp; C4377 &amp; "'!" &amp; H4377, H4377), "")</f>
        <v>0</v>
      </c>
    </row>
    <row r="4378" spans="2:2">
      <c r="B4378" s="21">
        <f>IF(AND(C4378&lt;&gt;"", H4378&lt;&gt;""), HYPERLINK("#'" &amp; C4378 &amp; "'!" &amp; H4378, H4378), "")</f>
        <v>0</v>
      </c>
    </row>
    <row r="4379" spans="2:2">
      <c r="B4379" s="21">
        <f>IF(AND(C4379&lt;&gt;"", H4379&lt;&gt;""), HYPERLINK("#'" &amp; C4379 &amp; "'!" &amp; H4379, H4379), "")</f>
        <v>0</v>
      </c>
    </row>
    <row r="4380" spans="2:2">
      <c r="B4380" s="21">
        <f>IF(AND(C4380&lt;&gt;"", H4380&lt;&gt;""), HYPERLINK("#'" &amp; C4380 &amp; "'!" &amp; H4380, H4380), "")</f>
        <v>0</v>
      </c>
    </row>
    <row r="4381" spans="2:2">
      <c r="B4381" s="21">
        <f>IF(AND(C4381&lt;&gt;"", H4381&lt;&gt;""), HYPERLINK("#'" &amp; C4381 &amp; "'!" &amp; H4381, H4381), "")</f>
        <v>0</v>
      </c>
    </row>
    <row r="4382" spans="2:2">
      <c r="B4382" s="21">
        <f>IF(AND(C4382&lt;&gt;"", H4382&lt;&gt;""), HYPERLINK("#'" &amp; C4382 &amp; "'!" &amp; H4382, H4382), "")</f>
        <v>0</v>
      </c>
    </row>
    <row r="4383" spans="2:2">
      <c r="B4383" s="21">
        <f>IF(AND(C4383&lt;&gt;"", H4383&lt;&gt;""), HYPERLINK("#'" &amp; C4383 &amp; "'!" &amp; H4383, H4383), "")</f>
        <v>0</v>
      </c>
    </row>
    <row r="4384" spans="2:2">
      <c r="B4384" s="21">
        <f>IF(AND(C4384&lt;&gt;"", H4384&lt;&gt;""), HYPERLINK("#'" &amp; C4384 &amp; "'!" &amp; H4384, H4384), "")</f>
        <v>0</v>
      </c>
    </row>
    <row r="4385" spans="2:2">
      <c r="B4385" s="21">
        <f>IF(AND(C4385&lt;&gt;"", H4385&lt;&gt;""), HYPERLINK("#'" &amp; C4385 &amp; "'!" &amp; H4385, H4385), "")</f>
        <v>0</v>
      </c>
    </row>
    <row r="4386" spans="2:2">
      <c r="B4386" s="21">
        <f>IF(AND(C4386&lt;&gt;"", H4386&lt;&gt;""), HYPERLINK("#'" &amp; C4386 &amp; "'!" &amp; H4386, H4386), "")</f>
        <v>0</v>
      </c>
    </row>
    <row r="4387" spans="2:2">
      <c r="B4387" s="21">
        <f>IF(AND(C4387&lt;&gt;"", H4387&lt;&gt;""), HYPERLINK("#'" &amp; C4387 &amp; "'!" &amp; H4387, H4387), "")</f>
        <v>0</v>
      </c>
    </row>
    <row r="4388" spans="2:2">
      <c r="B4388" s="21">
        <f>IF(AND(C4388&lt;&gt;"", H4388&lt;&gt;""), HYPERLINK("#'" &amp; C4388 &amp; "'!" &amp; H4388, H4388), "")</f>
        <v>0</v>
      </c>
    </row>
    <row r="4389" spans="2:2">
      <c r="B4389" s="21">
        <f>IF(AND(C4389&lt;&gt;"", H4389&lt;&gt;""), HYPERLINK("#'" &amp; C4389 &amp; "'!" &amp; H4389, H4389), "")</f>
        <v>0</v>
      </c>
    </row>
    <row r="4390" spans="2:2">
      <c r="B4390" s="21">
        <f>IF(AND(C4390&lt;&gt;"", H4390&lt;&gt;""), HYPERLINK("#'" &amp; C4390 &amp; "'!" &amp; H4390, H4390), "")</f>
        <v>0</v>
      </c>
    </row>
    <row r="4391" spans="2:2">
      <c r="B4391" s="21">
        <f>IF(AND(C4391&lt;&gt;"", H4391&lt;&gt;""), HYPERLINK("#'" &amp; C4391 &amp; "'!" &amp; H4391, H4391), "")</f>
        <v>0</v>
      </c>
    </row>
    <row r="4392" spans="2:2">
      <c r="B4392" s="21">
        <f>IF(AND(C4392&lt;&gt;"", H4392&lt;&gt;""), HYPERLINK("#'" &amp; C4392 &amp; "'!" &amp; H4392, H4392), "")</f>
        <v>0</v>
      </c>
    </row>
    <row r="4393" spans="2:2">
      <c r="B4393" s="21">
        <f>IF(AND(C4393&lt;&gt;"", H4393&lt;&gt;""), HYPERLINK("#'" &amp; C4393 &amp; "'!" &amp; H4393, H4393), "")</f>
        <v>0</v>
      </c>
    </row>
    <row r="4394" spans="2:2">
      <c r="B4394" s="21">
        <f>IF(AND(C4394&lt;&gt;"", H4394&lt;&gt;""), HYPERLINK("#'" &amp; C4394 &amp; "'!" &amp; H4394, H4394), "")</f>
        <v>0</v>
      </c>
    </row>
    <row r="4395" spans="2:2">
      <c r="B4395" s="21">
        <f>IF(AND(C4395&lt;&gt;"", H4395&lt;&gt;""), HYPERLINK("#'" &amp; C4395 &amp; "'!" &amp; H4395, H4395), "")</f>
        <v>0</v>
      </c>
    </row>
    <row r="4396" spans="2:2">
      <c r="B4396" s="21">
        <f>IF(AND(C4396&lt;&gt;"", H4396&lt;&gt;""), HYPERLINK("#'" &amp; C4396 &amp; "'!" &amp; H4396, H4396), "")</f>
        <v>0</v>
      </c>
    </row>
    <row r="4397" spans="2:2">
      <c r="B4397" s="21">
        <f>IF(AND(C4397&lt;&gt;"", H4397&lt;&gt;""), HYPERLINK("#'" &amp; C4397 &amp; "'!" &amp; H4397, H4397), "")</f>
        <v>0</v>
      </c>
    </row>
    <row r="4398" spans="2:2">
      <c r="B4398" s="21">
        <f>IF(AND(C4398&lt;&gt;"", H4398&lt;&gt;""), HYPERLINK("#'" &amp; C4398 &amp; "'!" &amp; H4398, H4398), "")</f>
        <v>0</v>
      </c>
    </row>
    <row r="4399" spans="2:2">
      <c r="B4399" s="21">
        <f>IF(AND(C4399&lt;&gt;"", H4399&lt;&gt;""), HYPERLINK("#'" &amp; C4399 &amp; "'!" &amp; H4399, H4399), "")</f>
        <v>0</v>
      </c>
    </row>
    <row r="4400" spans="2:2">
      <c r="B4400" s="21">
        <f>IF(AND(C4400&lt;&gt;"", H4400&lt;&gt;""), HYPERLINK("#'" &amp; C4400 &amp; "'!" &amp; H4400, H4400), "")</f>
        <v>0</v>
      </c>
    </row>
    <row r="4401" spans="2:2">
      <c r="B4401" s="21">
        <f>IF(AND(C4401&lt;&gt;"", H4401&lt;&gt;""), HYPERLINK("#'" &amp; C4401 &amp; "'!" &amp; H4401, H4401), "")</f>
        <v>0</v>
      </c>
    </row>
    <row r="4402" spans="2:2">
      <c r="B4402" s="21">
        <f>IF(AND(C4402&lt;&gt;"", H4402&lt;&gt;""), HYPERLINK("#'" &amp; C4402 &amp; "'!" &amp; H4402, H4402), "")</f>
        <v>0</v>
      </c>
    </row>
    <row r="4403" spans="2:2">
      <c r="B4403" s="21">
        <f>IF(AND(C4403&lt;&gt;"", H4403&lt;&gt;""), HYPERLINK("#'" &amp; C4403 &amp; "'!" &amp; H4403, H4403), "")</f>
        <v>0</v>
      </c>
    </row>
    <row r="4404" spans="2:2">
      <c r="B4404" s="21">
        <f>IF(AND(C4404&lt;&gt;"", H4404&lt;&gt;""), HYPERLINK("#'" &amp; C4404 &amp; "'!" &amp; H4404, H4404), "")</f>
        <v>0</v>
      </c>
    </row>
    <row r="4405" spans="2:2">
      <c r="B4405" s="21">
        <f>IF(AND(C4405&lt;&gt;"", H4405&lt;&gt;""), HYPERLINK("#'" &amp; C4405 &amp; "'!" &amp; H4405, H4405), "")</f>
        <v>0</v>
      </c>
    </row>
    <row r="4406" spans="2:2">
      <c r="B4406" s="21">
        <f>IF(AND(C4406&lt;&gt;"", H4406&lt;&gt;""), HYPERLINK("#'" &amp; C4406 &amp; "'!" &amp; H4406, H4406), "")</f>
        <v>0</v>
      </c>
    </row>
    <row r="4407" spans="2:2">
      <c r="B4407" s="21">
        <f>IF(AND(C4407&lt;&gt;"", H4407&lt;&gt;""), HYPERLINK("#'" &amp; C4407 &amp; "'!" &amp; H4407, H4407), "")</f>
        <v>0</v>
      </c>
    </row>
    <row r="4408" spans="2:2">
      <c r="B4408" s="21">
        <f>IF(AND(C4408&lt;&gt;"", H4408&lt;&gt;""), HYPERLINK("#'" &amp; C4408 &amp; "'!" &amp; H4408, H4408), "")</f>
        <v>0</v>
      </c>
    </row>
    <row r="4409" spans="2:2">
      <c r="B4409" s="21">
        <f>IF(AND(C4409&lt;&gt;"", H4409&lt;&gt;""), HYPERLINK("#'" &amp; C4409 &amp; "'!" &amp; H4409, H4409), "")</f>
        <v>0</v>
      </c>
    </row>
    <row r="4410" spans="2:2">
      <c r="B4410" s="21">
        <f>IF(AND(C4410&lt;&gt;"", H4410&lt;&gt;""), HYPERLINK("#'" &amp; C4410 &amp; "'!" &amp; H4410, H4410), "")</f>
        <v>0</v>
      </c>
    </row>
    <row r="4411" spans="2:2">
      <c r="B4411" s="21">
        <f>IF(AND(C4411&lt;&gt;"", H4411&lt;&gt;""), HYPERLINK("#'" &amp; C4411 &amp; "'!" &amp; H4411, H4411), "")</f>
        <v>0</v>
      </c>
    </row>
    <row r="4412" spans="2:2">
      <c r="B4412" s="21">
        <f>IF(AND(C4412&lt;&gt;"", H4412&lt;&gt;""), HYPERLINK("#'" &amp; C4412 &amp; "'!" &amp; H4412, H4412), "")</f>
        <v>0</v>
      </c>
    </row>
    <row r="4413" spans="2:2">
      <c r="B4413" s="21">
        <f>IF(AND(C4413&lt;&gt;"", H4413&lt;&gt;""), HYPERLINK("#'" &amp; C4413 &amp; "'!" &amp; H4413, H4413), "")</f>
        <v>0</v>
      </c>
    </row>
    <row r="4414" spans="2:2">
      <c r="B4414" s="21">
        <f>IF(AND(C4414&lt;&gt;"", H4414&lt;&gt;""), HYPERLINK("#'" &amp; C4414 &amp; "'!" &amp; H4414, H4414), "")</f>
        <v>0</v>
      </c>
    </row>
    <row r="4415" spans="2:2">
      <c r="B4415" s="21">
        <f>IF(AND(C4415&lt;&gt;"", H4415&lt;&gt;""), HYPERLINK("#'" &amp; C4415 &amp; "'!" &amp; H4415, H4415), "")</f>
        <v>0</v>
      </c>
    </row>
    <row r="4416" spans="2:2">
      <c r="B4416" s="21">
        <f>IF(AND(C4416&lt;&gt;"", H4416&lt;&gt;""), HYPERLINK("#'" &amp; C4416 &amp; "'!" &amp; H4416, H4416), "")</f>
        <v>0</v>
      </c>
    </row>
    <row r="4417" spans="2:2">
      <c r="B4417" s="21">
        <f>IF(AND(C4417&lt;&gt;"", H4417&lt;&gt;""), HYPERLINK("#'" &amp; C4417 &amp; "'!" &amp; H4417, H4417), "")</f>
        <v>0</v>
      </c>
    </row>
    <row r="4418" spans="2:2">
      <c r="B4418" s="21">
        <f>IF(AND(C4418&lt;&gt;"", H4418&lt;&gt;""), HYPERLINK("#'" &amp; C4418 &amp; "'!" &amp; H4418, H4418), "")</f>
        <v>0</v>
      </c>
    </row>
    <row r="4419" spans="2:2">
      <c r="B4419" s="21">
        <f>IF(AND(C4419&lt;&gt;"", H4419&lt;&gt;""), HYPERLINK("#'" &amp; C4419 &amp; "'!" &amp; H4419, H4419), "")</f>
        <v>0</v>
      </c>
    </row>
    <row r="4420" spans="2:2">
      <c r="B4420" s="21">
        <f>IF(AND(C4420&lt;&gt;"", H4420&lt;&gt;""), HYPERLINK("#'" &amp; C4420 &amp; "'!" &amp; H4420, H4420), "")</f>
        <v>0</v>
      </c>
    </row>
    <row r="4421" spans="2:2">
      <c r="B4421" s="21">
        <f>IF(AND(C4421&lt;&gt;"", H4421&lt;&gt;""), HYPERLINK("#'" &amp; C4421 &amp; "'!" &amp; H4421, H4421), "")</f>
        <v>0</v>
      </c>
    </row>
    <row r="4422" spans="2:2">
      <c r="B4422" s="21">
        <f>IF(AND(C4422&lt;&gt;"", H4422&lt;&gt;""), HYPERLINK("#'" &amp; C4422 &amp; "'!" &amp; H4422, H4422), "")</f>
        <v>0</v>
      </c>
    </row>
    <row r="4423" spans="2:2">
      <c r="B4423" s="21">
        <f>IF(AND(C4423&lt;&gt;"", H4423&lt;&gt;""), HYPERLINK("#'" &amp; C4423 &amp; "'!" &amp; H4423, H4423), "")</f>
        <v>0</v>
      </c>
    </row>
    <row r="4424" spans="2:2">
      <c r="B4424" s="21">
        <f>IF(AND(C4424&lt;&gt;"", H4424&lt;&gt;""), HYPERLINK("#'" &amp; C4424 &amp; "'!" &amp; H4424, H4424), "")</f>
        <v>0</v>
      </c>
    </row>
    <row r="4425" spans="2:2">
      <c r="B4425" s="21">
        <f>IF(AND(C4425&lt;&gt;"", H4425&lt;&gt;""), HYPERLINK("#'" &amp; C4425 &amp; "'!" &amp; H4425, H4425), "")</f>
        <v>0</v>
      </c>
    </row>
    <row r="4426" spans="2:2">
      <c r="B4426" s="21">
        <f>IF(AND(C4426&lt;&gt;"", H4426&lt;&gt;""), HYPERLINK("#'" &amp; C4426 &amp; "'!" &amp; H4426, H4426), "")</f>
        <v>0</v>
      </c>
    </row>
    <row r="4427" spans="2:2">
      <c r="B4427" s="21">
        <f>IF(AND(C4427&lt;&gt;"", H4427&lt;&gt;""), HYPERLINK("#'" &amp; C4427 &amp; "'!" &amp; H4427, H4427), "")</f>
        <v>0</v>
      </c>
    </row>
    <row r="4428" spans="2:2">
      <c r="B4428" s="21">
        <f>IF(AND(C4428&lt;&gt;"", H4428&lt;&gt;""), HYPERLINK("#'" &amp; C4428 &amp; "'!" &amp; H4428, H4428), "")</f>
        <v>0</v>
      </c>
    </row>
    <row r="4429" spans="2:2">
      <c r="B4429" s="21">
        <f>IF(AND(C4429&lt;&gt;"", H4429&lt;&gt;""), HYPERLINK("#'" &amp; C4429 &amp; "'!" &amp; H4429, H4429), "")</f>
        <v>0</v>
      </c>
    </row>
    <row r="4430" spans="2:2">
      <c r="B4430" s="21">
        <f>IF(AND(C4430&lt;&gt;"", H4430&lt;&gt;""), HYPERLINK("#'" &amp; C4430 &amp; "'!" &amp; H4430, H4430), "")</f>
        <v>0</v>
      </c>
    </row>
    <row r="4431" spans="2:2">
      <c r="B4431" s="21">
        <f>IF(AND(C4431&lt;&gt;"", H4431&lt;&gt;""), HYPERLINK("#'" &amp; C4431 &amp; "'!" &amp; H4431, H4431), "")</f>
        <v>0</v>
      </c>
    </row>
    <row r="4432" spans="2:2">
      <c r="B4432" s="21">
        <f>IF(AND(C4432&lt;&gt;"", H4432&lt;&gt;""), HYPERLINK("#'" &amp; C4432 &amp; "'!" &amp; H4432, H4432), "")</f>
        <v>0</v>
      </c>
    </row>
    <row r="4433" spans="2:2">
      <c r="B4433" s="21">
        <f>IF(AND(C4433&lt;&gt;"", H4433&lt;&gt;""), HYPERLINK("#'" &amp; C4433 &amp; "'!" &amp; H4433, H4433), "")</f>
        <v>0</v>
      </c>
    </row>
    <row r="4434" spans="2:2">
      <c r="B4434" s="21">
        <f>IF(AND(C4434&lt;&gt;"", H4434&lt;&gt;""), HYPERLINK("#'" &amp; C4434 &amp; "'!" &amp; H4434, H4434), "")</f>
        <v>0</v>
      </c>
    </row>
    <row r="4435" spans="2:2">
      <c r="B4435" s="21">
        <f>IF(AND(C4435&lt;&gt;"", H4435&lt;&gt;""), HYPERLINK("#'" &amp; C4435 &amp; "'!" &amp; H4435, H4435), "")</f>
        <v>0</v>
      </c>
    </row>
    <row r="4436" spans="2:2">
      <c r="B4436" s="21">
        <f>IF(AND(C4436&lt;&gt;"", H4436&lt;&gt;""), HYPERLINK("#'" &amp; C4436 &amp; "'!" &amp; H4436, H4436), "")</f>
        <v>0</v>
      </c>
    </row>
    <row r="4437" spans="2:2">
      <c r="B4437" s="21">
        <f>IF(AND(C4437&lt;&gt;"", H4437&lt;&gt;""), HYPERLINK("#'" &amp; C4437 &amp; "'!" &amp; H4437, H4437), "")</f>
        <v>0</v>
      </c>
    </row>
    <row r="4438" spans="2:2">
      <c r="B4438" s="21">
        <f>IF(AND(C4438&lt;&gt;"", H4438&lt;&gt;""), HYPERLINK("#'" &amp; C4438 &amp; "'!" &amp; H4438, H4438), "")</f>
        <v>0</v>
      </c>
    </row>
    <row r="4439" spans="2:2">
      <c r="B4439" s="21">
        <f>IF(AND(C4439&lt;&gt;"", H4439&lt;&gt;""), HYPERLINK("#'" &amp; C4439 &amp; "'!" &amp; H4439, H4439), "")</f>
        <v>0</v>
      </c>
    </row>
    <row r="4440" spans="2:2">
      <c r="B4440" s="21">
        <f>IF(AND(C4440&lt;&gt;"", H4440&lt;&gt;""), HYPERLINK("#'" &amp; C4440 &amp; "'!" &amp; H4440, H4440), "")</f>
        <v>0</v>
      </c>
    </row>
    <row r="4441" spans="2:2">
      <c r="B4441" s="21">
        <f>IF(AND(C4441&lt;&gt;"", H4441&lt;&gt;""), HYPERLINK("#'" &amp; C4441 &amp; "'!" &amp; H4441, H4441), "")</f>
        <v>0</v>
      </c>
    </row>
    <row r="4442" spans="2:2">
      <c r="B4442" s="21">
        <f>IF(AND(C4442&lt;&gt;"", H4442&lt;&gt;""), HYPERLINK("#'" &amp; C4442 &amp; "'!" &amp; H4442, H4442), "")</f>
        <v>0</v>
      </c>
    </row>
    <row r="4443" spans="2:2">
      <c r="B4443" s="21">
        <f>IF(AND(C4443&lt;&gt;"", H4443&lt;&gt;""), HYPERLINK("#'" &amp; C4443 &amp; "'!" &amp; H4443, H4443), "")</f>
        <v>0</v>
      </c>
    </row>
    <row r="4444" spans="2:2">
      <c r="B4444" s="21">
        <f>IF(AND(C4444&lt;&gt;"", H4444&lt;&gt;""), HYPERLINK("#'" &amp; C4444 &amp; "'!" &amp; H4444, H4444), "")</f>
        <v>0</v>
      </c>
    </row>
    <row r="4445" spans="2:2">
      <c r="B4445" s="21">
        <f>IF(AND(C4445&lt;&gt;"", H4445&lt;&gt;""), HYPERLINK("#'" &amp; C4445 &amp; "'!" &amp; H4445, H4445), "")</f>
        <v>0</v>
      </c>
    </row>
    <row r="4446" spans="2:2">
      <c r="B4446" s="21">
        <f>IF(AND(C4446&lt;&gt;"", H4446&lt;&gt;""), HYPERLINK("#'" &amp; C4446 &amp; "'!" &amp; H4446, H4446), "")</f>
        <v>0</v>
      </c>
    </row>
    <row r="4447" spans="2:2">
      <c r="B4447" s="21">
        <f>IF(AND(C4447&lt;&gt;"", H4447&lt;&gt;""), HYPERLINK("#'" &amp; C4447 &amp; "'!" &amp; H4447, H4447), "")</f>
        <v>0</v>
      </c>
    </row>
    <row r="4448" spans="2:2">
      <c r="B4448" s="21">
        <f>IF(AND(C4448&lt;&gt;"", H4448&lt;&gt;""), HYPERLINK("#'" &amp; C4448 &amp; "'!" &amp; H4448, H4448), "")</f>
        <v>0</v>
      </c>
    </row>
    <row r="4449" spans="2:2">
      <c r="B4449" s="21">
        <f>IF(AND(C4449&lt;&gt;"", H4449&lt;&gt;""), HYPERLINK("#'" &amp; C4449 &amp; "'!" &amp; H4449, H4449), "")</f>
        <v>0</v>
      </c>
    </row>
    <row r="4450" spans="2:2">
      <c r="B4450" s="21">
        <f>IF(AND(C4450&lt;&gt;"", H4450&lt;&gt;""), HYPERLINK("#'" &amp; C4450 &amp; "'!" &amp; H4450, H4450), "")</f>
        <v>0</v>
      </c>
    </row>
    <row r="4451" spans="2:2">
      <c r="B4451" s="21">
        <f>IF(AND(C4451&lt;&gt;"", H4451&lt;&gt;""), HYPERLINK("#'" &amp; C4451 &amp; "'!" &amp; H4451, H4451), "")</f>
        <v>0</v>
      </c>
    </row>
    <row r="4452" spans="2:2">
      <c r="B4452" s="21">
        <f>IF(AND(C4452&lt;&gt;"", H4452&lt;&gt;""), HYPERLINK("#'" &amp; C4452 &amp; "'!" &amp; H4452, H4452), "")</f>
        <v>0</v>
      </c>
    </row>
    <row r="4453" spans="2:2">
      <c r="B4453" s="21">
        <f>IF(AND(C4453&lt;&gt;"", H4453&lt;&gt;""), HYPERLINK("#'" &amp; C4453 &amp; "'!" &amp; H4453, H4453), "")</f>
        <v>0</v>
      </c>
    </row>
    <row r="4454" spans="2:2">
      <c r="B4454" s="21">
        <f>IF(AND(C4454&lt;&gt;"", H4454&lt;&gt;""), HYPERLINK("#'" &amp; C4454 &amp; "'!" &amp; H4454, H4454), "")</f>
        <v>0</v>
      </c>
    </row>
    <row r="4455" spans="2:2">
      <c r="B4455" s="21">
        <f>IF(AND(C4455&lt;&gt;"", H4455&lt;&gt;""), HYPERLINK("#'" &amp; C4455 &amp; "'!" &amp; H4455, H4455), "")</f>
        <v>0</v>
      </c>
    </row>
    <row r="4456" spans="2:2">
      <c r="B4456" s="21">
        <f>IF(AND(C4456&lt;&gt;"", H4456&lt;&gt;""), HYPERLINK("#'" &amp; C4456 &amp; "'!" &amp; H4456, H4456), "")</f>
        <v>0</v>
      </c>
    </row>
    <row r="4457" spans="2:2">
      <c r="B4457" s="21">
        <f>IF(AND(C4457&lt;&gt;"", H4457&lt;&gt;""), HYPERLINK("#'" &amp; C4457 &amp; "'!" &amp; H4457, H4457), "")</f>
        <v>0</v>
      </c>
    </row>
    <row r="4458" spans="2:2">
      <c r="B4458" s="21">
        <f>IF(AND(C4458&lt;&gt;"", H4458&lt;&gt;""), HYPERLINK("#'" &amp; C4458 &amp; "'!" &amp; H4458, H4458), "")</f>
        <v>0</v>
      </c>
    </row>
    <row r="4459" spans="2:2">
      <c r="B4459" s="21">
        <f>IF(AND(C4459&lt;&gt;"", H4459&lt;&gt;""), HYPERLINK("#'" &amp; C4459 &amp; "'!" &amp; H4459, H4459), "")</f>
        <v>0</v>
      </c>
    </row>
    <row r="4460" spans="2:2">
      <c r="B4460" s="21">
        <f>IF(AND(C4460&lt;&gt;"", H4460&lt;&gt;""), HYPERLINK("#'" &amp; C4460 &amp; "'!" &amp; H4460, H4460), "")</f>
        <v>0</v>
      </c>
    </row>
    <row r="4461" spans="2:2">
      <c r="B4461" s="21">
        <f>IF(AND(C4461&lt;&gt;"", H4461&lt;&gt;""), HYPERLINK("#'" &amp; C4461 &amp; "'!" &amp; H4461, H4461), "")</f>
        <v>0</v>
      </c>
    </row>
    <row r="4462" spans="2:2">
      <c r="B4462" s="21">
        <f>IF(AND(C4462&lt;&gt;"", H4462&lt;&gt;""), HYPERLINK("#'" &amp; C4462 &amp; "'!" &amp; H4462, H4462), "")</f>
        <v>0</v>
      </c>
    </row>
    <row r="4463" spans="2:2">
      <c r="B4463" s="21">
        <f>IF(AND(C4463&lt;&gt;"", H4463&lt;&gt;""), HYPERLINK("#'" &amp; C4463 &amp; "'!" &amp; H4463, H4463), "")</f>
        <v>0</v>
      </c>
    </row>
    <row r="4464" spans="2:2">
      <c r="B4464" s="21">
        <f>IF(AND(C4464&lt;&gt;"", H4464&lt;&gt;""), HYPERLINK("#'" &amp; C4464 &amp; "'!" &amp; H4464, H4464), "")</f>
        <v>0</v>
      </c>
    </row>
    <row r="4465" spans="2:2">
      <c r="B4465" s="21">
        <f>IF(AND(C4465&lt;&gt;"", H4465&lt;&gt;""), HYPERLINK("#'" &amp; C4465 &amp; "'!" &amp; H4465, H4465), "")</f>
        <v>0</v>
      </c>
    </row>
    <row r="4466" spans="2:2">
      <c r="B4466" s="21">
        <f>IF(AND(C4466&lt;&gt;"", H4466&lt;&gt;""), HYPERLINK("#'" &amp; C4466 &amp; "'!" &amp; H4466, H4466), "")</f>
        <v>0</v>
      </c>
    </row>
    <row r="4467" spans="2:2">
      <c r="B4467" s="21">
        <f>IF(AND(C4467&lt;&gt;"", H4467&lt;&gt;""), HYPERLINK("#'" &amp; C4467 &amp; "'!" &amp; H4467, H4467), "")</f>
        <v>0</v>
      </c>
    </row>
    <row r="4468" spans="2:2">
      <c r="B4468" s="21">
        <f>IF(AND(C4468&lt;&gt;"", H4468&lt;&gt;""), HYPERLINK("#'" &amp; C4468 &amp; "'!" &amp; H4468, H4468), "")</f>
        <v>0</v>
      </c>
    </row>
    <row r="4469" spans="2:2">
      <c r="B4469" s="21">
        <f>IF(AND(C4469&lt;&gt;"", H4469&lt;&gt;""), HYPERLINK("#'" &amp; C4469 &amp; "'!" &amp; H4469, H4469), "")</f>
        <v>0</v>
      </c>
    </row>
    <row r="4470" spans="2:2">
      <c r="B4470" s="21">
        <f>IF(AND(C4470&lt;&gt;"", H4470&lt;&gt;""), HYPERLINK("#'" &amp; C4470 &amp; "'!" &amp; H4470, H4470), "")</f>
        <v>0</v>
      </c>
    </row>
    <row r="4471" spans="2:2">
      <c r="B4471" s="21">
        <f>IF(AND(C4471&lt;&gt;"", H4471&lt;&gt;""), HYPERLINK("#'" &amp; C4471 &amp; "'!" &amp; H4471, H4471), "")</f>
        <v>0</v>
      </c>
    </row>
    <row r="4472" spans="2:2">
      <c r="B4472" s="21">
        <f>IF(AND(C4472&lt;&gt;"", H4472&lt;&gt;""), HYPERLINK("#'" &amp; C4472 &amp; "'!" &amp; H4472, H4472), "")</f>
        <v>0</v>
      </c>
    </row>
    <row r="4473" spans="2:2">
      <c r="B4473" s="21">
        <f>IF(AND(C4473&lt;&gt;"", H4473&lt;&gt;""), HYPERLINK("#'" &amp; C4473 &amp; "'!" &amp; H4473, H4473), "")</f>
        <v>0</v>
      </c>
    </row>
    <row r="4474" spans="2:2">
      <c r="B4474" s="21">
        <f>IF(AND(C4474&lt;&gt;"", H4474&lt;&gt;""), HYPERLINK("#'" &amp; C4474 &amp; "'!" &amp; H4474, H4474), "")</f>
        <v>0</v>
      </c>
    </row>
    <row r="4475" spans="2:2">
      <c r="B4475" s="21">
        <f>IF(AND(C4475&lt;&gt;"", H4475&lt;&gt;""), HYPERLINK("#'" &amp; C4475 &amp; "'!" &amp; H4475, H4475), "")</f>
        <v>0</v>
      </c>
    </row>
    <row r="4476" spans="2:2">
      <c r="B4476" s="21">
        <f>IF(AND(C4476&lt;&gt;"", H4476&lt;&gt;""), HYPERLINK("#'" &amp; C4476 &amp; "'!" &amp; H4476, H4476), "")</f>
        <v>0</v>
      </c>
    </row>
    <row r="4477" spans="2:2">
      <c r="B4477" s="21">
        <f>IF(AND(C4477&lt;&gt;"", H4477&lt;&gt;""), HYPERLINK("#'" &amp; C4477 &amp; "'!" &amp; H4477, H4477), "")</f>
        <v>0</v>
      </c>
    </row>
    <row r="4478" spans="2:2">
      <c r="B4478" s="21">
        <f>IF(AND(C4478&lt;&gt;"", H4478&lt;&gt;""), HYPERLINK("#'" &amp; C4478 &amp; "'!" &amp; H4478, H4478), "")</f>
        <v>0</v>
      </c>
    </row>
    <row r="4479" spans="2:2">
      <c r="B4479" s="21">
        <f>IF(AND(C4479&lt;&gt;"", H4479&lt;&gt;""), HYPERLINK("#'" &amp; C4479 &amp; "'!" &amp; H4479, H4479), "")</f>
        <v>0</v>
      </c>
    </row>
    <row r="4480" spans="2:2">
      <c r="B4480" s="21">
        <f>IF(AND(C4480&lt;&gt;"", H4480&lt;&gt;""), HYPERLINK("#'" &amp; C4480 &amp; "'!" &amp; H4480, H4480), "")</f>
        <v>0</v>
      </c>
    </row>
    <row r="4481" spans="2:2">
      <c r="B4481" s="21">
        <f>IF(AND(C4481&lt;&gt;"", H4481&lt;&gt;""), HYPERLINK("#'" &amp; C4481 &amp; "'!" &amp; H4481, H4481), "")</f>
        <v>0</v>
      </c>
    </row>
    <row r="4482" spans="2:2">
      <c r="B4482" s="21">
        <f>IF(AND(C4482&lt;&gt;"", H4482&lt;&gt;""), HYPERLINK("#'" &amp; C4482 &amp; "'!" &amp; H4482, H4482), "")</f>
        <v>0</v>
      </c>
    </row>
    <row r="4483" spans="2:2">
      <c r="B4483" s="21">
        <f>IF(AND(C4483&lt;&gt;"", H4483&lt;&gt;""), HYPERLINK("#'" &amp; C4483 &amp; "'!" &amp; H4483, H4483), "")</f>
        <v>0</v>
      </c>
    </row>
    <row r="4484" spans="2:2">
      <c r="B4484" s="21">
        <f>IF(AND(C4484&lt;&gt;"", H4484&lt;&gt;""), HYPERLINK("#'" &amp; C4484 &amp; "'!" &amp; H4484, H4484), "")</f>
        <v>0</v>
      </c>
    </row>
    <row r="4485" spans="2:2">
      <c r="B4485" s="21">
        <f>IF(AND(C4485&lt;&gt;"", H4485&lt;&gt;""), HYPERLINK("#'" &amp; C4485 &amp; "'!" &amp; H4485, H4485), "")</f>
        <v>0</v>
      </c>
    </row>
    <row r="4486" spans="2:2">
      <c r="B4486" s="21">
        <f>IF(AND(C4486&lt;&gt;"", H4486&lt;&gt;""), HYPERLINK("#'" &amp; C4486 &amp; "'!" &amp; H4486, H4486), "")</f>
        <v>0</v>
      </c>
    </row>
    <row r="4487" spans="2:2">
      <c r="B4487" s="21">
        <f>IF(AND(C4487&lt;&gt;"", H4487&lt;&gt;""), HYPERLINK("#'" &amp; C4487 &amp; "'!" &amp; H4487, H4487), "")</f>
        <v>0</v>
      </c>
    </row>
    <row r="4488" spans="2:2">
      <c r="B4488" s="21">
        <f>IF(AND(C4488&lt;&gt;"", H4488&lt;&gt;""), HYPERLINK("#'" &amp; C4488 &amp; "'!" &amp; H4488, H4488), "")</f>
        <v>0</v>
      </c>
    </row>
    <row r="4489" spans="2:2">
      <c r="B4489" s="21">
        <f>IF(AND(C4489&lt;&gt;"", H4489&lt;&gt;""), HYPERLINK("#'" &amp; C4489 &amp; "'!" &amp; H4489, H4489), "")</f>
        <v>0</v>
      </c>
    </row>
    <row r="4490" spans="2:2">
      <c r="B4490" s="21">
        <f>IF(AND(C4490&lt;&gt;"", H4490&lt;&gt;""), HYPERLINK("#'" &amp; C4490 &amp; "'!" &amp; H4490, H4490), "")</f>
        <v>0</v>
      </c>
    </row>
    <row r="4491" spans="2:2">
      <c r="B4491" s="21">
        <f>IF(AND(C4491&lt;&gt;"", H4491&lt;&gt;""), HYPERLINK("#'" &amp; C4491 &amp; "'!" &amp; H4491, H4491), "")</f>
        <v>0</v>
      </c>
    </row>
    <row r="4492" spans="2:2">
      <c r="B4492" s="21">
        <f>IF(AND(C4492&lt;&gt;"", H4492&lt;&gt;""), HYPERLINK("#'" &amp; C4492 &amp; "'!" &amp; H4492, H4492), "")</f>
        <v>0</v>
      </c>
    </row>
    <row r="4493" spans="2:2">
      <c r="B4493" s="21">
        <f>IF(AND(C4493&lt;&gt;"", H4493&lt;&gt;""), HYPERLINK("#'" &amp; C4493 &amp; "'!" &amp; H4493, H4493), "")</f>
        <v>0</v>
      </c>
    </row>
    <row r="4494" spans="2:2">
      <c r="B4494" s="21">
        <f>IF(AND(C4494&lt;&gt;"", H4494&lt;&gt;""), HYPERLINK("#'" &amp; C4494 &amp; "'!" &amp; H4494, H4494), "")</f>
        <v>0</v>
      </c>
    </row>
    <row r="4495" spans="2:2">
      <c r="B4495" s="21">
        <f>IF(AND(C4495&lt;&gt;"", H4495&lt;&gt;""), HYPERLINK("#'" &amp; C4495 &amp; "'!" &amp; H4495, H4495), "")</f>
        <v>0</v>
      </c>
    </row>
    <row r="4496" spans="2:2">
      <c r="B4496" s="21">
        <f>IF(AND(C4496&lt;&gt;"", H4496&lt;&gt;""), HYPERLINK("#'" &amp; C4496 &amp; "'!" &amp; H4496, H4496), "")</f>
        <v>0</v>
      </c>
    </row>
    <row r="4497" spans="2:2">
      <c r="B4497" s="21">
        <f>IF(AND(C4497&lt;&gt;"", H4497&lt;&gt;""), HYPERLINK("#'" &amp; C4497 &amp; "'!" &amp; H4497, H4497), "")</f>
        <v>0</v>
      </c>
    </row>
    <row r="4498" spans="2:2">
      <c r="B4498" s="21">
        <f>IF(AND(C4498&lt;&gt;"", H4498&lt;&gt;""), HYPERLINK("#'" &amp; C4498 &amp; "'!" &amp; H4498, H4498), "")</f>
        <v>0</v>
      </c>
    </row>
    <row r="4499" spans="2:2">
      <c r="B4499" s="21">
        <f>IF(AND(C4499&lt;&gt;"", H4499&lt;&gt;""), HYPERLINK("#'" &amp; C4499 &amp; "'!" &amp; H4499, H4499), "")</f>
        <v>0</v>
      </c>
    </row>
    <row r="4500" spans="2:2">
      <c r="B4500" s="21">
        <f>IF(AND(C4500&lt;&gt;"", H4500&lt;&gt;""), HYPERLINK("#'" &amp; C4500 &amp; "'!" &amp; H4500, H4500), "")</f>
        <v>0</v>
      </c>
    </row>
    <row r="4501" spans="2:2">
      <c r="B4501" s="21">
        <f>IF(AND(C4501&lt;&gt;"", H4501&lt;&gt;""), HYPERLINK("#'" &amp; C4501 &amp; "'!" &amp; H4501, H4501), "")</f>
        <v>0</v>
      </c>
    </row>
    <row r="4502" spans="2:2">
      <c r="B4502" s="21">
        <f>IF(AND(C4502&lt;&gt;"", H4502&lt;&gt;""), HYPERLINK("#'" &amp; C4502 &amp; "'!" &amp; H4502, H4502), "")</f>
        <v>0</v>
      </c>
    </row>
    <row r="4503" spans="2:2">
      <c r="B4503" s="21">
        <f>IF(AND(C4503&lt;&gt;"", H4503&lt;&gt;""), HYPERLINK("#'" &amp; C4503 &amp; "'!" &amp; H4503, H4503), "")</f>
        <v>0</v>
      </c>
    </row>
    <row r="4504" spans="2:2">
      <c r="B4504" s="21">
        <f>IF(AND(C4504&lt;&gt;"", H4504&lt;&gt;""), HYPERLINK("#'" &amp; C4504 &amp; "'!" &amp; H4504, H4504), "")</f>
        <v>0</v>
      </c>
    </row>
    <row r="4505" spans="2:2">
      <c r="B4505" s="21">
        <f>IF(AND(C4505&lt;&gt;"", H4505&lt;&gt;""), HYPERLINK("#'" &amp; C4505 &amp; "'!" &amp; H4505, H4505), "")</f>
        <v>0</v>
      </c>
    </row>
    <row r="4506" spans="2:2">
      <c r="B4506" s="21">
        <f>IF(AND(C4506&lt;&gt;"", H4506&lt;&gt;""), HYPERLINK("#'" &amp; C4506 &amp; "'!" &amp; H4506, H4506), "")</f>
        <v>0</v>
      </c>
    </row>
    <row r="4507" spans="2:2">
      <c r="B4507" s="21">
        <f>IF(AND(C4507&lt;&gt;"", H4507&lt;&gt;""), HYPERLINK("#'" &amp; C4507 &amp; "'!" &amp; H4507, H4507), "")</f>
        <v>0</v>
      </c>
    </row>
    <row r="4508" spans="2:2">
      <c r="B4508" s="21">
        <f>IF(AND(C4508&lt;&gt;"", H4508&lt;&gt;""), HYPERLINK("#'" &amp; C4508 &amp; "'!" &amp; H4508, H4508), "")</f>
        <v>0</v>
      </c>
    </row>
    <row r="4509" spans="2:2">
      <c r="B4509" s="21">
        <f>IF(AND(C4509&lt;&gt;"", H4509&lt;&gt;""), HYPERLINK("#'" &amp; C4509 &amp; "'!" &amp; H4509, H4509), "")</f>
        <v>0</v>
      </c>
    </row>
    <row r="4510" spans="2:2">
      <c r="B4510" s="21">
        <f>IF(AND(C4510&lt;&gt;"", H4510&lt;&gt;""), HYPERLINK("#'" &amp; C4510 &amp; "'!" &amp; H4510, H4510), "")</f>
        <v>0</v>
      </c>
    </row>
    <row r="4511" spans="2:2">
      <c r="B4511" s="21">
        <f>IF(AND(C4511&lt;&gt;"", H4511&lt;&gt;""), HYPERLINK("#'" &amp; C4511 &amp; "'!" &amp; H4511, H4511), "")</f>
        <v>0</v>
      </c>
    </row>
    <row r="4512" spans="2:2">
      <c r="B4512" s="21">
        <f>IF(AND(C4512&lt;&gt;"", H4512&lt;&gt;""), HYPERLINK("#'" &amp; C4512 &amp; "'!" &amp; H4512, H4512), "")</f>
        <v>0</v>
      </c>
    </row>
    <row r="4513" spans="2:2">
      <c r="B4513" s="21">
        <f>IF(AND(C4513&lt;&gt;"", H4513&lt;&gt;""), HYPERLINK("#'" &amp; C4513 &amp; "'!" &amp; H4513, H4513), "")</f>
        <v>0</v>
      </c>
    </row>
    <row r="4514" spans="2:2">
      <c r="B4514" s="21">
        <f>IF(AND(C4514&lt;&gt;"", H4514&lt;&gt;""), HYPERLINK("#'" &amp; C4514 &amp; "'!" &amp; H4514, H4514), "")</f>
        <v>0</v>
      </c>
    </row>
    <row r="4515" spans="2:2">
      <c r="B4515" s="21">
        <f>IF(AND(C4515&lt;&gt;"", H4515&lt;&gt;""), HYPERLINK("#'" &amp; C4515 &amp; "'!" &amp; H4515, H4515), "")</f>
        <v>0</v>
      </c>
    </row>
    <row r="4516" spans="2:2">
      <c r="B4516" s="21">
        <f>IF(AND(C4516&lt;&gt;"", H4516&lt;&gt;""), HYPERLINK("#'" &amp; C4516 &amp; "'!" &amp; H4516, H4516), "")</f>
        <v>0</v>
      </c>
    </row>
    <row r="4517" spans="2:2">
      <c r="B4517" s="21">
        <f>IF(AND(C4517&lt;&gt;"", H4517&lt;&gt;""), HYPERLINK("#'" &amp; C4517 &amp; "'!" &amp; H4517, H4517), "")</f>
        <v>0</v>
      </c>
    </row>
    <row r="4518" spans="2:2">
      <c r="B4518" s="21">
        <f>IF(AND(C4518&lt;&gt;"", H4518&lt;&gt;""), HYPERLINK("#'" &amp; C4518 &amp; "'!" &amp; H4518, H4518), "")</f>
        <v>0</v>
      </c>
    </row>
    <row r="4519" spans="2:2">
      <c r="B4519" s="21">
        <f>IF(AND(C4519&lt;&gt;"", H4519&lt;&gt;""), HYPERLINK("#'" &amp; C4519 &amp; "'!" &amp; H4519, H4519), "")</f>
        <v>0</v>
      </c>
    </row>
    <row r="4520" spans="2:2">
      <c r="B4520" s="21">
        <f>IF(AND(C4520&lt;&gt;"", H4520&lt;&gt;""), HYPERLINK("#'" &amp; C4520 &amp; "'!" &amp; H4520, H4520), "")</f>
        <v>0</v>
      </c>
    </row>
    <row r="4521" spans="2:2">
      <c r="B4521" s="21">
        <f>IF(AND(C4521&lt;&gt;"", H4521&lt;&gt;""), HYPERLINK("#'" &amp; C4521 &amp; "'!" &amp; H4521, H4521), "")</f>
        <v>0</v>
      </c>
    </row>
    <row r="4522" spans="2:2">
      <c r="B4522" s="21">
        <f>IF(AND(C4522&lt;&gt;"", H4522&lt;&gt;""), HYPERLINK("#'" &amp; C4522 &amp; "'!" &amp; H4522, H4522), "")</f>
        <v>0</v>
      </c>
    </row>
    <row r="4523" spans="2:2">
      <c r="B4523" s="21">
        <f>IF(AND(C4523&lt;&gt;"", H4523&lt;&gt;""), HYPERLINK("#'" &amp; C4523 &amp; "'!" &amp; H4523, H4523), "")</f>
        <v>0</v>
      </c>
    </row>
    <row r="4524" spans="2:2">
      <c r="B4524" s="21">
        <f>IF(AND(C4524&lt;&gt;"", H4524&lt;&gt;""), HYPERLINK("#'" &amp; C4524 &amp; "'!" &amp; H4524, H4524), "")</f>
        <v>0</v>
      </c>
    </row>
    <row r="4525" spans="2:2">
      <c r="B4525" s="21">
        <f>IF(AND(C4525&lt;&gt;"", H4525&lt;&gt;""), HYPERLINK("#'" &amp; C4525 &amp; "'!" &amp; H4525, H4525), "")</f>
        <v>0</v>
      </c>
    </row>
    <row r="4526" spans="2:2">
      <c r="B4526" s="21">
        <f>IF(AND(C4526&lt;&gt;"", H4526&lt;&gt;""), HYPERLINK("#'" &amp; C4526 &amp; "'!" &amp; H4526, H4526), "")</f>
        <v>0</v>
      </c>
    </row>
    <row r="4527" spans="2:2">
      <c r="B4527" s="21">
        <f>IF(AND(C4527&lt;&gt;"", H4527&lt;&gt;""), HYPERLINK("#'" &amp; C4527 &amp; "'!" &amp; H4527, H4527), "")</f>
        <v>0</v>
      </c>
    </row>
    <row r="4528" spans="2:2">
      <c r="B4528" s="21">
        <f>IF(AND(C4528&lt;&gt;"", H4528&lt;&gt;""), HYPERLINK("#'" &amp; C4528 &amp; "'!" &amp; H4528, H4528), "")</f>
        <v>0</v>
      </c>
    </row>
    <row r="4529" spans="2:2">
      <c r="B4529" s="21">
        <f>IF(AND(C4529&lt;&gt;"", H4529&lt;&gt;""), HYPERLINK("#'" &amp; C4529 &amp; "'!" &amp; H4529, H4529), "")</f>
        <v>0</v>
      </c>
    </row>
    <row r="4530" spans="2:2">
      <c r="B4530" s="21">
        <f>IF(AND(C4530&lt;&gt;"", H4530&lt;&gt;""), HYPERLINK("#'" &amp; C4530 &amp; "'!" &amp; H4530, H4530), "")</f>
        <v>0</v>
      </c>
    </row>
    <row r="4531" spans="2:2">
      <c r="B4531" s="21">
        <f>IF(AND(C4531&lt;&gt;"", H4531&lt;&gt;""), HYPERLINK("#'" &amp; C4531 &amp; "'!" &amp; H4531, H4531), "")</f>
        <v>0</v>
      </c>
    </row>
    <row r="4532" spans="2:2">
      <c r="B4532" s="21">
        <f>IF(AND(C4532&lt;&gt;"", H4532&lt;&gt;""), HYPERLINK("#'" &amp; C4532 &amp; "'!" &amp; H4532, H4532), "")</f>
        <v>0</v>
      </c>
    </row>
    <row r="4533" spans="2:2">
      <c r="B4533" s="21">
        <f>IF(AND(C4533&lt;&gt;"", H4533&lt;&gt;""), HYPERLINK("#'" &amp; C4533 &amp; "'!" &amp; H4533, H4533), "")</f>
        <v>0</v>
      </c>
    </row>
    <row r="4534" spans="2:2">
      <c r="B4534" s="21">
        <f>IF(AND(C4534&lt;&gt;"", H4534&lt;&gt;""), HYPERLINK("#'" &amp; C4534 &amp; "'!" &amp; H4534, H4534), "")</f>
        <v>0</v>
      </c>
    </row>
    <row r="4535" spans="2:2">
      <c r="B4535" s="21">
        <f>IF(AND(C4535&lt;&gt;"", H4535&lt;&gt;""), HYPERLINK("#'" &amp; C4535 &amp; "'!" &amp; H4535, H4535), "")</f>
        <v>0</v>
      </c>
    </row>
    <row r="4536" spans="2:2">
      <c r="B4536" s="21">
        <f>IF(AND(C4536&lt;&gt;"", H4536&lt;&gt;""), HYPERLINK("#'" &amp; C4536 &amp; "'!" &amp; H4536, H4536), "")</f>
        <v>0</v>
      </c>
    </row>
    <row r="4537" spans="2:2">
      <c r="B4537" s="21">
        <f>IF(AND(C4537&lt;&gt;"", H4537&lt;&gt;""), HYPERLINK("#'" &amp; C4537 &amp; "'!" &amp; H4537, H4537), "")</f>
        <v>0</v>
      </c>
    </row>
    <row r="4538" spans="2:2">
      <c r="B4538" s="21">
        <f>IF(AND(C4538&lt;&gt;"", H4538&lt;&gt;""), HYPERLINK("#'" &amp; C4538 &amp; "'!" &amp; H4538, H4538), "")</f>
        <v>0</v>
      </c>
    </row>
    <row r="4539" spans="2:2">
      <c r="B4539" s="21">
        <f>IF(AND(C4539&lt;&gt;"", H4539&lt;&gt;""), HYPERLINK("#'" &amp; C4539 &amp; "'!" &amp; H4539, H4539), "")</f>
        <v>0</v>
      </c>
    </row>
    <row r="4540" spans="2:2">
      <c r="B4540" s="21">
        <f>IF(AND(C4540&lt;&gt;"", H4540&lt;&gt;""), HYPERLINK("#'" &amp; C4540 &amp; "'!" &amp; H4540, H4540), "")</f>
        <v>0</v>
      </c>
    </row>
    <row r="4541" spans="2:2">
      <c r="B4541" s="21">
        <f>IF(AND(C4541&lt;&gt;"", H4541&lt;&gt;""), HYPERLINK("#'" &amp; C4541 &amp; "'!" &amp; H4541, H4541), "")</f>
        <v>0</v>
      </c>
    </row>
    <row r="4542" spans="2:2">
      <c r="B4542" s="21">
        <f>IF(AND(C4542&lt;&gt;"", H4542&lt;&gt;""), HYPERLINK("#'" &amp; C4542 &amp; "'!" &amp; H4542, H4542), "")</f>
        <v>0</v>
      </c>
    </row>
    <row r="4543" spans="2:2">
      <c r="B4543" s="21">
        <f>IF(AND(C4543&lt;&gt;"", H4543&lt;&gt;""), HYPERLINK("#'" &amp; C4543 &amp; "'!" &amp; H4543, H4543), "")</f>
        <v>0</v>
      </c>
    </row>
    <row r="4544" spans="2:2">
      <c r="B4544" s="21">
        <f>IF(AND(C4544&lt;&gt;"", H4544&lt;&gt;""), HYPERLINK("#'" &amp; C4544 &amp; "'!" &amp; H4544, H4544), "")</f>
        <v>0</v>
      </c>
    </row>
    <row r="4545" spans="2:2">
      <c r="B4545" s="21">
        <f>IF(AND(C4545&lt;&gt;"", H4545&lt;&gt;""), HYPERLINK("#'" &amp; C4545 &amp; "'!" &amp; H4545, H4545), "")</f>
        <v>0</v>
      </c>
    </row>
    <row r="4546" spans="2:2">
      <c r="B4546" s="21">
        <f>IF(AND(C4546&lt;&gt;"", H4546&lt;&gt;""), HYPERLINK("#'" &amp; C4546 &amp; "'!" &amp; H4546, H4546), "")</f>
        <v>0</v>
      </c>
    </row>
    <row r="4547" spans="2:2">
      <c r="B4547" s="21">
        <f>IF(AND(C4547&lt;&gt;"", H4547&lt;&gt;""), HYPERLINK("#'" &amp; C4547 &amp; "'!" &amp; H4547, H4547), "")</f>
        <v>0</v>
      </c>
    </row>
    <row r="4548" spans="2:2">
      <c r="B4548" s="21">
        <f>IF(AND(C4548&lt;&gt;"", H4548&lt;&gt;""), HYPERLINK("#'" &amp; C4548 &amp; "'!" &amp; H4548, H4548), "")</f>
        <v>0</v>
      </c>
    </row>
    <row r="4549" spans="2:2">
      <c r="B4549" s="21">
        <f>IF(AND(C4549&lt;&gt;"", H4549&lt;&gt;""), HYPERLINK("#'" &amp; C4549 &amp; "'!" &amp; H4549, H4549), "")</f>
        <v>0</v>
      </c>
    </row>
    <row r="4550" spans="2:2">
      <c r="B4550" s="21">
        <f>IF(AND(C4550&lt;&gt;"", H4550&lt;&gt;""), HYPERLINK("#'" &amp; C4550 &amp; "'!" &amp; H4550, H4550), "")</f>
        <v>0</v>
      </c>
    </row>
    <row r="4551" spans="2:2">
      <c r="B4551" s="21">
        <f>IF(AND(C4551&lt;&gt;"", H4551&lt;&gt;""), HYPERLINK("#'" &amp; C4551 &amp; "'!" &amp; H4551, H4551), "")</f>
        <v>0</v>
      </c>
    </row>
    <row r="4552" spans="2:2">
      <c r="B4552" s="21">
        <f>IF(AND(C4552&lt;&gt;"", H4552&lt;&gt;""), HYPERLINK("#'" &amp; C4552 &amp; "'!" &amp; H4552, H4552), "")</f>
        <v>0</v>
      </c>
    </row>
    <row r="4553" spans="2:2">
      <c r="B4553" s="21">
        <f>IF(AND(C4553&lt;&gt;"", H4553&lt;&gt;""), HYPERLINK("#'" &amp; C4553 &amp; "'!" &amp; H4553, H4553), "")</f>
        <v>0</v>
      </c>
    </row>
    <row r="4554" spans="2:2">
      <c r="B4554" s="21">
        <f>IF(AND(C4554&lt;&gt;"", H4554&lt;&gt;""), HYPERLINK("#'" &amp; C4554 &amp; "'!" &amp; H4554, H4554), "")</f>
        <v>0</v>
      </c>
    </row>
    <row r="4555" spans="2:2">
      <c r="B4555" s="21">
        <f>IF(AND(C4555&lt;&gt;"", H4555&lt;&gt;""), HYPERLINK("#'" &amp; C4555 &amp; "'!" &amp; H4555, H4555), "")</f>
        <v>0</v>
      </c>
    </row>
    <row r="4556" spans="2:2">
      <c r="B4556" s="21">
        <f>IF(AND(C4556&lt;&gt;"", H4556&lt;&gt;""), HYPERLINK("#'" &amp; C4556 &amp; "'!" &amp; H4556, H4556), "")</f>
        <v>0</v>
      </c>
    </row>
    <row r="4557" spans="2:2">
      <c r="B4557" s="21">
        <f>IF(AND(C4557&lt;&gt;"", H4557&lt;&gt;""), HYPERLINK("#'" &amp; C4557 &amp; "'!" &amp; H4557, H4557), "")</f>
        <v>0</v>
      </c>
    </row>
    <row r="4558" spans="2:2">
      <c r="B4558" s="21">
        <f>IF(AND(C4558&lt;&gt;"", H4558&lt;&gt;""), HYPERLINK("#'" &amp; C4558 &amp; "'!" &amp; H4558, H4558), "")</f>
        <v>0</v>
      </c>
    </row>
    <row r="4559" spans="2:2">
      <c r="B4559" s="21">
        <f>IF(AND(C4559&lt;&gt;"", H4559&lt;&gt;""), HYPERLINK("#'" &amp; C4559 &amp; "'!" &amp; H4559, H4559), "")</f>
        <v>0</v>
      </c>
    </row>
    <row r="4560" spans="2:2">
      <c r="B4560" s="21">
        <f>IF(AND(C4560&lt;&gt;"", H4560&lt;&gt;""), HYPERLINK("#'" &amp; C4560 &amp; "'!" &amp; H4560, H4560), "")</f>
        <v>0</v>
      </c>
    </row>
    <row r="4561" spans="2:2">
      <c r="B4561" s="21">
        <f>IF(AND(C4561&lt;&gt;"", H4561&lt;&gt;""), HYPERLINK("#'" &amp; C4561 &amp; "'!" &amp; H4561, H4561), "")</f>
        <v>0</v>
      </c>
    </row>
    <row r="4562" spans="2:2">
      <c r="B4562" s="21">
        <f>IF(AND(C4562&lt;&gt;"", H4562&lt;&gt;""), HYPERLINK("#'" &amp; C4562 &amp; "'!" &amp; H4562, H4562), "")</f>
        <v>0</v>
      </c>
    </row>
    <row r="4563" spans="2:2">
      <c r="B4563" s="21">
        <f>IF(AND(C4563&lt;&gt;"", H4563&lt;&gt;""), HYPERLINK("#'" &amp; C4563 &amp; "'!" &amp; H4563, H4563), "")</f>
        <v>0</v>
      </c>
    </row>
    <row r="4564" spans="2:2">
      <c r="B4564" s="21">
        <f>IF(AND(C4564&lt;&gt;"", H4564&lt;&gt;""), HYPERLINK("#'" &amp; C4564 &amp; "'!" &amp; H4564, H4564), "")</f>
        <v>0</v>
      </c>
    </row>
    <row r="4565" spans="2:2">
      <c r="B4565" s="21">
        <f>IF(AND(C4565&lt;&gt;"", H4565&lt;&gt;""), HYPERLINK("#'" &amp; C4565 &amp; "'!" &amp; H4565, H4565), "")</f>
        <v>0</v>
      </c>
    </row>
    <row r="4566" spans="2:2">
      <c r="B4566" s="21">
        <f>IF(AND(C4566&lt;&gt;"", H4566&lt;&gt;""), HYPERLINK("#'" &amp; C4566 &amp; "'!" &amp; H4566, H4566), "")</f>
        <v>0</v>
      </c>
    </row>
    <row r="4567" spans="2:2">
      <c r="B4567" s="21">
        <f>IF(AND(C4567&lt;&gt;"", H4567&lt;&gt;""), HYPERLINK("#'" &amp; C4567 &amp; "'!" &amp; H4567, H4567), "")</f>
        <v>0</v>
      </c>
    </row>
    <row r="4568" spans="2:2">
      <c r="B4568" s="21">
        <f>IF(AND(C4568&lt;&gt;"", H4568&lt;&gt;""), HYPERLINK("#'" &amp; C4568 &amp; "'!" &amp; H4568, H4568), "")</f>
        <v>0</v>
      </c>
    </row>
    <row r="4569" spans="2:2">
      <c r="B4569" s="21">
        <f>IF(AND(C4569&lt;&gt;"", H4569&lt;&gt;""), HYPERLINK("#'" &amp; C4569 &amp; "'!" &amp; H4569, H4569), "")</f>
        <v>0</v>
      </c>
    </row>
    <row r="4570" spans="2:2">
      <c r="B4570" s="21">
        <f>IF(AND(C4570&lt;&gt;"", H4570&lt;&gt;""), HYPERLINK("#'" &amp; C4570 &amp; "'!" &amp; H4570, H4570), "")</f>
        <v>0</v>
      </c>
    </row>
    <row r="4571" spans="2:2">
      <c r="B4571" s="21">
        <f>IF(AND(C4571&lt;&gt;"", H4571&lt;&gt;""), HYPERLINK("#'" &amp; C4571 &amp; "'!" &amp; H4571, H4571), "")</f>
        <v>0</v>
      </c>
    </row>
    <row r="4572" spans="2:2">
      <c r="B4572" s="21">
        <f>IF(AND(C4572&lt;&gt;"", H4572&lt;&gt;""), HYPERLINK("#'" &amp; C4572 &amp; "'!" &amp; H4572, H4572), "")</f>
        <v>0</v>
      </c>
    </row>
    <row r="4573" spans="2:2">
      <c r="B4573" s="21">
        <f>IF(AND(C4573&lt;&gt;"", H4573&lt;&gt;""), HYPERLINK("#'" &amp; C4573 &amp; "'!" &amp; H4573, H4573), "")</f>
        <v>0</v>
      </c>
    </row>
    <row r="4574" spans="2:2">
      <c r="B4574" s="21">
        <f>IF(AND(C4574&lt;&gt;"", H4574&lt;&gt;""), HYPERLINK("#'" &amp; C4574 &amp; "'!" &amp; H4574, H4574), "")</f>
        <v>0</v>
      </c>
    </row>
    <row r="4575" spans="2:2">
      <c r="B4575" s="21">
        <f>IF(AND(C4575&lt;&gt;"", H4575&lt;&gt;""), HYPERLINK("#'" &amp; C4575 &amp; "'!" &amp; H4575, H4575), "")</f>
        <v>0</v>
      </c>
    </row>
    <row r="4576" spans="2:2">
      <c r="B4576" s="21">
        <f>IF(AND(C4576&lt;&gt;"", H4576&lt;&gt;""), HYPERLINK("#'" &amp; C4576 &amp; "'!" &amp; H4576, H4576), "")</f>
        <v>0</v>
      </c>
    </row>
    <row r="4577" spans="2:2">
      <c r="B4577" s="21">
        <f>IF(AND(C4577&lt;&gt;"", H4577&lt;&gt;""), HYPERLINK("#'" &amp; C4577 &amp; "'!" &amp; H4577, H4577), "")</f>
        <v>0</v>
      </c>
    </row>
    <row r="4578" spans="2:2">
      <c r="B4578" s="21">
        <f>IF(AND(C4578&lt;&gt;"", H4578&lt;&gt;""), HYPERLINK("#'" &amp; C4578 &amp; "'!" &amp; H4578, H4578), "")</f>
        <v>0</v>
      </c>
    </row>
    <row r="4579" spans="2:2">
      <c r="B4579" s="21">
        <f>IF(AND(C4579&lt;&gt;"", H4579&lt;&gt;""), HYPERLINK("#'" &amp; C4579 &amp; "'!" &amp; H4579, H4579), "")</f>
        <v>0</v>
      </c>
    </row>
    <row r="4580" spans="2:2">
      <c r="B4580" s="21">
        <f>IF(AND(C4580&lt;&gt;"", H4580&lt;&gt;""), HYPERLINK("#'" &amp; C4580 &amp; "'!" &amp; H4580, H4580), "")</f>
        <v>0</v>
      </c>
    </row>
    <row r="4581" spans="2:2">
      <c r="B4581" s="21">
        <f>IF(AND(C4581&lt;&gt;"", H4581&lt;&gt;""), HYPERLINK("#'" &amp; C4581 &amp; "'!" &amp; H4581, H4581), "")</f>
        <v>0</v>
      </c>
    </row>
    <row r="4582" spans="2:2">
      <c r="B4582" s="21">
        <f>IF(AND(C4582&lt;&gt;"", H4582&lt;&gt;""), HYPERLINK("#'" &amp; C4582 &amp; "'!" &amp; H4582, H4582), "")</f>
        <v>0</v>
      </c>
    </row>
    <row r="4583" spans="2:2">
      <c r="B4583" s="21">
        <f>IF(AND(C4583&lt;&gt;"", H4583&lt;&gt;""), HYPERLINK("#'" &amp; C4583 &amp; "'!" &amp; H4583, H4583), "")</f>
        <v>0</v>
      </c>
    </row>
    <row r="4584" spans="2:2">
      <c r="B4584" s="21">
        <f>IF(AND(C4584&lt;&gt;"", H4584&lt;&gt;""), HYPERLINK("#'" &amp; C4584 &amp; "'!" &amp; H4584, H4584), "")</f>
        <v>0</v>
      </c>
    </row>
    <row r="4585" spans="2:2">
      <c r="B4585" s="21">
        <f>IF(AND(C4585&lt;&gt;"", H4585&lt;&gt;""), HYPERLINK("#'" &amp; C4585 &amp; "'!" &amp; H4585, H4585), "")</f>
        <v>0</v>
      </c>
    </row>
    <row r="4586" spans="2:2">
      <c r="B4586" s="21">
        <f>IF(AND(C4586&lt;&gt;"", H4586&lt;&gt;""), HYPERLINK("#'" &amp; C4586 &amp; "'!" &amp; H4586, H4586), "")</f>
        <v>0</v>
      </c>
    </row>
    <row r="4587" spans="2:2">
      <c r="B4587" s="21">
        <f>IF(AND(C4587&lt;&gt;"", H4587&lt;&gt;""), HYPERLINK("#'" &amp; C4587 &amp; "'!" &amp; H4587, H4587), "")</f>
        <v>0</v>
      </c>
    </row>
    <row r="4588" spans="2:2">
      <c r="B4588" s="21">
        <f>IF(AND(C4588&lt;&gt;"", H4588&lt;&gt;""), HYPERLINK("#'" &amp; C4588 &amp; "'!" &amp; H4588, H4588), "")</f>
        <v>0</v>
      </c>
    </row>
    <row r="4589" spans="2:2">
      <c r="B4589" s="21">
        <f>IF(AND(C4589&lt;&gt;"", H4589&lt;&gt;""), HYPERLINK("#'" &amp; C4589 &amp; "'!" &amp; H4589, H4589), "")</f>
        <v>0</v>
      </c>
    </row>
    <row r="4590" spans="2:2">
      <c r="B4590" s="21">
        <f>IF(AND(C4590&lt;&gt;"", H4590&lt;&gt;""), HYPERLINK("#'" &amp; C4590 &amp; "'!" &amp; H4590, H4590), "")</f>
        <v>0</v>
      </c>
    </row>
    <row r="4591" spans="2:2">
      <c r="B4591" s="21">
        <f>IF(AND(C4591&lt;&gt;"", H4591&lt;&gt;""), HYPERLINK("#'" &amp; C4591 &amp; "'!" &amp; H4591, H4591), "")</f>
        <v>0</v>
      </c>
    </row>
    <row r="4592" spans="2:2">
      <c r="B4592" s="21">
        <f>IF(AND(C4592&lt;&gt;"", H4592&lt;&gt;""), HYPERLINK("#'" &amp; C4592 &amp; "'!" &amp; H4592, H4592), "")</f>
        <v>0</v>
      </c>
    </row>
    <row r="4593" spans="2:2">
      <c r="B4593" s="21">
        <f>IF(AND(C4593&lt;&gt;"", H4593&lt;&gt;""), HYPERLINK("#'" &amp; C4593 &amp; "'!" &amp; H4593, H4593), "")</f>
        <v>0</v>
      </c>
    </row>
    <row r="4594" spans="2:2">
      <c r="B4594" s="21">
        <f>IF(AND(C4594&lt;&gt;"", H4594&lt;&gt;""), HYPERLINK("#'" &amp; C4594 &amp; "'!" &amp; H4594, H4594), "")</f>
        <v>0</v>
      </c>
    </row>
    <row r="4595" spans="2:2">
      <c r="B4595" s="21">
        <f>IF(AND(C4595&lt;&gt;"", H4595&lt;&gt;""), HYPERLINK("#'" &amp; C4595 &amp; "'!" &amp; H4595, H4595), "")</f>
        <v>0</v>
      </c>
    </row>
    <row r="4596" spans="2:2">
      <c r="B4596" s="21">
        <f>IF(AND(C4596&lt;&gt;"", H4596&lt;&gt;""), HYPERLINK("#'" &amp; C4596 &amp; "'!" &amp; H4596, H4596), "")</f>
        <v>0</v>
      </c>
    </row>
    <row r="4597" spans="2:2">
      <c r="B4597" s="21">
        <f>IF(AND(C4597&lt;&gt;"", H4597&lt;&gt;""), HYPERLINK("#'" &amp; C4597 &amp; "'!" &amp; H4597, H4597), "")</f>
        <v>0</v>
      </c>
    </row>
    <row r="4598" spans="2:2">
      <c r="B4598" s="21">
        <f>IF(AND(C4598&lt;&gt;"", H4598&lt;&gt;""), HYPERLINK("#'" &amp; C4598 &amp; "'!" &amp; H4598, H4598), "")</f>
        <v>0</v>
      </c>
    </row>
    <row r="4599" spans="2:2">
      <c r="B4599" s="21">
        <f>IF(AND(C4599&lt;&gt;"", H4599&lt;&gt;""), HYPERLINK("#'" &amp; C4599 &amp; "'!" &amp; H4599, H4599), "")</f>
        <v>0</v>
      </c>
    </row>
    <row r="4600" spans="2:2">
      <c r="B4600" s="21">
        <f>IF(AND(C4600&lt;&gt;"", H4600&lt;&gt;""), HYPERLINK("#'" &amp; C4600 &amp; "'!" &amp; H4600, H4600), "")</f>
        <v>0</v>
      </c>
    </row>
    <row r="4601" spans="2:2">
      <c r="B4601" s="21">
        <f>IF(AND(C4601&lt;&gt;"", H4601&lt;&gt;""), HYPERLINK("#'" &amp; C4601 &amp; "'!" &amp; H4601, H4601), "")</f>
        <v>0</v>
      </c>
    </row>
    <row r="4602" spans="2:2">
      <c r="B4602" s="21">
        <f>IF(AND(C4602&lt;&gt;"", H4602&lt;&gt;""), HYPERLINK("#'" &amp; C4602 &amp; "'!" &amp; H4602, H4602), "")</f>
        <v>0</v>
      </c>
    </row>
    <row r="4603" spans="2:2">
      <c r="B4603" s="21">
        <f>IF(AND(C4603&lt;&gt;"", H4603&lt;&gt;""), HYPERLINK("#'" &amp; C4603 &amp; "'!" &amp; H4603, H4603), "")</f>
        <v>0</v>
      </c>
    </row>
    <row r="4604" spans="2:2">
      <c r="B4604" s="21">
        <f>IF(AND(C4604&lt;&gt;"", H4604&lt;&gt;""), HYPERLINK("#'" &amp; C4604 &amp; "'!" &amp; H4604, H4604), "")</f>
        <v>0</v>
      </c>
    </row>
    <row r="4605" spans="2:2">
      <c r="B4605" s="21">
        <f>IF(AND(C4605&lt;&gt;"", H4605&lt;&gt;""), HYPERLINK("#'" &amp; C4605 &amp; "'!" &amp; H4605, H4605), "")</f>
        <v>0</v>
      </c>
    </row>
    <row r="4606" spans="2:2">
      <c r="B4606" s="21">
        <f>IF(AND(C4606&lt;&gt;"", H4606&lt;&gt;""), HYPERLINK("#'" &amp; C4606 &amp; "'!" &amp; H4606, H4606), "")</f>
        <v>0</v>
      </c>
    </row>
    <row r="4607" spans="2:2">
      <c r="B4607" s="21">
        <f>IF(AND(C4607&lt;&gt;"", H4607&lt;&gt;""), HYPERLINK("#'" &amp; C4607 &amp; "'!" &amp; H4607, H4607), "")</f>
        <v>0</v>
      </c>
    </row>
    <row r="4608" spans="2:2">
      <c r="B4608" s="21">
        <f>IF(AND(C4608&lt;&gt;"", H4608&lt;&gt;""), HYPERLINK("#'" &amp; C4608 &amp; "'!" &amp; H4608, H4608), "")</f>
        <v>0</v>
      </c>
    </row>
    <row r="4609" spans="2:2">
      <c r="B4609" s="21">
        <f>IF(AND(C4609&lt;&gt;"", H4609&lt;&gt;""), HYPERLINK("#'" &amp; C4609 &amp; "'!" &amp; H4609, H4609), "")</f>
        <v>0</v>
      </c>
    </row>
    <row r="4610" spans="2:2">
      <c r="B4610" s="21">
        <f>IF(AND(C4610&lt;&gt;"", H4610&lt;&gt;""), HYPERLINK("#'" &amp; C4610 &amp; "'!" &amp; H4610, H4610), "")</f>
        <v>0</v>
      </c>
    </row>
    <row r="4611" spans="2:2">
      <c r="B4611" s="21">
        <f>IF(AND(C4611&lt;&gt;"", H4611&lt;&gt;""), HYPERLINK("#'" &amp; C4611 &amp; "'!" &amp; H4611, H4611), "")</f>
        <v>0</v>
      </c>
    </row>
    <row r="4612" spans="2:2">
      <c r="B4612" s="21">
        <f>IF(AND(C4612&lt;&gt;"", H4612&lt;&gt;""), HYPERLINK("#'" &amp; C4612 &amp; "'!" &amp; H4612, H4612), "")</f>
        <v>0</v>
      </c>
    </row>
    <row r="4613" spans="2:2">
      <c r="B4613" s="21">
        <f>IF(AND(C4613&lt;&gt;"", H4613&lt;&gt;""), HYPERLINK("#'" &amp; C4613 &amp; "'!" &amp; H4613, H4613), "")</f>
        <v>0</v>
      </c>
    </row>
    <row r="4614" spans="2:2">
      <c r="B4614" s="21">
        <f>IF(AND(C4614&lt;&gt;"", H4614&lt;&gt;""), HYPERLINK("#'" &amp; C4614 &amp; "'!" &amp; H4614, H4614), "")</f>
        <v>0</v>
      </c>
    </row>
    <row r="4615" spans="2:2">
      <c r="B4615" s="21">
        <f>IF(AND(C4615&lt;&gt;"", H4615&lt;&gt;""), HYPERLINK("#'" &amp; C4615 &amp; "'!" &amp; H4615, H4615), "")</f>
        <v>0</v>
      </c>
    </row>
    <row r="4616" spans="2:2">
      <c r="B4616" s="21">
        <f>IF(AND(C4616&lt;&gt;"", H4616&lt;&gt;""), HYPERLINK("#'" &amp; C4616 &amp; "'!" &amp; H4616, H4616), "")</f>
        <v>0</v>
      </c>
    </row>
    <row r="4617" spans="2:2">
      <c r="B4617" s="21">
        <f>IF(AND(C4617&lt;&gt;"", H4617&lt;&gt;""), HYPERLINK("#'" &amp; C4617 &amp; "'!" &amp; H4617, H4617), "")</f>
        <v>0</v>
      </c>
    </row>
    <row r="4618" spans="2:2">
      <c r="B4618" s="21">
        <f>IF(AND(C4618&lt;&gt;"", H4618&lt;&gt;""), HYPERLINK("#'" &amp; C4618 &amp; "'!" &amp; H4618, H4618), "")</f>
        <v>0</v>
      </c>
    </row>
    <row r="4619" spans="2:2">
      <c r="B4619" s="21">
        <f>IF(AND(C4619&lt;&gt;"", H4619&lt;&gt;""), HYPERLINK("#'" &amp; C4619 &amp; "'!" &amp; H4619, H4619), "")</f>
        <v>0</v>
      </c>
    </row>
    <row r="4620" spans="2:2">
      <c r="B4620" s="21">
        <f>IF(AND(C4620&lt;&gt;"", H4620&lt;&gt;""), HYPERLINK("#'" &amp; C4620 &amp; "'!" &amp; H4620, H4620), "")</f>
        <v>0</v>
      </c>
    </row>
    <row r="4621" spans="2:2">
      <c r="B4621" s="21">
        <f>IF(AND(C4621&lt;&gt;"", H4621&lt;&gt;""), HYPERLINK("#'" &amp; C4621 &amp; "'!" &amp; H4621, H4621), "")</f>
        <v>0</v>
      </c>
    </row>
    <row r="4622" spans="2:2">
      <c r="B4622" s="21">
        <f>IF(AND(C4622&lt;&gt;"", H4622&lt;&gt;""), HYPERLINK("#'" &amp; C4622 &amp; "'!" &amp; H4622, H4622), "")</f>
        <v>0</v>
      </c>
    </row>
    <row r="4623" spans="2:2">
      <c r="B4623" s="21">
        <f>IF(AND(C4623&lt;&gt;"", H4623&lt;&gt;""), HYPERLINK("#'" &amp; C4623 &amp; "'!" &amp; H4623, H4623), "")</f>
        <v>0</v>
      </c>
    </row>
    <row r="4624" spans="2:2">
      <c r="B4624" s="21">
        <f>IF(AND(C4624&lt;&gt;"", H4624&lt;&gt;""), HYPERLINK("#'" &amp; C4624 &amp; "'!" &amp; H4624, H4624), "")</f>
        <v>0</v>
      </c>
    </row>
    <row r="4625" spans="2:2">
      <c r="B4625" s="21">
        <f>IF(AND(C4625&lt;&gt;"", H4625&lt;&gt;""), HYPERLINK("#'" &amp; C4625 &amp; "'!" &amp; H4625, H4625), "")</f>
        <v>0</v>
      </c>
    </row>
    <row r="4626" spans="2:2">
      <c r="B4626" s="21">
        <f>IF(AND(C4626&lt;&gt;"", H4626&lt;&gt;""), HYPERLINK("#'" &amp; C4626 &amp; "'!" &amp; H4626, H4626), "")</f>
        <v>0</v>
      </c>
    </row>
    <row r="4627" spans="2:2">
      <c r="B4627" s="21">
        <f>IF(AND(C4627&lt;&gt;"", H4627&lt;&gt;""), HYPERLINK("#'" &amp; C4627 &amp; "'!" &amp; H4627, H4627), "")</f>
        <v>0</v>
      </c>
    </row>
    <row r="4628" spans="2:2">
      <c r="B4628" s="21">
        <f>IF(AND(C4628&lt;&gt;"", H4628&lt;&gt;""), HYPERLINK("#'" &amp; C4628 &amp; "'!" &amp; H4628, H4628), "")</f>
        <v>0</v>
      </c>
    </row>
    <row r="4629" spans="2:2">
      <c r="B4629" s="21">
        <f>IF(AND(C4629&lt;&gt;"", H4629&lt;&gt;""), HYPERLINK("#'" &amp; C4629 &amp; "'!" &amp; H4629, H4629), "")</f>
        <v>0</v>
      </c>
    </row>
    <row r="4630" spans="2:2">
      <c r="B4630" s="21">
        <f>IF(AND(C4630&lt;&gt;"", H4630&lt;&gt;""), HYPERLINK("#'" &amp; C4630 &amp; "'!" &amp; H4630, H4630), "")</f>
        <v>0</v>
      </c>
    </row>
    <row r="4631" spans="2:2">
      <c r="B4631" s="21">
        <f>IF(AND(C4631&lt;&gt;"", H4631&lt;&gt;""), HYPERLINK("#'" &amp; C4631 &amp; "'!" &amp; H4631, H4631), "")</f>
        <v>0</v>
      </c>
    </row>
    <row r="4632" spans="2:2">
      <c r="B4632" s="21">
        <f>IF(AND(C4632&lt;&gt;"", H4632&lt;&gt;""), HYPERLINK("#'" &amp; C4632 &amp; "'!" &amp; H4632, H4632), "")</f>
        <v>0</v>
      </c>
    </row>
    <row r="4633" spans="2:2">
      <c r="B4633" s="21">
        <f>IF(AND(C4633&lt;&gt;"", H4633&lt;&gt;""), HYPERLINK("#'" &amp; C4633 &amp; "'!" &amp; H4633, H4633), "")</f>
        <v>0</v>
      </c>
    </row>
    <row r="4634" spans="2:2">
      <c r="B4634" s="21">
        <f>IF(AND(C4634&lt;&gt;"", H4634&lt;&gt;""), HYPERLINK("#'" &amp; C4634 &amp; "'!" &amp; H4634, H4634), "")</f>
        <v>0</v>
      </c>
    </row>
    <row r="4635" spans="2:2">
      <c r="B4635" s="21">
        <f>IF(AND(C4635&lt;&gt;"", H4635&lt;&gt;""), HYPERLINK("#'" &amp; C4635 &amp; "'!" &amp; H4635, H4635), "")</f>
        <v>0</v>
      </c>
    </row>
    <row r="4636" spans="2:2">
      <c r="B4636" s="21">
        <f>IF(AND(C4636&lt;&gt;"", H4636&lt;&gt;""), HYPERLINK("#'" &amp; C4636 &amp; "'!" &amp; H4636, H4636), "")</f>
        <v>0</v>
      </c>
    </row>
    <row r="4637" spans="2:2">
      <c r="B4637" s="21">
        <f>IF(AND(C4637&lt;&gt;"", H4637&lt;&gt;""), HYPERLINK("#'" &amp; C4637 &amp; "'!" &amp; H4637, H4637), "")</f>
        <v>0</v>
      </c>
    </row>
    <row r="4638" spans="2:2">
      <c r="B4638" s="21">
        <f>IF(AND(C4638&lt;&gt;"", H4638&lt;&gt;""), HYPERLINK("#'" &amp; C4638 &amp; "'!" &amp; H4638, H4638), "")</f>
        <v>0</v>
      </c>
    </row>
    <row r="4639" spans="2:2">
      <c r="B4639" s="21">
        <f>IF(AND(C4639&lt;&gt;"", H4639&lt;&gt;""), HYPERLINK("#'" &amp; C4639 &amp; "'!" &amp; H4639, H4639), "")</f>
        <v>0</v>
      </c>
    </row>
    <row r="4640" spans="2:2">
      <c r="B4640" s="21">
        <f>IF(AND(C4640&lt;&gt;"", H4640&lt;&gt;""), HYPERLINK("#'" &amp; C4640 &amp; "'!" &amp; H4640, H4640), "")</f>
        <v>0</v>
      </c>
    </row>
    <row r="4641" spans="2:2">
      <c r="B4641" s="21">
        <f>IF(AND(C4641&lt;&gt;"", H4641&lt;&gt;""), HYPERLINK("#'" &amp; C4641 &amp; "'!" &amp; H4641, H4641), "")</f>
        <v>0</v>
      </c>
    </row>
    <row r="4642" spans="2:2">
      <c r="B4642" s="21">
        <f>IF(AND(C4642&lt;&gt;"", H4642&lt;&gt;""), HYPERLINK("#'" &amp; C4642 &amp; "'!" &amp; H4642, H4642), "")</f>
        <v>0</v>
      </c>
    </row>
    <row r="4643" spans="2:2">
      <c r="B4643" s="21">
        <f>IF(AND(C4643&lt;&gt;"", H4643&lt;&gt;""), HYPERLINK("#'" &amp; C4643 &amp; "'!" &amp; H4643, H4643), "")</f>
        <v>0</v>
      </c>
    </row>
    <row r="4644" spans="2:2">
      <c r="B4644" s="21">
        <f>IF(AND(C4644&lt;&gt;"", H4644&lt;&gt;""), HYPERLINK("#'" &amp; C4644 &amp; "'!" &amp; H4644, H4644), "")</f>
        <v>0</v>
      </c>
    </row>
    <row r="4645" spans="2:2">
      <c r="B4645" s="21">
        <f>IF(AND(C4645&lt;&gt;"", H4645&lt;&gt;""), HYPERLINK("#'" &amp; C4645 &amp; "'!" &amp; H4645, H4645), "")</f>
        <v>0</v>
      </c>
    </row>
    <row r="4646" spans="2:2">
      <c r="B4646" s="21">
        <f>IF(AND(C4646&lt;&gt;"", H4646&lt;&gt;""), HYPERLINK("#'" &amp; C4646 &amp; "'!" &amp; H4646, H4646), "")</f>
        <v>0</v>
      </c>
    </row>
    <row r="4647" spans="2:2">
      <c r="B4647" s="21">
        <f>IF(AND(C4647&lt;&gt;"", H4647&lt;&gt;""), HYPERLINK("#'" &amp; C4647 &amp; "'!" &amp; H4647, H4647), "")</f>
        <v>0</v>
      </c>
    </row>
    <row r="4648" spans="2:2">
      <c r="B4648" s="21">
        <f>IF(AND(C4648&lt;&gt;"", H4648&lt;&gt;""), HYPERLINK("#'" &amp; C4648 &amp; "'!" &amp; H4648, H4648), "")</f>
        <v>0</v>
      </c>
    </row>
    <row r="4649" spans="2:2">
      <c r="B4649" s="21">
        <f>IF(AND(C4649&lt;&gt;"", H4649&lt;&gt;""), HYPERLINK("#'" &amp; C4649 &amp; "'!" &amp; H4649, H4649), "")</f>
        <v>0</v>
      </c>
    </row>
    <row r="4650" spans="2:2">
      <c r="B4650" s="21">
        <f>IF(AND(C4650&lt;&gt;"", H4650&lt;&gt;""), HYPERLINK("#'" &amp; C4650 &amp; "'!" &amp; H4650, H4650), "")</f>
        <v>0</v>
      </c>
    </row>
    <row r="4651" spans="2:2">
      <c r="B4651" s="21">
        <f>IF(AND(C4651&lt;&gt;"", H4651&lt;&gt;""), HYPERLINK("#'" &amp; C4651 &amp; "'!" &amp; H4651, H4651), "")</f>
        <v>0</v>
      </c>
    </row>
    <row r="4652" spans="2:2">
      <c r="B4652" s="21">
        <f>IF(AND(C4652&lt;&gt;"", H4652&lt;&gt;""), HYPERLINK("#'" &amp; C4652 &amp; "'!" &amp; H4652, H4652), "")</f>
        <v>0</v>
      </c>
    </row>
    <row r="4653" spans="2:2">
      <c r="B4653" s="21">
        <f>IF(AND(C4653&lt;&gt;"", H4653&lt;&gt;""), HYPERLINK("#'" &amp; C4653 &amp; "'!" &amp; H4653, H4653), "")</f>
        <v>0</v>
      </c>
    </row>
    <row r="4654" spans="2:2">
      <c r="B4654" s="21">
        <f>IF(AND(C4654&lt;&gt;"", H4654&lt;&gt;""), HYPERLINK("#'" &amp; C4654 &amp; "'!" &amp; H4654, H4654), "")</f>
        <v>0</v>
      </c>
    </row>
    <row r="4655" spans="2:2">
      <c r="B4655" s="21">
        <f>IF(AND(C4655&lt;&gt;"", H4655&lt;&gt;""), HYPERLINK("#'" &amp; C4655 &amp; "'!" &amp; H4655, H4655), "")</f>
        <v>0</v>
      </c>
    </row>
    <row r="4656" spans="2:2">
      <c r="B4656" s="21">
        <f>IF(AND(C4656&lt;&gt;"", H4656&lt;&gt;""), HYPERLINK("#'" &amp; C4656 &amp; "'!" &amp; H4656, H4656), "")</f>
        <v>0</v>
      </c>
    </row>
    <row r="4657" spans="2:2">
      <c r="B4657" s="21">
        <f>IF(AND(C4657&lt;&gt;"", H4657&lt;&gt;""), HYPERLINK("#'" &amp; C4657 &amp; "'!" &amp; H4657, H4657), "")</f>
        <v>0</v>
      </c>
    </row>
    <row r="4658" spans="2:2">
      <c r="B4658" s="21">
        <f>IF(AND(C4658&lt;&gt;"", H4658&lt;&gt;""), HYPERLINK("#'" &amp; C4658 &amp; "'!" &amp; H4658, H4658), "")</f>
        <v>0</v>
      </c>
    </row>
    <row r="4659" spans="2:2">
      <c r="B4659" s="21">
        <f>IF(AND(C4659&lt;&gt;"", H4659&lt;&gt;""), HYPERLINK("#'" &amp; C4659 &amp; "'!" &amp; H4659, H4659), "")</f>
        <v>0</v>
      </c>
    </row>
    <row r="4660" spans="2:2">
      <c r="B4660" s="21">
        <f>IF(AND(C4660&lt;&gt;"", H4660&lt;&gt;""), HYPERLINK("#'" &amp; C4660 &amp; "'!" &amp; H4660, H4660), "")</f>
        <v>0</v>
      </c>
    </row>
    <row r="4661" spans="2:2">
      <c r="B4661" s="21">
        <f>IF(AND(C4661&lt;&gt;"", H4661&lt;&gt;""), HYPERLINK("#'" &amp; C4661 &amp; "'!" &amp; H4661, H4661), "")</f>
        <v>0</v>
      </c>
    </row>
    <row r="4662" spans="2:2">
      <c r="B4662" s="21">
        <f>IF(AND(C4662&lt;&gt;"", H4662&lt;&gt;""), HYPERLINK("#'" &amp; C4662 &amp; "'!" &amp; H4662, H4662), "")</f>
        <v>0</v>
      </c>
    </row>
    <row r="4663" spans="2:2">
      <c r="B4663" s="21">
        <f>IF(AND(C4663&lt;&gt;"", H4663&lt;&gt;""), HYPERLINK("#'" &amp; C4663 &amp; "'!" &amp; H4663, H4663), "")</f>
        <v>0</v>
      </c>
    </row>
    <row r="4664" spans="2:2">
      <c r="B4664" s="21">
        <f>IF(AND(C4664&lt;&gt;"", H4664&lt;&gt;""), HYPERLINK("#'" &amp; C4664 &amp; "'!" &amp; H4664, H4664), "")</f>
        <v>0</v>
      </c>
    </row>
    <row r="4665" spans="2:2">
      <c r="B4665" s="21">
        <f>IF(AND(C4665&lt;&gt;"", H4665&lt;&gt;""), HYPERLINK("#'" &amp; C4665 &amp; "'!" &amp; H4665, H4665), "")</f>
        <v>0</v>
      </c>
    </row>
    <row r="4666" spans="2:2">
      <c r="B4666" s="21">
        <f>IF(AND(C4666&lt;&gt;"", H4666&lt;&gt;""), HYPERLINK("#'" &amp; C4666 &amp; "'!" &amp; H4666, H4666), "")</f>
        <v>0</v>
      </c>
    </row>
    <row r="4667" spans="2:2">
      <c r="B4667" s="21">
        <f>IF(AND(C4667&lt;&gt;"", H4667&lt;&gt;""), HYPERLINK("#'" &amp; C4667 &amp; "'!" &amp; H4667, H4667), "")</f>
        <v>0</v>
      </c>
    </row>
    <row r="4668" spans="2:2">
      <c r="B4668" s="21">
        <f>IF(AND(C4668&lt;&gt;"", H4668&lt;&gt;""), HYPERLINK("#'" &amp; C4668 &amp; "'!" &amp; H4668, H4668), "")</f>
        <v>0</v>
      </c>
    </row>
    <row r="4669" spans="2:2">
      <c r="B4669" s="21">
        <f>IF(AND(C4669&lt;&gt;"", H4669&lt;&gt;""), HYPERLINK("#'" &amp; C4669 &amp; "'!" &amp; H4669, H4669), "")</f>
        <v>0</v>
      </c>
    </row>
    <row r="4670" spans="2:2">
      <c r="B4670" s="21">
        <f>IF(AND(C4670&lt;&gt;"", H4670&lt;&gt;""), HYPERLINK("#'" &amp; C4670 &amp; "'!" &amp; H4670, H4670), "")</f>
        <v>0</v>
      </c>
    </row>
    <row r="4671" spans="2:2">
      <c r="B4671" s="21">
        <f>IF(AND(C4671&lt;&gt;"", H4671&lt;&gt;""), HYPERLINK("#'" &amp; C4671 &amp; "'!" &amp; H4671, H4671), "")</f>
        <v>0</v>
      </c>
    </row>
    <row r="4672" spans="2:2">
      <c r="B4672" s="21">
        <f>IF(AND(C4672&lt;&gt;"", H4672&lt;&gt;""), HYPERLINK("#'" &amp; C4672 &amp; "'!" &amp; H4672, H4672), "")</f>
        <v>0</v>
      </c>
    </row>
    <row r="4673" spans="2:2">
      <c r="B4673" s="21">
        <f>IF(AND(C4673&lt;&gt;"", H4673&lt;&gt;""), HYPERLINK("#'" &amp; C4673 &amp; "'!" &amp; H4673, H4673), "")</f>
        <v>0</v>
      </c>
    </row>
    <row r="4674" spans="2:2">
      <c r="B4674" s="21">
        <f>IF(AND(C4674&lt;&gt;"", H4674&lt;&gt;""), HYPERLINK("#'" &amp; C4674 &amp; "'!" &amp; H4674, H4674), "")</f>
        <v>0</v>
      </c>
    </row>
    <row r="4675" spans="2:2">
      <c r="B4675" s="21">
        <f>IF(AND(C4675&lt;&gt;"", H4675&lt;&gt;""), HYPERLINK("#'" &amp; C4675 &amp; "'!" &amp; H4675, H4675), "")</f>
        <v>0</v>
      </c>
    </row>
    <row r="4676" spans="2:2">
      <c r="B4676" s="21">
        <f>IF(AND(C4676&lt;&gt;"", H4676&lt;&gt;""), HYPERLINK("#'" &amp; C4676 &amp; "'!" &amp; H4676, H4676), "")</f>
        <v>0</v>
      </c>
    </row>
    <row r="4677" spans="2:2">
      <c r="B4677" s="21">
        <f>IF(AND(C4677&lt;&gt;"", H4677&lt;&gt;""), HYPERLINK("#'" &amp; C4677 &amp; "'!" &amp; H4677, H4677), "")</f>
        <v>0</v>
      </c>
    </row>
    <row r="4678" spans="2:2">
      <c r="B4678" s="21">
        <f>IF(AND(C4678&lt;&gt;"", H4678&lt;&gt;""), HYPERLINK("#'" &amp; C4678 &amp; "'!" &amp; H4678, H4678), "")</f>
        <v>0</v>
      </c>
    </row>
    <row r="4679" spans="2:2">
      <c r="B4679" s="21">
        <f>IF(AND(C4679&lt;&gt;"", H4679&lt;&gt;""), HYPERLINK("#'" &amp; C4679 &amp; "'!" &amp; H4679, H4679), "")</f>
        <v>0</v>
      </c>
    </row>
    <row r="4680" spans="2:2">
      <c r="B4680" s="21">
        <f>IF(AND(C4680&lt;&gt;"", H4680&lt;&gt;""), HYPERLINK("#'" &amp; C4680 &amp; "'!" &amp; H4680, H4680), "")</f>
        <v>0</v>
      </c>
    </row>
    <row r="4681" spans="2:2">
      <c r="B4681" s="21">
        <f>IF(AND(C4681&lt;&gt;"", H4681&lt;&gt;""), HYPERLINK("#'" &amp; C4681 &amp; "'!" &amp; H4681, H4681), "")</f>
        <v>0</v>
      </c>
    </row>
    <row r="4682" spans="2:2">
      <c r="B4682" s="21">
        <f>IF(AND(C4682&lt;&gt;"", H4682&lt;&gt;""), HYPERLINK("#'" &amp; C4682 &amp; "'!" &amp; H4682, H4682), "")</f>
        <v>0</v>
      </c>
    </row>
    <row r="4683" spans="2:2">
      <c r="B4683" s="21">
        <f>IF(AND(C4683&lt;&gt;"", H4683&lt;&gt;""), HYPERLINK("#'" &amp; C4683 &amp; "'!" &amp; H4683, H4683), "")</f>
        <v>0</v>
      </c>
    </row>
    <row r="4684" spans="2:2">
      <c r="B4684" s="21">
        <f>IF(AND(C4684&lt;&gt;"", H4684&lt;&gt;""), HYPERLINK("#'" &amp; C4684 &amp; "'!" &amp; H4684, H4684), "")</f>
        <v>0</v>
      </c>
    </row>
    <row r="4685" spans="2:2">
      <c r="B4685" s="21">
        <f>IF(AND(C4685&lt;&gt;"", H4685&lt;&gt;""), HYPERLINK("#'" &amp; C4685 &amp; "'!" &amp; H4685, H4685), "")</f>
        <v>0</v>
      </c>
    </row>
    <row r="4686" spans="2:2">
      <c r="B4686" s="21">
        <f>IF(AND(C4686&lt;&gt;"", H4686&lt;&gt;""), HYPERLINK("#'" &amp; C4686 &amp; "'!" &amp; H4686, H4686), "")</f>
        <v>0</v>
      </c>
    </row>
    <row r="4687" spans="2:2">
      <c r="B4687" s="21">
        <f>IF(AND(C4687&lt;&gt;"", H4687&lt;&gt;""), HYPERLINK("#'" &amp; C4687 &amp; "'!" &amp; H4687, H4687), "")</f>
        <v>0</v>
      </c>
    </row>
    <row r="4688" spans="2:2">
      <c r="B4688" s="21">
        <f>IF(AND(C4688&lt;&gt;"", H4688&lt;&gt;""), HYPERLINK("#'" &amp; C4688 &amp; "'!" &amp; H4688, H4688), "")</f>
        <v>0</v>
      </c>
    </row>
    <row r="4689" spans="2:2">
      <c r="B4689" s="21">
        <f>IF(AND(C4689&lt;&gt;"", H4689&lt;&gt;""), HYPERLINK("#'" &amp; C4689 &amp; "'!" &amp; H4689, H4689), "")</f>
        <v>0</v>
      </c>
    </row>
    <row r="4690" spans="2:2">
      <c r="B4690" s="21">
        <f>IF(AND(C4690&lt;&gt;"", H4690&lt;&gt;""), HYPERLINK("#'" &amp; C4690 &amp; "'!" &amp; H4690, H4690), "")</f>
        <v>0</v>
      </c>
    </row>
    <row r="4691" spans="2:2">
      <c r="B4691" s="21">
        <f>IF(AND(C4691&lt;&gt;"", H4691&lt;&gt;""), HYPERLINK("#'" &amp; C4691 &amp; "'!" &amp; H4691, H4691), "")</f>
        <v>0</v>
      </c>
    </row>
    <row r="4692" spans="2:2">
      <c r="B4692" s="21">
        <f>IF(AND(C4692&lt;&gt;"", H4692&lt;&gt;""), HYPERLINK("#'" &amp; C4692 &amp; "'!" &amp; H4692, H4692), "")</f>
        <v>0</v>
      </c>
    </row>
    <row r="4693" spans="2:2">
      <c r="B4693" s="21">
        <f>IF(AND(C4693&lt;&gt;"", H4693&lt;&gt;""), HYPERLINK("#'" &amp; C4693 &amp; "'!" &amp; H4693, H4693), "")</f>
        <v>0</v>
      </c>
    </row>
    <row r="4694" spans="2:2">
      <c r="B4694" s="21">
        <f>IF(AND(C4694&lt;&gt;"", H4694&lt;&gt;""), HYPERLINK("#'" &amp; C4694 &amp; "'!" &amp; H4694, H4694), "")</f>
        <v>0</v>
      </c>
    </row>
    <row r="4695" spans="2:2">
      <c r="B4695" s="21">
        <f>IF(AND(C4695&lt;&gt;"", H4695&lt;&gt;""), HYPERLINK("#'" &amp; C4695 &amp; "'!" &amp; H4695, H4695), "")</f>
        <v>0</v>
      </c>
    </row>
    <row r="4696" spans="2:2">
      <c r="B4696" s="21">
        <f>IF(AND(C4696&lt;&gt;"", H4696&lt;&gt;""), HYPERLINK("#'" &amp; C4696 &amp; "'!" &amp; H4696, H4696), "")</f>
        <v>0</v>
      </c>
    </row>
    <row r="4697" spans="2:2">
      <c r="B4697" s="21">
        <f>IF(AND(C4697&lt;&gt;"", H4697&lt;&gt;""), HYPERLINK("#'" &amp; C4697 &amp; "'!" &amp; H4697, H4697), "")</f>
        <v>0</v>
      </c>
    </row>
    <row r="4698" spans="2:2">
      <c r="B4698" s="21">
        <f>IF(AND(C4698&lt;&gt;"", H4698&lt;&gt;""), HYPERLINK("#'" &amp; C4698 &amp; "'!" &amp; H4698, H4698), "")</f>
        <v>0</v>
      </c>
    </row>
    <row r="4699" spans="2:2">
      <c r="B4699" s="21">
        <f>IF(AND(C4699&lt;&gt;"", H4699&lt;&gt;""), HYPERLINK("#'" &amp; C4699 &amp; "'!" &amp; H4699, H4699), "")</f>
        <v>0</v>
      </c>
    </row>
    <row r="4700" spans="2:2">
      <c r="B4700" s="21">
        <f>IF(AND(C4700&lt;&gt;"", H4700&lt;&gt;""), HYPERLINK("#'" &amp; C4700 &amp; "'!" &amp; H4700, H4700), "")</f>
        <v>0</v>
      </c>
    </row>
    <row r="4701" spans="2:2">
      <c r="B4701" s="21">
        <f>IF(AND(C4701&lt;&gt;"", H4701&lt;&gt;""), HYPERLINK("#'" &amp; C4701 &amp; "'!" &amp; H4701, H4701), "")</f>
        <v>0</v>
      </c>
    </row>
    <row r="4702" spans="2:2">
      <c r="B4702" s="21">
        <f>IF(AND(C4702&lt;&gt;"", H4702&lt;&gt;""), HYPERLINK("#'" &amp; C4702 &amp; "'!" &amp; H4702, H4702), "")</f>
        <v>0</v>
      </c>
    </row>
    <row r="4703" spans="2:2">
      <c r="B4703" s="21">
        <f>IF(AND(C4703&lt;&gt;"", H4703&lt;&gt;""), HYPERLINK("#'" &amp; C4703 &amp; "'!" &amp; H4703, H4703), "")</f>
        <v>0</v>
      </c>
    </row>
    <row r="4704" spans="2:2">
      <c r="B4704" s="21">
        <f>IF(AND(C4704&lt;&gt;"", H4704&lt;&gt;""), HYPERLINK("#'" &amp; C4704 &amp; "'!" &amp; H4704, H4704), "")</f>
        <v>0</v>
      </c>
    </row>
    <row r="4705" spans="2:2">
      <c r="B4705" s="21">
        <f>IF(AND(C4705&lt;&gt;"", H4705&lt;&gt;""), HYPERLINK("#'" &amp; C4705 &amp; "'!" &amp; H4705, H4705), "")</f>
        <v>0</v>
      </c>
    </row>
    <row r="4706" spans="2:2">
      <c r="B4706" s="21">
        <f>IF(AND(C4706&lt;&gt;"", H4706&lt;&gt;""), HYPERLINK("#'" &amp; C4706 &amp; "'!" &amp; H4706, H4706), "")</f>
        <v>0</v>
      </c>
    </row>
    <row r="4707" spans="2:2">
      <c r="B4707" s="21">
        <f>IF(AND(C4707&lt;&gt;"", H4707&lt;&gt;""), HYPERLINK("#'" &amp; C4707 &amp; "'!" &amp; H4707, H4707), "")</f>
        <v>0</v>
      </c>
    </row>
    <row r="4708" spans="2:2">
      <c r="B4708" s="21">
        <f>IF(AND(C4708&lt;&gt;"", H4708&lt;&gt;""), HYPERLINK("#'" &amp; C4708 &amp; "'!" &amp; H4708, H4708), "")</f>
        <v>0</v>
      </c>
    </row>
    <row r="4709" spans="2:2">
      <c r="B4709" s="21">
        <f>IF(AND(C4709&lt;&gt;"", H4709&lt;&gt;""), HYPERLINK("#'" &amp; C4709 &amp; "'!" &amp; H4709, H4709), "")</f>
        <v>0</v>
      </c>
    </row>
    <row r="4710" spans="2:2">
      <c r="B4710" s="21">
        <f>IF(AND(C4710&lt;&gt;"", H4710&lt;&gt;""), HYPERLINK("#'" &amp; C4710 &amp; "'!" &amp; H4710, H4710), "")</f>
        <v>0</v>
      </c>
    </row>
    <row r="4711" spans="2:2">
      <c r="B4711" s="21">
        <f>IF(AND(C4711&lt;&gt;"", H4711&lt;&gt;""), HYPERLINK("#'" &amp; C4711 &amp; "'!" &amp; H4711, H4711), "")</f>
        <v>0</v>
      </c>
    </row>
    <row r="4712" spans="2:2">
      <c r="B4712" s="21">
        <f>IF(AND(C4712&lt;&gt;"", H4712&lt;&gt;""), HYPERLINK("#'" &amp; C4712 &amp; "'!" &amp; H4712, H4712), "")</f>
        <v>0</v>
      </c>
    </row>
    <row r="4713" spans="2:2">
      <c r="B4713" s="21">
        <f>IF(AND(C4713&lt;&gt;"", H4713&lt;&gt;""), HYPERLINK("#'" &amp; C4713 &amp; "'!" &amp; H4713, H4713), "")</f>
        <v>0</v>
      </c>
    </row>
    <row r="4714" spans="2:2">
      <c r="B4714" s="21">
        <f>IF(AND(C4714&lt;&gt;"", H4714&lt;&gt;""), HYPERLINK("#'" &amp; C4714 &amp; "'!" &amp; H4714, H4714), "")</f>
        <v>0</v>
      </c>
    </row>
    <row r="4715" spans="2:2">
      <c r="B4715" s="21">
        <f>IF(AND(C4715&lt;&gt;"", H4715&lt;&gt;""), HYPERLINK("#'" &amp; C4715 &amp; "'!" &amp; H4715, H4715), "")</f>
        <v>0</v>
      </c>
    </row>
    <row r="4716" spans="2:2">
      <c r="B4716" s="21">
        <f>IF(AND(C4716&lt;&gt;"", H4716&lt;&gt;""), HYPERLINK("#'" &amp; C4716 &amp; "'!" &amp; H4716, H4716), "")</f>
        <v>0</v>
      </c>
    </row>
    <row r="4717" spans="2:2">
      <c r="B4717" s="21">
        <f>IF(AND(C4717&lt;&gt;"", H4717&lt;&gt;""), HYPERLINK("#'" &amp; C4717 &amp; "'!" &amp; H4717, H4717), "")</f>
        <v>0</v>
      </c>
    </row>
    <row r="4718" spans="2:2">
      <c r="B4718" s="21">
        <f>IF(AND(C4718&lt;&gt;"", H4718&lt;&gt;""), HYPERLINK("#'" &amp; C4718 &amp; "'!" &amp; H4718, H4718), "")</f>
        <v>0</v>
      </c>
    </row>
    <row r="4719" spans="2:2">
      <c r="B4719" s="21">
        <f>IF(AND(C4719&lt;&gt;"", H4719&lt;&gt;""), HYPERLINK("#'" &amp; C4719 &amp; "'!" &amp; H4719, H4719), "")</f>
        <v>0</v>
      </c>
    </row>
    <row r="4720" spans="2:2">
      <c r="B4720" s="21">
        <f>IF(AND(C4720&lt;&gt;"", H4720&lt;&gt;""), HYPERLINK("#'" &amp; C4720 &amp; "'!" &amp; H4720, H4720), "")</f>
        <v>0</v>
      </c>
    </row>
    <row r="4721" spans="2:2">
      <c r="B4721" s="21">
        <f>IF(AND(C4721&lt;&gt;"", H4721&lt;&gt;""), HYPERLINK("#'" &amp; C4721 &amp; "'!" &amp; H4721, H4721), "")</f>
        <v>0</v>
      </c>
    </row>
    <row r="4722" spans="2:2">
      <c r="B4722" s="21">
        <f>IF(AND(C4722&lt;&gt;"", H4722&lt;&gt;""), HYPERLINK("#'" &amp; C4722 &amp; "'!" &amp; H4722, H4722), "")</f>
        <v>0</v>
      </c>
    </row>
    <row r="4723" spans="2:2">
      <c r="B4723" s="21">
        <f>IF(AND(C4723&lt;&gt;"", H4723&lt;&gt;""), HYPERLINK("#'" &amp; C4723 &amp; "'!" &amp; H4723, H4723), "")</f>
        <v>0</v>
      </c>
    </row>
    <row r="4724" spans="2:2">
      <c r="B4724" s="21">
        <f>IF(AND(C4724&lt;&gt;"", H4724&lt;&gt;""), HYPERLINK("#'" &amp; C4724 &amp; "'!" &amp; H4724, H4724), "")</f>
        <v>0</v>
      </c>
    </row>
    <row r="4725" spans="2:2">
      <c r="B4725" s="21">
        <f>IF(AND(C4725&lt;&gt;"", H4725&lt;&gt;""), HYPERLINK("#'" &amp; C4725 &amp; "'!" &amp; H4725, H4725), "")</f>
        <v>0</v>
      </c>
    </row>
    <row r="4726" spans="2:2">
      <c r="B4726" s="21">
        <f>IF(AND(C4726&lt;&gt;"", H4726&lt;&gt;""), HYPERLINK("#'" &amp; C4726 &amp; "'!" &amp; H4726, H4726), "")</f>
        <v>0</v>
      </c>
    </row>
    <row r="4727" spans="2:2">
      <c r="B4727" s="21">
        <f>IF(AND(C4727&lt;&gt;"", H4727&lt;&gt;""), HYPERLINK("#'" &amp; C4727 &amp; "'!" &amp; H4727, H4727), "")</f>
        <v>0</v>
      </c>
    </row>
    <row r="4728" spans="2:2">
      <c r="B4728" s="21">
        <f>IF(AND(C4728&lt;&gt;"", H4728&lt;&gt;""), HYPERLINK("#'" &amp; C4728 &amp; "'!" &amp; H4728, H4728), "")</f>
        <v>0</v>
      </c>
    </row>
    <row r="4729" spans="2:2">
      <c r="B4729" s="21">
        <f>IF(AND(C4729&lt;&gt;"", H4729&lt;&gt;""), HYPERLINK("#'" &amp; C4729 &amp; "'!" &amp; H4729, H4729), "")</f>
        <v>0</v>
      </c>
    </row>
    <row r="4730" spans="2:2">
      <c r="B4730" s="21">
        <f>IF(AND(C4730&lt;&gt;"", H4730&lt;&gt;""), HYPERLINK("#'" &amp; C4730 &amp; "'!" &amp; H4730, H4730), "")</f>
        <v>0</v>
      </c>
    </row>
    <row r="4731" spans="2:2">
      <c r="B4731" s="21">
        <f>IF(AND(C4731&lt;&gt;"", H4731&lt;&gt;""), HYPERLINK("#'" &amp; C4731 &amp; "'!" &amp; H4731, H4731), "")</f>
        <v>0</v>
      </c>
    </row>
    <row r="4732" spans="2:2">
      <c r="B4732" s="21">
        <f>IF(AND(C4732&lt;&gt;"", H4732&lt;&gt;""), HYPERLINK("#'" &amp; C4732 &amp; "'!" &amp; H4732, H4732), "")</f>
        <v>0</v>
      </c>
    </row>
    <row r="4733" spans="2:2">
      <c r="B4733" s="21">
        <f>IF(AND(C4733&lt;&gt;"", H4733&lt;&gt;""), HYPERLINK("#'" &amp; C4733 &amp; "'!" &amp; H4733, H4733), "")</f>
        <v>0</v>
      </c>
    </row>
    <row r="4734" spans="2:2">
      <c r="B4734" s="21">
        <f>IF(AND(C4734&lt;&gt;"", H4734&lt;&gt;""), HYPERLINK("#'" &amp; C4734 &amp; "'!" &amp; H4734, H4734), "")</f>
        <v>0</v>
      </c>
    </row>
    <row r="4735" spans="2:2">
      <c r="B4735" s="21">
        <f>IF(AND(C4735&lt;&gt;"", H4735&lt;&gt;""), HYPERLINK("#'" &amp; C4735 &amp; "'!" &amp; H4735, H4735), "")</f>
        <v>0</v>
      </c>
    </row>
    <row r="4736" spans="2:2">
      <c r="B4736" s="21">
        <f>IF(AND(C4736&lt;&gt;"", H4736&lt;&gt;""), HYPERLINK("#'" &amp; C4736 &amp; "'!" &amp; H4736, H4736), "")</f>
        <v>0</v>
      </c>
    </row>
    <row r="4737" spans="2:2">
      <c r="B4737" s="21">
        <f>IF(AND(C4737&lt;&gt;"", H4737&lt;&gt;""), HYPERLINK("#'" &amp; C4737 &amp; "'!" &amp; H4737, H4737), "")</f>
        <v>0</v>
      </c>
    </row>
    <row r="4738" spans="2:2">
      <c r="B4738" s="21">
        <f>IF(AND(C4738&lt;&gt;"", H4738&lt;&gt;""), HYPERLINK("#'" &amp; C4738 &amp; "'!" &amp; H4738, H4738), "")</f>
        <v>0</v>
      </c>
    </row>
    <row r="4739" spans="2:2">
      <c r="B4739" s="21">
        <f>IF(AND(C4739&lt;&gt;"", H4739&lt;&gt;""), HYPERLINK("#'" &amp; C4739 &amp; "'!" &amp; H4739, H4739), "")</f>
        <v>0</v>
      </c>
    </row>
    <row r="4740" spans="2:2">
      <c r="B4740" s="21">
        <f>IF(AND(C4740&lt;&gt;"", H4740&lt;&gt;""), HYPERLINK("#'" &amp; C4740 &amp; "'!" &amp; H4740, H4740), "")</f>
        <v>0</v>
      </c>
    </row>
    <row r="4741" spans="2:2">
      <c r="B4741" s="21">
        <f>IF(AND(C4741&lt;&gt;"", H4741&lt;&gt;""), HYPERLINK("#'" &amp; C4741 &amp; "'!" &amp; H4741, H4741), "")</f>
        <v>0</v>
      </c>
    </row>
    <row r="4742" spans="2:2">
      <c r="B4742" s="21">
        <f>IF(AND(C4742&lt;&gt;"", H4742&lt;&gt;""), HYPERLINK("#'" &amp; C4742 &amp; "'!" &amp; H4742, H4742), "")</f>
        <v>0</v>
      </c>
    </row>
    <row r="4743" spans="2:2">
      <c r="B4743" s="21">
        <f>IF(AND(C4743&lt;&gt;"", H4743&lt;&gt;""), HYPERLINK("#'" &amp; C4743 &amp; "'!" &amp; H4743, H4743), "")</f>
        <v>0</v>
      </c>
    </row>
    <row r="4744" spans="2:2">
      <c r="B4744" s="21">
        <f>IF(AND(C4744&lt;&gt;"", H4744&lt;&gt;""), HYPERLINK("#'" &amp; C4744 &amp; "'!" &amp; H4744, H4744), "")</f>
        <v>0</v>
      </c>
    </row>
    <row r="4745" spans="2:2">
      <c r="B4745" s="21">
        <f>IF(AND(C4745&lt;&gt;"", H4745&lt;&gt;""), HYPERLINK("#'" &amp; C4745 &amp; "'!" &amp; H4745, H4745), "")</f>
        <v>0</v>
      </c>
    </row>
    <row r="4746" spans="2:2">
      <c r="B4746" s="21">
        <f>IF(AND(C4746&lt;&gt;"", H4746&lt;&gt;""), HYPERLINK("#'" &amp; C4746 &amp; "'!" &amp; H4746, H4746), "")</f>
        <v>0</v>
      </c>
    </row>
    <row r="4747" spans="2:2">
      <c r="B4747" s="21">
        <f>IF(AND(C4747&lt;&gt;"", H4747&lt;&gt;""), HYPERLINK("#'" &amp; C4747 &amp; "'!" &amp; H4747, H4747), "")</f>
        <v>0</v>
      </c>
    </row>
    <row r="4748" spans="2:2">
      <c r="B4748" s="21">
        <f>IF(AND(C4748&lt;&gt;"", H4748&lt;&gt;""), HYPERLINK("#'" &amp; C4748 &amp; "'!" &amp; H4748, H4748), "")</f>
        <v>0</v>
      </c>
    </row>
    <row r="4749" spans="2:2">
      <c r="B4749" s="21">
        <f>IF(AND(C4749&lt;&gt;"", H4749&lt;&gt;""), HYPERLINK("#'" &amp; C4749 &amp; "'!" &amp; H4749, H4749), "")</f>
        <v>0</v>
      </c>
    </row>
    <row r="4750" spans="2:2">
      <c r="B4750" s="21">
        <f>IF(AND(C4750&lt;&gt;"", H4750&lt;&gt;""), HYPERLINK("#'" &amp; C4750 &amp; "'!" &amp; H4750, H4750), "")</f>
        <v>0</v>
      </c>
    </row>
    <row r="4751" spans="2:2">
      <c r="B4751" s="21">
        <f>IF(AND(C4751&lt;&gt;"", H4751&lt;&gt;""), HYPERLINK("#'" &amp; C4751 &amp; "'!" &amp; H4751, H4751), "")</f>
        <v>0</v>
      </c>
    </row>
    <row r="4752" spans="2:2">
      <c r="B4752" s="21">
        <f>IF(AND(C4752&lt;&gt;"", H4752&lt;&gt;""), HYPERLINK("#'" &amp; C4752 &amp; "'!" &amp; H4752, H4752), "")</f>
        <v>0</v>
      </c>
    </row>
    <row r="4753" spans="2:2">
      <c r="B4753" s="21">
        <f>IF(AND(C4753&lt;&gt;"", H4753&lt;&gt;""), HYPERLINK("#'" &amp; C4753 &amp; "'!" &amp; H4753, H4753), "")</f>
        <v>0</v>
      </c>
    </row>
    <row r="4754" spans="2:2">
      <c r="B4754" s="21">
        <f>IF(AND(C4754&lt;&gt;"", H4754&lt;&gt;""), HYPERLINK("#'" &amp; C4754 &amp; "'!" &amp; H4754, H4754), "")</f>
        <v>0</v>
      </c>
    </row>
    <row r="4755" spans="2:2">
      <c r="B4755" s="21">
        <f>IF(AND(C4755&lt;&gt;"", H4755&lt;&gt;""), HYPERLINK("#'" &amp; C4755 &amp; "'!" &amp; H4755, H4755), "")</f>
        <v>0</v>
      </c>
    </row>
    <row r="4756" spans="2:2">
      <c r="B4756" s="21">
        <f>IF(AND(C4756&lt;&gt;"", H4756&lt;&gt;""), HYPERLINK("#'" &amp; C4756 &amp; "'!" &amp; H4756, H4756), "")</f>
        <v>0</v>
      </c>
    </row>
    <row r="4757" spans="2:2">
      <c r="B4757" s="21">
        <f>IF(AND(C4757&lt;&gt;"", H4757&lt;&gt;""), HYPERLINK("#'" &amp; C4757 &amp; "'!" &amp; H4757, H4757), "")</f>
        <v>0</v>
      </c>
    </row>
    <row r="4758" spans="2:2">
      <c r="B4758" s="21">
        <f>IF(AND(C4758&lt;&gt;"", H4758&lt;&gt;""), HYPERLINK("#'" &amp; C4758 &amp; "'!" &amp; H4758, H4758), "")</f>
        <v>0</v>
      </c>
    </row>
    <row r="4759" spans="2:2">
      <c r="B4759" s="21">
        <f>IF(AND(C4759&lt;&gt;"", H4759&lt;&gt;""), HYPERLINK("#'" &amp; C4759 &amp; "'!" &amp; H4759, H4759), "")</f>
        <v>0</v>
      </c>
    </row>
    <row r="4760" spans="2:2">
      <c r="B4760" s="21">
        <f>IF(AND(C4760&lt;&gt;"", H4760&lt;&gt;""), HYPERLINK("#'" &amp; C4760 &amp; "'!" &amp; H4760, H4760), "")</f>
        <v>0</v>
      </c>
    </row>
    <row r="4761" spans="2:2">
      <c r="B4761" s="21">
        <f>IF(AND(C4761&lt;&gt;"", H4761&lt;&gt;""), HYPERLINK("#'" &amp; C4761 &amp; "'!" &amp; H4761, H4761), "")</f>
        <v>0</v>
      </c>
    </row>
    <row r="4762" spans="2:2">
      <c r="B4762" s="21">
        <f>IF(AND(C4762&lt;&gt;"", H4762&lt;&gt;""), HYPERLINK("#'" &amp; C4762 &amp; "'!" &amp; H4762, H4762), "")</f>
        <v>0</v>
      </c>
    </row>
    <row r="4763" spans="2:2">
      <c r="B4763" s="21">
        <f>IF(AND(C4763&lt;&gt;"", H4763&lt;&gt;""), HYPERLINK("#'" &amp; C4763 &amp; "'!" &amp; H4763, H4763), "")</f>
        <v>0</v>
      </c>
    </row>
    <row r="4764" spans="2:2">
      <c r="B4764" s="21">
        <f>IF(AND(C4764&lt;&gt;"", H4764&lt;&gt;""), HYPERLINK("#'" &amp; C4764 &amp; "'!" &amp; H4764, H4764), "")</f>
        <v>0</v>
      </c>
    </row>
    <row r="4765" spans="2:2">
      <c r="B4765" s="21">
        <f>IF(AND(C4765&lt;&gt;"", H4765&lt;&gt;""), HYPERLINK("#'" &amp; C4765 &amp; "'!" &amp; H4765, H4765), "")</f>
        <v>0</v>
      </c>
    </row>
    <row r="4766" spans="2:2">
      <c r="B4766" s="21">
        <f>IF(AND(C4766&lt;&gt;"", H4766&lt;&gt;""), HYPERLINK("#'" &amp; C4766 &amp; "'!" &amp; H4766, H4766), "")</f>
        <v>0</v>
      </c>
    </row>
    <row r="4767" spans="2:2">
      <c r="B4767" s="21">
        <f>IF(AND(C4767&lt;&gt;"", H4767&lt;&gt;""), HYPERLINK("#'" &amp; C4767 &amp; "'!" &amp; H4767, H4767), "")</f>
        <v>0</v>
      </c>
    </row>
    <row r="4768" spans="2:2">
      <c r="B4768" s="21">
        <f>IF(AND(C4768&lt;&gt;"", H4768&lt;&gt;""), HYPERLINK("#'" &amp; C4768 &amp; "'!" &amp; H4768, H4768), "")</f>
        <v>0</v>
      </c>
    </row>
    <row r="4769" spans="2:2">
      <c r="B4769" s="21">
        <f>IF(AND(C4769&lt;&gt;"", H4769&lt;&gt;""), HYPERLINK("#'" &amp; C4769 &amp; "'!" &amp; H4769, H4769), "")</f>
        <v>0</v>
      </c>
    </row>
    <row r="4770" spans="2:2">
      <c r="B4770" s="21">
        <f>IF(AND(C4770&lt;&gt;"", H4770&lt;&gt;""), HYPERLINK("#'" &amp; C4770 &amp; "'!" &amp; H4770, H4770), "")</f>
        <v>0</v>
      </c>
    </row>
    <row r="4771" spans="2:2">
      <c r="B4771" s="21">
        <f>IF(AND(C4771&lt;&gt;"", H4771&lt;&gt;""), HYPERLINK("#'" &amp; C4771 &amp; "'!" &amp; H4771, H4771), "")</f>
        <v>0</v>
      </c>
    </row>
    <row r="4772" spans="2:2">
      <c r="B4772" s="21">
        <f>IF(AND(C4772&lt;&gt;"", H4772&lt;&gt;""), HYPERLINK("#'" &amp; C4772 &amp; "'!" &amp; H4772, H4772), "")</f>
        <v>0</v>
      </c>
    </row>
    <row r="4773" spans="2:2">
      <c r="B4773" s="21">
        <f>IF(AND(C4773&lt;&gt;"", H4773&lt;&gt;""), HYPERLINK("#'" &amp; C4773 &amp; "'!" &amp; H4773, H4773), "")</f>
        <v>0</v>
      </c>
    </row>
    <row r="4774" spans="2:2">
      <c r="B4774" s="21">
        <f>IF(AND(C4774&lt;&gt;"", H4774&lt;&gt;""), HYPERLINK("#'" &amp; C4774 &amp; "'!" &amp; H4774, H4774), "")</f>
        <v>0</v>
      </c>
    </row>
    <row r="4775" spans="2:2">
      <c r="B4775" s="21">
        <f>IF(AND(C4775&lt;&gt;"", H4775&lt;&gt;""), HYPERLINK("#'" &amp; C4775 &amp; "'!" &amp; H4775, H4775), "")</f>
        <v>0</v>
      </c>
    </row>
    <row r="4776" spans="2:2">
      <c r="B4776" s="21">
        <f>IF(AND(C4776&lt;&gt;"", H4776&lt;&gt;""), HYPERLINK("#'" &amp; C4776 &amp; "'!" &amp; H4776, H4776), "")</f>
        <v>0</v>
      </c>
    </row>
    <row r="4777" spans="2:2">
      <c r="B4777" s="21">
        <f>IF(AND(C4777&lt;&gt;"", H4777&lt;&gt;""), HYPERLINK("#'" &amp; C4777 &amp; "'!" &amp; H4777, H4777), "")</f>
        <v>0</v>
      </c>
    </row>
    <row r="4778" spans="2:2">
      <c r="B4778" s="21">
        <f>IF(AND(C4778&lt;&gt;"", H4778&lt;&gt;""), HYPERLINK("#'" &amp; C4778 &amp; "'!" &amp; H4778, H4778), "")</f>
        <v>0</v>
      </c>
    </row>
    <row r="4779" spans="2:2">
      <c r="B4779" s="21">
        <f>IF(AND(C4779&lt;&gt;"", H4779&lt;&gt;""), HYPERLINK("#'" &amp; C4779 &amp; "'!" &amp; H4779, H4779), "")</f>
        <v>0</v>
      </c>
    </row>
    <row r="4780" spans="2:2">
      <c r="B4780" s="21">
        <f>IF(AND(C4780&lt;&gt;"", H4780&lt;&gt;""), HYPERLINK("#'" &amp; C4780 &amp; "'!" &amp; H4780, H4780), "")</f>
        <v>0</v>
      </c>
    </row>
    <row r="4781" spans="2:2">
      <c r="B4781" s="21">
        <f>IF(AND(C4781&lt;&gt;"", H4781&lt;&gt;""), HYPERLINK("#'" &amp; C4781 &amp; "'!" &amp; H4781, H4781), "")</f>
        <v>0</v>
      </c>
    </row>
    <row r="4782" spans="2:2">
      <c r="B4782" s="21">
        <f>IF(AND(C4782&lt;&gt;"", H4782&lt;&gt;""), HYPERLINK("#'" &amp; C4782 &amp; "'!" &amp; H4782, H4782), "")</f>
        <v>0</v>
      </c>
    </row>
    <row r="4783" spans="2:2">
      <c r="B4783" s="21">
        <f>IF(AND(C4783&lt;&gt;"", H4783&lt;&gt;""), HYPERLINK("#'" &amp; C4783 &amp; "'!" &amp; H4783, H4783), "")</f>
        <v>0</v>
      </c>
    </row>
    <row r="4784" spans="2:2">
      <c r="B4784" s="21">
        <f>IF(AND(C4784&lt;&gt;"", H4784&lt;&gt;""), HYPERLINK("#'" &amp; C4784 &amp; "'!" &amp; H4784, H4784), "")</f>
        <v>0</v>
      </c>
    </row>
    <row r="4785" spans="2:2">
      <c r="B4785" s="21">
        <f>IF(AND(C4785&lt;&gt;"", H4785&lt;&gt;""), HYPERLINK("#'" &amp; C4785 &amp; "'!" &amp; H4785, H4785), "")</f>
        <v>0</v>
      </c>
    </row>
    <row r="4786" spans="2:2">
      <c r="B4786" s="21">
        <f>IF(AND(C4786&lt;&gt;"", H4786&lt;&gt;""), HYPERLINK("#'" &amp; C4786 &amp; "'!" &amp; H4786, H4786), "")</f>
        <v>0</v>
      </c>
    </row>
    <row r="4787" spans="2:2">
      <c r="B4787" s="21">
        <f>IF(AND(C4787&lt;&gt;"", H4787&lt;&gt;""), HYPERLINK("#'" &amp; C4787 &amp; "'!" &amp; H4787, H4787), "")</f>
        <v>0</v>
      </c>
    </row>
    <row r="4788" spans="2:2">
      <c r="B4788" s="21">
        <f>IF(AND(C4788&lt;&gt;"", H4788&lt;&gt;""), HYPERLINK("#'" &amp; C4788 &amp; "'!" &amp; H4788, H4788), "")</f>
        <v>0</v>
      </c>
    </row>
    <row r="4789" spans="2:2">
      <c r="B4789" s="21">
        <f>IF(AND(C4789&lt;&gt;"", H4789&lt;&gt;""), HYPERLINK("#'" &amp; C4789 &amp; "'!" &amp; H4789, H4789), "")</f>
        <v>0</v>
      </c>
    </row>
    <row r="4790" spans="2:2">
      <c r="B4790" s="21">
        <f>IF(AND(C4790&lt;&gt;"", H4790&lt;&gt;""), HYPERLINK("#'" &amp; C4790 &amp; "'!" &amp; H4790, H4790), "")</f>
        <v>0</v>
      </c>
    </row>
    <row r="4791" spans="2:2">
      <c r="B4791" s="21">
        <f>IF(AND(C4791&lt;&gt;"", H4791&lt;&gt;""), HYPERLINK("#'" &amp; C4791 &amp; "'!" &amp; H4791, H4791), "")</f>
        <v>0</v>
      </c>
    </row>
    <row r="4792" spans="2:2">
      <c r="B4792" s="21">
        <f>IF(AND(C4792&lt;&gt;"", H4792&lt;&gt;""), HYPERLINK("#'" &amp; C4792 &amp; "'!" &amp; H4792, H4792), "")</f>
        <v>0</v>
      </c>
    </row>
    <row r="4793" spans="2:2">
      <c r="B4793" s="21">
        <f>IF(AND(C4793&lt;&gt;"", H4793&lt;&gt;""), HYPERLINK("#'" &amp; C4793 &amp; "'!" &amp; H4793, H4793), "")</f>
        <v>0</v>
      </c>
    </row>
    <row r="4794" spans="2:2">
      <c r="B4794" s="21">
        <f>IF(AND(C4794&lt;&gt;"", H4794&lt;&gt;""), HYPERLINK("#'" &amp; C4794 &amp; "'!" &amp; H4794, H4794), "")</f>
        <v>0</v>
      </c>
    </row>
    <row r="4795" spans="2:2">
      <c r="B4795" s="21">
        <f>IF(AND(C4795&lt;&gt;"", H4795&lt;&gt;""), HYPERLINK("#'" &amp; C4795 &amp; "'!" &amp; H4795, H4795), "")</f>
        <v>0</v>
      </c>
    </row>
    <row r="4796" spans="2:2">
      <c r="B4796" s="21">
        <f>IF(AND(C4796&lt;&gt;"", H4796&lt;&gt;""), HYPERLINK("#'" &amp; C4796 &amp; "'!" &amp; H4796, H4796), "")</f>
        <v>0</v>
      </c>
    </row>
    <row r="4797" spans="2:2">
      <c r="B4797" s="21">
        <f>IF(AND(C4797&lt;&gt;"", H4797&lt;&gt;""), HYPERLINK("#'" &amp; C4797 &amp; "'!" &amp; H4797, H4797), "")</f>
        <v>0</v>
      </c>
    </row>
    <row r="4798" spans="2:2">
      <c r="B4798" s="21">
        <f>IF(AND(C4798&lt;&gt;"", H4798&lt;&gt;""), HYPERLINK("#'" &amp; C4798 &amp; "'!" &amp; H4798, H4798), "")</f>
        <v>0</v>
      </c>
    </row>
    <row r="4799" spans="2:2">
      <c r="B4799" s="21">
        <f>IF(AND(C4799&lt;&gt;"", H4799&lt;&gt;""), HYPERLINK("#'" &amp; C4799 &amp; "'!" &amp; H4799, H4799), "")</f>
        <v>0</v>
      </c>
    </row>
    <row r="4800" spans="2:2">
      <c r="B4800" s="21">
        <f>IF(AND(C4800&lt;&gt;"", H4800&lt;&gt;""), HYPERLINK("#'" &amp; C4800 &amp; "'!" &amp; H4800, H4800), "")</f>
        <v>0</v>
      </c>
    </row>
    <row r="4801" spans="2:2">
      <c r="B4801" s="21">
        <f>IF(AND(C4801&lt;&gt;"", H4801&lt;&gt;""), HYPERLINK("#'" &amp; C4801 &amp; "'!" &amp; H4801, H4801), "")</f>
        <v>0</v>
      </c>
    </row>
    <row r="4802" spans="2:2">
      <c r="B4802" s="21">
        <f>IF(AND(C4802&lt;&gt;"", H4802&lt;&gt;""), HYPERLINK("#'" &amp; C4802 &amp; "'!" &amp; H4802, H4802), "")</f>
        <v>0</v>
      </c>
    </row>
    <row r="4803" spans="2:2">
      <c r="B4803" s="21">
        <f>IF(AND(C4803&lt;&gt;"", H4803&lt;&gt;""), HYPERLINK("#'" &amp; C4803 &amp; "'!" &amp; H4803, H4803), "")</f>
        <v>0</v>
      </c>
    </row>
    <row r="4804" spans="2:2">
      <c r="B4804" s="21">
        <f>IF(AND(C4804&lt;&gt;"", H4804&lt;&gt;""), HYPERLINK("#'" &amp; C4804 &amp; "'!" &amp; H4804, H4804), "")</f>
        <v>0</v>
      </c>
    </row>
    <row r="4805" spans="2:2">
      <c r="B4805" s="21">
        <f>IF(AND(C4805&lt;&gt;"", H4805&lt;&gt;""), HYPERLINK("#'" &amp; C4805 &amp; "'!" &amp; H4805, H4805), "")</f>
        <v>0</v>
      </c>
    </row>
    <row r="4806" spans="2:2">
      <c r="B4806" s="21">
        <f>IF(AND(C4806&lt;&gt;"", H4806&lt;&gt;""), HYPERLINK("#'" &amp; C4806 &amp; "'!" &amp; H4806, H4806), "")</f>
        <v>0</v>
      </c>
    </row>
    <row r="4807" spans="2:2">
      <c r="B4807" s="21">
        <f>IF(AND(C4807&lt;&gt;"", H4807&lt;&gt;""), HYPERLINK("#'" &amp; C4807 &amp; "'!" &amp; H4807, H4807), "")</f>
        <v>0</v>
      </c>
    </row>
    <row r="4808" spans="2:2">
      <c r="B4808" s="21">
        <f>IF(AND(C4808&lt;&gt;"", H4808&lt;&gt;""), HYPERLINK("#'" &amp; C4808 &amp; "'!" &amp; H4808, H4808), "")</f>
        <v>0</v>
      </c>
    </row>
    <row r="4809" spans="2:2">
      <c r="B4809" s="21">
        <f>IF(AND(C4809&lt;&gt;"", H4809&lt;&gt;""), HYPERLINK("#'" &amp; C4809 &amp; "'!" &amp; H4809, H4809), "")</f>
        <v>0</v>
      </c>
    </row>
    <row r="4810" spans="2:2">
      <c r="B4810" s="21">
        <f>IF(AND(C4810&lt;&gt;"", H4810&lt;&gt;""), HYPERLINK("#'" &amp; C4810 &amp; "'!" &amp; H4810, H4810), "")</f>
        <v>0</v>
      </c>
    </row>
    <row r="4811" spans="2:2">
      <c r="B4811" s="21">
        <f>IF(AND(C4811&lt;&gt;"", H4811&lt;&gt;""), HYPERLINK("#'" &amp; C4811 &amp; "'!" &amp; H4811, H4811), "")</f>
        <v>0</v>
      </c>
    </row>
    <row r="4812" spans="2:2">
      <c r="B4812" s="21">
        <f>IF(AND(C4812&lt;&gt;"", H4812&lt;&gt;""), HYPERLINK("#'" &amp; C4812 &amp; "'!" &amp; H4812, H4812), "")</f>
        <v>0</v>
      </c>
    </row>
    <row r="4813" spans="2:2">
      <c r="B4813" s="21">
        <f>IF(AND(C4813&lt;&gt;"", H4813&lt;&gt;""), HYPERLINK("#'" &amp; C4813 &amp; "'!" &amp; H4813, H4813), "")</f>
        <v>0</v>
      </c>
    </row>
    <row r="4814" spans="2:2">
      <c r="B4814" s="21">
        <f>IF(AND(C4814&lt;&gt;"", H4814&lt;&gt;""), HYPERLINK("#'" &amp; C4814 &amp; "'!" &amp; H4814, H4814), "")</f>
        <v>0</v>
      </c>
    </row>
    <row r="4815" spans="2:2">
      <c r="B4815" s="21">
        <f>IF(AND(C4815&lt;&gt;"", H4815&lt;&gt;""), HYPERLINK("#'" &amp; C4815 &amp; "'!" &amp; H4815, H4815), "")</f>
        <v>0</v>
      </c>
    </row>
    <row r="4816" spans="2:2">
      <c r="B4816" s="21">
        <f>IF(AND(C4816&lt;&gt;"", H4816&lt;&gt;""), HYPERLINK("#'" &amp; C4816 &amp; "'!" &amp; H4816, H4816), "")</f>
        <v>0</v>
      </c>
    </row>
    <row r="4817" spans="2:2">
      <c r="B4817" s="21">
        <f>IF(AND(C4817&lt;&gt;"", H4817&lt;&gt;""), HYPERLINK("#'" &amp; C4817 &amp; "'!" &amp; H4817, H4817), "")</f>
        <v>0</v>
      </c>
    </row>
    <row r="4818" spans="2:2">
      <c r="B4818" s="21">
        <f>IF(AND(C4818&lt;&gt;"", H4818&lt;&gt;""), HYPERLINK("#'" &amp; C4818 &amp; "'!" &amp; H4818, H4818), "")</f>
        <v>0</v>
      </c>
    </row>
    <row r="4819" spans="2:2">
      <c r="B4819" s="21">
        <f>IF(AND(C4819&lt;&gt;"", H4819&lt;&gt;""), HYPERLINK("#'" &amp; C4819 &amp; "'!" &amp; H4819, H4819), "")</f>
        <v>0</v>
      </c>
    </row>
    <row r="4820" spans="2:2">
      <c r="B4820" s="21">
        <f>IF(AND(C4820&lt;&gt;"", H4820&lt;&gt;""), HYPERLINK("#'" &amp; C4820 &amp; "'!" &amp; H4820, H4820), "")</f>
        <v>0</v>
      </c>
    </row>
    <row r="4821" spans="2:2">
      <c r="B4821" s="21">
        <f>IF(AND(C4821&lt;&gt;"", H4821&lt;&gt;""), HYPERLINK("#'" &amp; C4821 &amp; "'!" &amp; H4821, H4821), "")</f>
        <v>0</v>
      </c>
    </row>
    <row r="4822" spans="2:2">
      <c r="B4822" s="21">
        <f>IF(AND(C4822&lt;&gt;"", H4822&lt;&gt;""), HYPERLINK("#'" &amp; C4822 &amp; "'!" &amp; H4822, H4822), "")</f>
        <v>0</v>
      </c>
    </row>
    <row r="4823" spans="2:2">
      <c r="B4823" s="21">
        <f>IF(AND(C4823&lt;&gt;"", H4823&lt;&gt;""), HYPERLINK("#'" &amp; C4823 &amp; "'!" &amp; H4823, H4823), "")</f>
        <v>0</v>
      </c>
    </row>
    <row r="4824" spans="2:2">
      <c r="B4824" s="21">
        <f>IF(AND(C4824&lt;&gt;"", H4824&lt;&gt;""), HYPERLINK("#'" &amp; C4824 &amp; "'!" &amp; H4824, H4824), "")</f>
        <v>0</v>
      </c>
    </row>
    <row r="4825" spans="2:2">
      <c r="B4825" s="21">
        <f>IF(AND(C4825&lt;&gt;"", H4825&lt;&gt;""), HYPERLINK("#'" &amp; C4825 &amp; "'!" &amp; H4825, H4825), "")</f>
        <v>0</v>
      </c>
    </row>
    <row r="4826" spans="2:2">
      <c r="B4826" s="21">
        <f>IF(AND(C4826&lt;&gt;"", H4826&lt;&gt;""), HYPERLINK("#'" &amp; C4826 &amp; "'!" &amp; H4826, H4826), "")</f>
        <v>0</v>
      </c>
    </row>
    <row r="4827" spans="2:2">
      <c r="B4827" s="21">
        <f>IF(AND(C4827&lt;&gt;"", H4827&lt;&gt;""), HYPERLINK("#'" &amp; C4827 &amp; "'!" &amp; H4827, H4827), "")</f>
        <v>0</v>
      </c>
    </row>
    <row r="4828" spans="2:2">
      <c r="B4828" s="21">
        <f>IF(AND(C4828&lt;&gt;"", H4828&lt;&gt;""), HYPERLINK("#'" &amp; C4828 &amp; "'!" &amp; H4828, H4828), "")</f>
        <v>0</v>
      </c>
    </row>
    <row r="4829" spans="2:2">
      <c r="B4829" s="21">
        <f>IF(AND(C4829&lt;&gt;"", H4829&lt;&gt;""), HYPERLINK("#'" &amp; C4829 &amp; "'!" &amp; H4829, H4829), "")</f>
        <v>0</v>
      </c>
    </row>
    <row r="4830" spans="2:2">
      <c r="B4830" s="21">
        <f>IF(AND(C4830&lt;&gt;"", H4830&lt;&gt;""), HYPERLINK("#'" &amp; C4830 &amp; "'!" &amp; H4830, H4830), "")</f>
        <v>0</v>
      </c>
    </row>
    <row r="4831" spans="2:2">
      <c r="B4831" s="21">
        <f>IF(AND(C4831&lt;&gt;"", H4831&lt;&gt;""), HYPERLINK("#'" &amp; C4831 &amp; "'!" &amp; H4831, H4831), "")</f>
        <v>0</v>
      </c>
    </row>
    <row r="4832" spans="2:2">
      <c r="B4832" s="21">
        <f>IF(AND(C4832&lt;&gt;"", H4832&lt;&gt;""), HYPERLINK("#'" &amp; C4832 &amp; "'!" &amp; H4832, H4832), "")</f>
        <v>0</v>
      </c>
    </row>
    <row r="4833" spans="2:2">
      <c r="B4833" s="21">
        <f>IF(AND(C4833&lt;&gt;"", H4833&lt;&gt;""), HYPERLINK("#'" &amp; C4833 &amp; "'!" &amp; H4833, H4833), "")</f>
        <v>0</v>
      </c>
    </row>
    <row r="4834" spans="2:2">
      <c r="B4834" s="21">
        <f>IF(AND(C4834&lt;&gt;"", H4834&lt;&gt;""), HYPERLINK("#'" &amp; C4834 &amp; "'!" &amp; H4834, H4834), "")</f>
        <v>0</v>
      </c>
    </row>
    <row r="4835" spans="2:2">
      <c r="B4835" s="21">
        <f>IF(AND(C4835&lt;&gt;"", H4835&lt;&gt;""), HYPERLINK("#'" &amp; C4835 &amp; "'!" &amp; H4835, H4835), "")</f>
        <v>0</v>
      </c>
    </row>
    <row r="4836" spans="2:2">
      <c r="B4836" s="21">
        <f>IF(AND(C4836&lt;&gt;"", H4836&lt;&gt;""), HYPERLINK("#'" &amp; C4836 &amp; "'!" &amp; H4836, H4836), "")</f>
        <v>0</v>
      </c>
    </row>
    <row r="4837" spans="2:2">
      <c r="B4837" s="21">
        <f>IF(AND(C4837&lt;&gt;"", H4837&lt;&gt;""), HYPERLINK("#'" &amp; C4837 &amp; "'!" &amp; H4837, H4837), "")</f>
        <v>0</v>
      </c>
    </row>
    <row r="4838" spans="2:2">
      <c r="B4838" s="21">
        <f>IF(AND(C4838&lt;&gt;"", H4838&lt;&gt;""), HYPERLINK("#'" &amp; C4838 &amp; "'!" &amp; H4838, H4838), "")</f>
        <v>0</v>
      </c>
    </row>
    <row r="4839" spans="2:2">
      <c r="B4839" s="21">
        <f>IF(AND(C4839&lt;&gt;"", H4839&lt;&gt;""), HYPERLINK("#'" &amp; C4839 &amp; "'!" &amp; H4839, H4839), "")</f>
        <v>0</v>
      </c>
    </row>
    <row r="4840" spans="2:2">
      <c r="B4840" s="21">
        <f>IF(AND(C4840&lt;&gt;"", H4840&lt;&gt;""), HYPERLINK("#'" &amp; C4840 &amp; "'!" &amp; H4840, H4840), "")</f>
        <v>0</v>
      </c>
    </row>
    <row r="4841" spans="2:2">
      <c r="B4841" s="21">
        <f>IF(AND(C4841&lt;&gt;"", H4841&lt;&gt;""), HYPERLINK("#'" &amp; C4841 &amp; "'!" &amp; H4841, H4841), "")</f>
        <v>0</v>
      </c>
    </row>
    <row r="4842" spans="2:2">
      <c r="B4842" s="21">
        <f>IF(AND(C4842&lt;&gt;"", H4842&lt;&gt;""), HYPERLINK("#'" &amp; C4842 &amp; "'!" &amp; H4842, H4842), "")</f>
        <v>0</v>
      </c>
    </row>
    <row r="4843" spans="2:2">
      <c r="B4843" s="21">
        <f>IF(AND(C4843&lt;&gt;"", H4843&lt;&gt;""), HYPERLINK("#'" &amp; C4843 &amp; "'!" &amp; H4843, H4843), "")</f>
        <v>0</v>
      </c>
    </row>
    <row r="4844" spans="2:2">
      <c r="B4844" s="21">
        <f>IF(AND(C4844&lt;&gt;"", H4844&lt;&gt;""), HYPERLINK("#'" &amp; C4844 &amp; "'!" &amp; H4844, H4844), "")</f>
        <v>0</v>
      </c>
    </row>
    <row r="4845" spans="2:2">
      <c r="B4845" s="21">
        <f>IF(AND(C4845&lt;&gt;"", H4845&lt;&gt;""), HYPERLINK("#'" &amp; C4845 &amp; "'!" &amp; H4845, H4845), "")</f>
        <v>0</v>
      </c>
    </row>
    <row r="4846" spans="2:2">
      <c r="B4846" s="21">
        <f>IF(AND(C4846&lt;&gt;"", H4846&lt;&gt;""), HYPERLINK("#'" &amp; C4846 &amp; "'!" &amp; H4846, H4846), "")</f>
        <v>0</v>
      </c>
    </row>
    <row r="4847" spans="2:2">
      <c r="B4847" s="21">
        <f>IF(AND(C4847&lt;&gt;"", H4847&lt;&gt;""), HYPERLINK("#'" &amp; C4847 &amp; "'!" &amp; H4847, H4847), "")</f>
        <v>0</v>
      </c>
    </row>
    <row r="4848" spans="2:2">
      <c r="B4848" s="21">
        <f>IF(AND(C4848&lt;&gt;"", H4848&lt;&gt;""), HYPERLINK("#'" &amp; C4848 &amp; "'!" &amp; H4848, H4848), "")</f>
        <v>0</v>
      </c>
    </row>
    <row r="4849" spans="2:2">
      <c r="B4849" s="21">
        <f>IF(AND(C4849&lt;&gt;"", H4849&lt;&gt;""), HYPERLINK("#'" &amp; C4849 &amp; "'!" &amp; H4849, H4849), "")</f>
        <v>0</v>
      </c>
    </row>
    <row r="4850" spans="2:2">
      <c r="B4850" s="21">
        <f>IF(AND(C4850&lt;&gt;"", H4850&lt;&gt;""), HYPERLINK("#'" &amp; C4850 &amp; "'!" &amp; H4850, H4850), "")</f>
        <v>0</v>
      </c>
    </row>
    <row r="4851" spans="2:2">
      <c r="B4851" s="21">
        <f>IF(AND(C4851&lt;&gt;"", H4851&lt;&gt;""), HYPERLINK("#'" &amp; C4851 &amp; "'!" &amp; H4851, H4851), "")</f>
        <v>0</v>
      </c>
    </row>
    <row r="4852" spans="2:2">
      <c r="B4852" s="21">
        <f>IF(AND(C4852&lt;&gt;"", H4852&lt;&gt;""), HYPERLINK("#'" &amp; C4852 &amp; "'!" &amp; H4852, H4852), "")</f>
        <v>0</v>
      </c>
    </row>
    <row r="4853" spans="2:2">
      <c r="B4853" s="21">
        <f>IF(AND(C4853&lt;&gt;"", H4853&lt;&gt;""), HYPERLINK("#'" &amp; C4853 &amp; "'!" &amp; H4853, H4853), "")</f>
        <v>0</v>
      </c>
    </row>
    <row r="4854" spans="2:2">
      <c r="B4854" s="21">
        <f>IF(AND(C4854&lt;&gt;"", H4854&lt;&gt;""), HYPERLINK("#'" &amp; C4854 &amp; "'!" &amp; H4854, H4854), "")</f>
        <v>0</v>
      </c>
    </row>
    <row r="4855" spans="2:2">
      <c r="B4855" s="21">
        <f>IF(AND(C4855&lt;&gt;"", H4855&lt;&gt;""), HYPERLINK("#'" &amp; C4855 &amp; "'!" &amp; H4855, H4855), "")</f>
        <v>0</v>
      </c>
    </row>
    <row r="4856" spans="2:2">
      <c r="B4856" s="21">
        <f>IF(AND(C4856&lt;&gt;"", H4856&lt;&gt;""), HYPERLINK("#'" &amp; C4856 &amp; "'!" &amp; H4856, H4856), "")</f>
        <v>0</v>
      </c>
    </row>
    <row r="4857" spans="2:2">
      <c r="B4857" s="21">
        <f>IF(AND(C4857&lt;&gt;"", H4857&lt;&gt;""), HYPERLINK("#'" &amp; C4857 &amp; "'!" &amp; H4857, H4857), "")</f>
        <v>0</v>
      </c>
    </row>
    <row r="4858" spans="2:2">
      <c r="B4858" s="21">
        <f>IF(AND(C4858&lt;&gt;"", H4858&lt;&gt;""), HYPERLINK("#'" &amp; C4858 &amp; "'!" &amp; H4858, H4858), "")</f>
        <v>0</v>
      </c>
    </row>
    <row r="4859" spans="2:2">
      <c r="B4859" s="21">
        <f>IF(AND(C4859&lt;&gt;"", H4859&lt;&gt;""), HYPERLINK("#'" &amp; C4859 &amp; "'!" &amp; H4859, H4859), "")</f>
        <v>0</v>
      </c>
    </row>
    <row r="4860" spans="2:2">
      <c r="B4860" s="21">
        <f>IF(AND(C4860&lt;&gt;"", H4860&lt;&gt;""), HYPERLINK("#'" &amp; C4860 &amp; "'!" &amp; H4860, H4860), "")</f>
        <v>0</v>
      </c>
    </row>
    <row r="4861" spans="2:2">
      <c r="B4861" s="21">
        <f>IF(AND(C4861&lt;&gt;"", H4861&lt;&gt;""), HYPERLINK("#'" &amp; C4861 &amp; "'!" &amp; H4861, H4861), "")</f>
        <v>0</v>
      </c>
    </row>
    <row r="4862" spans="2:2">
      <c r="B4862" s="21">
        <f>IF(AND(C4862&lt;&gt;"", H4862&lt;&gt;""), HYPERLINK("#'" &amp; C4862 &amp; "'!" &amp; H4862, H4862), "")</f>
        <v>0</v>
      </c>
    </row>
    <row r="4863" spans="2:2">
      <c r="B4863" s="21">
        <f>IF(AND(C4863&lt;&gt;"", H4863&lt;&gt;""), HYPERLINK("#'" &amp; C4863 &amp; "'!" &amp; H4863, H4863), "")</f>
        <v>0</v>
      </c>
    </row>
    <row r="4864" spans="2:2">
      <c r="B4864" s="21">
        <f>IF(AND(C4864&lt;&gt;"", H4864&lt;&gt;""), HYPERLINK("#'" &amp; C4864 &amp; "'!" &amp; H4864, H4864), "")</f>
        <v>0</v>
      </c>
    </row>
    <row r="4865" spans="2:2">
      <c r="B4865" s="21">
        <f>IF(AND(C4865&lt;&gt;"", H4865&lt;&gt;""), HYPERLINK("#'" &amp; C4865 &amp; "'!" &amp; H4865, H4865), "")</f>
        <v>0</v>
      </c>
    </row>
    <row r="4866" spans="2:2">
      <c r="B4866" s="21">
        <f>IF(AND(C4866&lt;&gt;"", H4866&lt;&gt;""), HYPERLINK("#'" &amp; C4866 &amp; "'!" &amp; H4866, H4866), "")</f>
        <v>0</v>
      </c>
    </row>
    <row r="4867" spans="2:2">
      <c r="B4867" s="21">
        <f>IF(AND(C4867&lt;&gt;"", H4867&lt;&gt;""), HYPERLINK("#'" &amp; C4867 &amp; "'!" &amp; H4867, H4867), "")</f>
        <v>0</v>
      </c>
    </row>
    <row r="4868" spans="2:2">
      <c r="B4868" s="21">
        <f>IF(AND(C4868&lt;&gt;"", H4868&lt;&gt;""), HYPERLINK("#'" &amp; C4868 &amp; "'!" &amp; H4868, H4868), "")</f>
        <v>0</v>
      </c>
    </row>
    <row r="4869" spans="2:2">
      <c r="B4869" s="21">
        <f>IF(AND(C4869&lt;&gt;"", H4869&lt;&gt;""), HYPERLINK("#'" &amp; C4869 &amp; "'!" &amp; H4869, H4869), "")</f>
        <v>0</v>
      </c>
    </row>
    <row r="4870" spans="2:2">
      <c r="B4870" s="21">
        <f>IF(AND(C4870&lt;&gt;"", H4870&lt;&gt;""), HYPERLINK("#'" &amp; C4870 &amp; "'!" &amp; H4870, H4870), "")</f>
        <v>0</v>
      </c>
    </row>
    <row r="4871" spans="2:2">
      <c r="B4871" s="21">
        <f>IF(AND(C4871&lt;&gt;"", H4871&lt;&gt;""), HYPERLINK("#'" &amp; C4871 &amp; "'!" &amp; H4871, H4871), "")</f>
        <v>0</v>
      </c>
    </row>
    <row r="4872" spans="2:2">
      <c r="B4872" s="21">
        <f>IF(AND(C4872&lt;&gt;"", H4872&lt;&gt;""), HYPERLINK("#'" &amp; C4872 &amp; "'!" &amp; H4872, H4872), "")</f>
        <v>0</v>
      </c>
    </row>
    <row r="4873" spans="2:2">
      <c r="B4873" s="21">
        <f>IF(AND(C4873&lt;&gt;"", H4873&lt;&gt;""), HYPERLINK("#'" &amp; C4873 &amp; "'!" &amp; H4873, H4873), "")</f>
        <v>0</v>
      </c>
    </row>
    <row r="4874" spans="2:2">
      <c r="B4874" s="21">
        <f>IF(AND(C4874&lt;&gt;"", H4874&lt;&gt;""), HYPERLINK("#'" &amp; C4874 &amp; "'!" &amp; H4874, H4874), "")</f>
        <v>0</v>
      </c>
    </row>
    <row r="4875" spans="2:2">
      <c r="B4875" s="21">
        <f>IF(AND(C4875&lt;&gt;"", H4875&lt;&gt;""), HYPERLINK("#'" &amp; C4875 &amp; "'!" &amp; H4875, H4875), "")</f>
        <v>0</v>
      </c>
    </row>
    <row r="4876" spans="2:2">
      <c r="B4876" s="21">
        <f>IF(AND(C4876&lt;&gt;"", H4876&lt;&gt;""), HYPERLINK("#'" &amp; C4876 &amp; "'!" &amp; H4876, H4876), "")</f>
        <v>0</v>
      </c>
    </row>
    <row r="4877" spans="2:2">
      <c r="B4877" s="21">
        <f>IF(AND(C4877&lt;&gt;"", H4877&lt;&gt;""), HYPERLINK("#'" &amp; C4877 &amp; "'!" &amp; H4877, H4877), "")</f>
        <v>0</v>
      </c>
    </row>
    <row r="4878" spans="2:2">
      <c r="B4878" s="21">
        <f>IF(AND(C4878&lt;&gt;"", H4878&lt;&gt;""), HYPERLINK("#'" &amp; C4878 &amp; "'!" &amp; H4878, H4878), "")</f>
        <v>0</v>
      </c>
    </row>
    <row r="4879" spans="2:2">
      <c r="B4879" s="21">
        <f>IF(AND(C4879&lt;&gt;"", H4879&lt;&gt;""), HYPERLINK("#'" &amp; C4879 &amp; "'!" &amp; H4879, H4879), "")</f>
        <v>0</v>
      </c>
    </row>
    <row r="4880" spans="2:2">
      <c r="B4880" s="21">
        <f>IF(AND(C4880&lt;&gt;"", H4880&lt;&gt;""), HYPERLINK("#'" &amp; C4880 &amp; "'!" &amp; H4880, H4880), "")</f>
        <v>0</v>
      </c>
    </row>
    <row r="4881" spans="2:2">
      <c r="B4881" s="21">
        <f>IF(AND(C4881&lt;&gt;"", H4881&lt;&gt;""), HYPERLINK("#'" &amp; C4881 &amp; "'!" &amp; H4881, H4881), "")</f>
        <v>0</v>
      </c>
    </row>
    <row r="4882" spans="2:2">
      <c r="B4882" s="21">
        <f>IF(AND(C4882&lt;&gt;"", H4882&lt;&gt;""), HYPERLINK("#'" &amp; C4882 &amp; "'!" &amp; H4882, H4882), "")</f>
        <v>0</v>
      </c>
    </row>
    <row r="4883" spans="2:2">
      <c r="B4883" s="21">
        <f>IF(AND(C4883&lt;&gt;"", H4883&lt;&gt;""), HYPERLINK("#'" &amp; C4883 &amp; "'!" &amp; H4883, H4883), "")</f>
        <v>0</v>
      </c>
    </row>
    <row r="4884" spans="2:2">
      <c r="B4884" s="21">
        <f>IF(AND(C4884&lt;&gt;"", H4884&lt;&gt;""), HYPERLINK("#'" &amp; C4884 &amp; "'!" &amp; H4884, H4884), "")</f>
        <v>0</v>
      </c>
    </row>
    <row r="4885" spans="2:2">
      <c r="B4885" s="21">
        <f>IF(AND(C4885&lt;&gt;"", H4885&lt;&gt;""), HYPERLINK("#'" &amp; C4885 &amp; "'!" &amp; H4885, H4885), "")</f>
        <v>0</v>
      </c>
    </row>
    <row r="4886" spans="2:2">
      <c r="B4886" s="21">
        <f>IF(AND(C4886&lt;&gt;"", H4886&lt;&gt;""), HYPERLINK("#'" &amp; C4886 &amp; "'!" &amp; H4886, H4886), "")</f>
        <v>0</v>
      </c>
    </row>
    <row r="4887" spans="2:2">
      <c r="B4887" s="21">
        <f>IF(AND(C4887&lt;&gt;"", H4887&lt;&gt;""), HYPERLINK("#'" &amp; C4887 &amp; "'!" &amp; H4887, H4887), "")</f>
        <v>0</v>
      </c>
    </row>
    <row r="4888" spans="2:2">
      <c r="B4888" s="21">
        <f>IF(AND(C4888&lt;&gt;"", H4888&lt;&gt;""), HYPERLINK("#'" &amp; C4888 &amp; "'!" &amp; H4888, H4888), "")</f>
        <v>0</v>
      </c>
    </row>
    <row r="4889" spans="2:2">
      <c r="B4889" s="21">
        <f>IF(AND(C4889&lt;&gt;"", H4889&lt;&gt;""), HYPERLINK("#'" &amp; C4889 &amp; "'!" &amp; H4889, H4889), "")</f>
        <v>0</v>
      </c>
    </row>
    <row r="4890" spans="2:2">
      <c r="B4890" s="21">
        <f>IF(AND(C4890&lt;&gt;"", H4890&lt;&gt;""), HYPERLINK("#'" &amp; C4890 &amp; "'!" &amp; H4890, H4890), "")</f>
        <v>0</v>
      </c>
    </row>
    <row r="4891" spans="2:2">
      <c r="B4891" s="21">
        <f>IF(AND(C4891&lt;&gt;"", H4891&lt;&gt;""), HYPERLINK("#'" &amp; C4891 &amp; "'!" &amp; H4891, H4891), "")</f>
        <v>0</v>
      </c>
    </row>
    <row r="4892" spans="2:2">
      <c r="B4892" s="21">
        <f>IF(AND(C4892&lt;&gt;"", H4892&lt;&gt;""), HYPERLINK("#'" &amp; C4892 &amp; "'!" &amp; H4892, H4892), "")</f>
        <v>0</v>
      </c>
    </row>
    <row r="4893" spans="2:2">
      <c r="B4893" s="21">
        <f>IF(AND(C4893&lt;&gt;"", H4893&lt;&gt;""), HYPERLINK("#'" &amp; C4893 &amp; "'!" &amp; H4893, H4893), "")</f>
        <v>0</v>
      </c>
    </row>
    <row r="4894" spans="2:2">
      <c r="B4894" s="21">
        <f>IF(AND(C4894&lt;&gt;"", H4894&lt;&gt;""), HYPERLINK("#'" &amp; C4894 &amp; "'!" &amp; H4894, H4894), "")</f>
        <v>0</v>
      </c>
    </row>
    <row r="4895" spans="2:2">
      <c r="B4895" s="21">
        <f>IF(AND(C4895&lt;&gt;"", H4895&lt;&gt;""), HYPERLINK("#'" &amp; C4895 &amp; "'!" &amp; H4895, H4895), "")</f>
        <v>0</v>
      </c>
    </row>
    <row r="4896" spans="2:2">
      <c r="B4896" s="21">
        <f>IF(AND(C4896&lt;&gt;"", H4896&lt;&gt;""), HYPERLINK("#'" &amp; C4896 &amp; "'!" &amp; H4896, H4896), "")</f>
        <v>0</v>
      </c>
    </row>
    <row r="4897" spans="2:2">
      <c r="B4897" s="21">
        <f>IF(AND(C4897&lt;&gt;"", H4897&lt;&gt;""), HYPERLINK("#'" &amp; C4897 &amp; "'!" &amp; H4897, H4897), "")</f>
        <v>0</v>
      </c>
    </row>
    <row r="4898" spans="2:2">
      <c r="B4898" s="21">
        <f>IF(AND(C4898&lt;&gt;"", H4898&lt;&gt;""), HYPERLINK("#'" &amp; C4898 &amp; "'!" &amp; H4898, H4898), "")</f>
        <v>0</v>
      </c>
    </row>
    <row r="4899" spans="2:2">
      <c r="B4899" s="21">
        <f>IF(AND(C4899&lt;&gt;"", H4899&lt;&gt;""), HYPERLINK("#'" &amp; C4899 &amp; "'!" &amp; H4899, H4899), "")</f>
        <v>0</v>
      </c>
    </row>
    <row r="4900" spans="2:2">
      <c r="B4900" s="21">
        <f>IF(AND(C4900&lt;&gt;"", H4900&lt;&gt;""), HYPERLINK("#'" &amp; C4900 &amp; "'!" &amp; H4900, H4900), "")</f>
        <v>0</v>
      </c>
    </row>
    <row r="4901" spans="2:2">
      <c r="B4901" s="21">
        <f>IF(AND(C4901&lt;&gt;"", H4901&lt;&gt;""), HYPERLINK("#'" &amp; C4901 &amp; "'!" &amp; H4901, H4901), "")</f>
        <v>0</v>
      </c>
    </row>
    <row r="4902" spans="2:2">
      <c r="B4902" s="21">
        <f>IF(AND(C4902&lt;&gt;"", H4902&lt;&gt;""), HYPERLINK("#'" &amp; C4902 &amp; "'!" &amp; H4902, H4902), "")</f>
        <v>0</v>
      </c>
    </row>
    <row r="4903" spans="2:2">
      <c r="B4903" s="21">
        <f>IF(AND(C4903&lt;&gt;"", H4903&lt;&gt;""), HYPERLINK("#'" &amp; C4903 &amp; "'!" &amp; H4903, H4903), "")</f>
        <v>0</v>
      </c>
    </row>
    <row r="4904" spans="2:2">
      <c r="B4904" s="21">
        <f>IF(AND(C4904&lt;&gt;"", H4904&lt;&gt;""), HYPERLINK("#'" &amp; C4904 &amp; "'!" &amp; H4904, H4904), "")</f>
        <v>0</v>
      </c>
    </row>
    <row r="4905" spans="2:2">
      <c r="B4905" s="21">
        <f>IF(AND(C4905&lt;&gt;"", H4905&lt;&gt;""), HYPERLINK("#'" &amp; C4905 &amp; "'!" &amp; H4905, H4905), "")</f>
        <v>0</v>
      </c>
    </row>
    <row r="4906" spans="2:2">
      <c r="B4906" s="21">
        <f>IF(AND(C4906&lt;&gt;"", H4906&lt;&gt;""), HYPERLINK("#'" &amp; C4906 &amp; "'!" &amp; H4906, H4906), "")</f>
        <v>0</v>
      </c>
    </row>
    <row r="4907" spans="2:2">
      <c r="B4907" s="21">
        <f>IF(AND(C4907&lt;&gt;"", H4907&lt;&gt;""), HYPERLINK("#'" &amp; C4907 &amp; "'!" &amp; H4907, H4907), "")</f>
        <v>0</v>
      </c>
    </row>
    <row r="4908" spans="2:2">
      <c r="B4908" s="21">
        <f>IF(AND(C4908&lt;&gt;"", H4908&lt;&gt;""), HYPERLINK("#'" &amp; C4908 &amp; "'!" &amp; H4908, H4908), "")</f>
        <v>0</v>
      </c>
    </row>
    <row r="4909" spans="2:2">
      <c r="B4909" s="21">
        <f>IF(AND(C4909&lt;&gt;"", H4909&lt;&gt;""), HYPERLINK("#'" &amp; C4909 &amp; "'!" &amp; H4909, H4909), "")</f>
        <v>0</v>
      </c>
    </row>
    <row r="4910" spans="2:2">
      <c r="B4910" s="21">
        <f>IF(AND(C4910&lt;&gt;"", H4910&lt;&gt;""), HYPERLINK("#'" &amp; C4910 &amp; "'!" &amp; H4910, H4910), "")</f>
        <v>0</v>
      </c>
    </row>
    <row r="4911" spans="2:2">
      <c r="B4911" s="21">
        <f>IF(AND(C4911&lt;&gt;"", H4911&lt;&gt;""), HYPERLINK("#'" &amp; C4911 &amp; "'!" &amp; H4911, H4911), "")</f>
        <v>0</v>
      </c>
    </row>
    <row r="4912" spans="2:2">
      <c r="B4912" s="21">
        <f>IF(AND(C4912&lt;&gt;"", H4912&lt;&gt;""), HYPERLINK("#'" &amp; C4912 &amp; "'!" &amp; H4912, H4912), "")</f>
        <v>0</v>
      </c>
    </row>
    <row r="4913" spans="2:2">
      <c r="B4913" s="21">
        <f>IF(AND(C4913&lt;&gt;"", H4913&lt;&gt;""), HYPERLINK("#'" &amp; C4913 &amp; "'!" &amp; H4913, H4913), "")</f>
        <v>0</v>
      </c>
    </row>
    <row r="4914" spans="2:2">
      <c r="B4914" s="21">
        <f>IF(AND(C4914&lt;&gt;"", H4914&lt;&gt;""), HYPERLINK("#'" &amp; C4914 &amp; "'!" &amp; H4914, H4914), "")</f>
        <v>0</v>
      </c>
    </row>
    <row r="4915" spans="2:2">
      <c r="B4915" s="21">
        <f>IF(AND(C4915&lt;&gt;"", H4915&lt;&gt;""), HYPERLINK("#'" &amp; C4915 &amp; "'!" &amp; H4915, H4915), "")</f>
        <v>0</v>
      </c>
    </row>
    <row r="4916" spans="2:2">
      <c r="B4916" s="21">
        <f>IF(AND(C4916&lt;&gt;"", H4916&lt;&gt;""), HYPERLINK("#'" &amp; C4916 &amp; "'!" &amp; H4916, H4916), "")</f>
        <v>0</v>
      </c>
    </row>
    <row r="4917" spans="2:2">
      <c r="B4917" s="21">
        <f>IF(AND(C4917&lt;&gt;"", H4917&lt;&gt;""), HYPERLINK("#'" &amp; C4917 &amp; "'!" &amp; H4917, H4917), "")</f>
        <v>0</v>
      </c>
    </row>
    <row r="4918" spans="2:2">
      <c r="B4918" s="21">
        <f>IF(AND(C4918&lt;&gt;"", H4918&lt;&gt;""), HYPERLINK("#'" &amp; C4918 &amp; "'!" &amp; H4918, H4918), "")</f>
        <v>0</v>
      </c>
    </row>
    <row r="4919" spans="2:2">
      <c r="B4919" s="21">
        <f>IF(AND(C4919&lt;&gt;"", H4919&lt;&gt;""), HYPERLINK("#'" &amp; C4919 &amp; "'!" &amp; H4919, H4919), "")</f>
        <v>0</v>
      </c>
    </row>
    <row r="4920" spans="2:2">
      <c r="B4920" s="21">
        <f>IF(AND(C4920&lt;&gt;"", H4920&lt;&gt;""), HYPERLINK("#'" &amp; C4920 &amp; "'!" &amp; H4920, H4920), "")</f>
        <v>0</v>
      </c>
    </row>
    <row r="4921" spans="2:2">
      <c r="B4921" s="21">
        <f>IF(AND(C4921&lt;&gt;"", H4921&lt;&gt;""), HYPERLINK("#'" &amp; C4921 &amp; "'!" &amp; H4921, H4921), "")</f>
        <v>0</v>
      </c>
    </row>
    <row r="4922" spans="2:2">
      <c r="B4922" s="21">
        <f>IF(AND(C4922&lt;&gt;"", H4922&lt;&gt;""), HYPERLINK("#'" &amp; C4922 &amp; "'!" &amp; H4922, H4922), "")</f>
        <v>0</v>
      </c>
    </row>
    <row r="4923" spans="2:2">
      <c r="B4923" s="21">
        <f>IF(AND(C4923&lt;&gt;"", H4923&lt;&gt;""), HYPERLINK("#'" &amp; C4923 &amp; "'!" &amp; H4923, H4923), "")</f>
        <v>0</v>
      </c>
    </row>
    <row r="4924" spans="2:2">
      <c r="B4924" s="21">
        <f>IF(AND(C4924&lt;&gt;"", H4924&lt;&gt;""), HYPERLINK("#'" &amp; C4924 &amp; "'!" &amp; H4924, H4924), "")</f>
        <v>0</v>
      </c>
    </row>
    <row r="4925" spans="2:2">
      <c r="B4925" s="21">
        <f>IF(AND(C4925&lt;&gt;"", H4925&lt;&gt;""), HYPERLINK("#'" &amp; C4925 &amp; "'!" &amp; H4925, H4925), "")</f>
        <v>0</v>
      </c>
    </row>
    <row r="4926" spans="2:2">
      <c r="B4926" s="21">
        <f>IF(AND(C4926&lt;&gt;"", H4926&lt;&gt;""), HYPERLINK("#'" &amp; C4926 &amp; "'!" &amp; H4926, H4926), "")</f>
        <v>0</v>
      </c>
    </row>
    <row r="4927" spans="2:2">
      <c r="B4927" s="21">
        <f>IF(AND(C4927&lt;&gt;"", H4927&lt;&gt;""), HYPERLINK("#'" &amp; C4927 &amp; "'!" &amp; H4927, H4927), "")</f>
        <v>0</v>
      </c>
    </row>
    <row r="4928" spans="2:2">
      <c r="B4928" s="21">
        <f>IF(AND(C4928&lt;&gt;"", H4928&lt;&gt;""), HYPERLINK("#'" &amp; C4928 &amp; "'!" &amp; H4928, H4928), "")</f>
        <v>0</v>
      </c>
    </row>
    <row r="4929" spans="2:2">
      <c r="B4929" s="21">
        <f>IF(AND(C4929&lt;&gt;"", H4929&lt;&gt;""), HYPERLINK("#'" &amp; C4929 &amp; "'!" &amp; H4929, H4929), "")</f>
        <v>0</v>
      </c>
    </row>
    <row r="4930" spans="2:2">
      <c r="B4930" s="21">
        <f>IF(AND(C4930&lt;&gt;"", H4930&lt;&gt;""), HYPERLINK("#'" &amp; C4930 &amp; "'!" &amp; H4930, H4930), "")</f>
        <v>0</v>
      </c>
    </row>
    <row r="4931" spans="2:2">
      <c r="B4931" s="21">
        <f>IF(AND(C4931&lt;&gt;"", H4931&lt;&gt;""), HYPERLINK("#'" &amp; C4931 &amp; "'!" &amp; H4931, H4931), "")</f>
        <v>0</v>
      </c>
    </row>
    <row r="4932" spans="2:2">
      <c r="B4932" s="21">
        <f>IF(AND(C4932&lt;&gt;"", H4932&lt;&gt;""), HYPERLINK("#'" &amp; C4932 &amp; "'!" &amp; H4932, H4932), "")</f>
        <v>0</v>
      </c>
    </row>
    <row r="4933" spans="2:2">
      <c r="B4933" s="21">
        <f>IF(AND(C4933&lt;&gt;"", H4933&lt;&gt;""), HYPERLINK("#'" &amp; C4933 &amp; "'!" &amp; H4933, H4933), "")</f>
        <v>0</v>
      </c>
    </row>
    <row r="4934" spans="2:2">
      <c r="B4934" s="21">
        <f>IF(AND(C4934&lt;&gt;"", H4934&lt;&gt;""), HYPERLINK("#'" &amp; C4934 &amp; "'!" &amp; H4934, H4934), "")</f>
        <v>0</v>
      </c>
    </row>
    <row r="4935" spans="2:2">
      <c r="B4935" s="21">
        <f>IF(AND(C4935&lt;&gt;"", H4935&lt;&gt;""), HYPERLINK("#'" &amp; C4935 &amp; "'!" &amp; H4935, H4935), "")</f>
        <v>0</v>
      </c>
    </row>
    <row r="4936" spans="2:2">
      <c r="B4936" s="21">
        <f>IF(AND(C4936&lt;&gt;"", H4936&lt;&gt;""), HYPERLINK("#'" &amp; C4936 &amp; "'!" &amp; H4936, H4936), "")</f>
        <v>0</v>
      </c>
    </row>
    <row r="4937" spans="2:2">
      <c r="B4937" s="21">
        <f>IF(AND(C4937&lt;&gt;"", H4937&lt;&gt;""), HYPERLINK("#'" &amp; C4937 &amp; "'!" &amp; H4937, H4937), "")</f>
        <v>0</v>
      </c>
    </row>
    <row r="4938" spans="2:2">
      <c r="B4938" s="21">
        <f>IF(AND(C4938&lt;&gt;"", H4938&lt;&gt;""), HYPERLINK("#'" &amp; C4938 &amp; "'!" &amp; H4938, H4938), "")</f>
        <v>0</v>
      </c>
    </row>
    <row r="4939" spans="2:2">
      <c r="B4939" s="21">
        <f>IF(AND(C4939&lt;&gt;"", H4939&lt;&gt;""), HYPERLINK("#'" &amp; C4939 &amp; "'!" &amp; H4939, H4939), "")</f>
        <v>0</v>
      </c>
    </row>
    <row r="4940" spans="2:2">
      <c r="B4940" s="21">
        <f>IF(AND(C4940&lt;&gt;"", H4940&lt;&gt;""), HYPERLINK("#'" &amp; C4940 &amp; "'!" &amp; H4940, H4940), "")</f>
        <v>0</v>
      </c>
    </row>
    <row r="4941" spans="2:2">
      <c r="B4941" s="21">
        <f>IF(AND(C4941&lt;&gt;"", H4941&lt;&gt;""), HYPERLINK("#'" &amp; C4941 &amp; "'!" &amp; H4941, H4941), "")</f>
        <v>0</v>
      </c>
    </row>
    <row r="4942" spans="2:2">
      <c r="B4942" s="21">
        <f>IF(AND(C4942&lt;&gt;"", H4942&lt;&gt;""), HYPERLINK("#'" &amp; C4942 &amp; "'!" &amp; H4942, H4942), "")</f>
        <v>0</v>
      </c>
    </row>
    <row r="4943" spans="2:2">
      <c r="B4943" s="21">
        <f>IF(AND(C4943&lt;&gt;"", H4943&lt;&gt;""), HYPERLINK("#'" &amp; C4943 &amp; "'!" &amp; H4943, H4943), "")</f>
        <v>0</v>
      </c>
    </row>
    <row r="4944" spans="2:2">
      <c r="B4944" s="21">
        <f>IF(AND(C4944&lt;&gt;"", H4944&lt;&gt;""), HYPERLINK("#'" &amp; C4944 &amp; "'!" &amp; H4944, H4944), "")</f>
        <v>0</v>
      </c>
    </row>
    <row r="4945" spans="2:2">
      <c r="B4945" s="21">
        <f>IF(AND(C4945&lt;&gt;"", H4945&lt;&gt;""), HYPERLINK("#'" &amp; C4945 &amp; "'!" &amp; H4945, H4945), "")</f>
        <v>0</v>
      </c>
    </row>
    <row r="4946" spans="2:2">
      <c r="B4946" s="21">
        <f>IF(AND(C4946&lt;&gt;"", H4946&lt;&gt;""), HYPERLINK("#'" &amp; C4946 &amp; "'!" &amp; H4946, H4946), "")</f>
        <v>0</v>
      </c>
    </row>
    <row r="4947" spans="2:2">
      <c r="B4947" s="21">
        <f>IF(AND(C4947&lt;&gt;"", H4947&lt;&gt;""), HYPERLINK("#'" &amp; C4947 &amp; "'!" &amp; H4947, H4947), "")</f>
        <v>0</v>
      </c>
    </row>
    <row r="4948" spans="2:2">
      <c r="B4948" s="21">
        <f>IF(AND(C4948&lt;&gt;"", H4948&lt;&gt;""), HYPERLINK("#'" &amp; C4948 &amp; "'!" &amp; H4948, H4948), "")</f>
        <v>0</v>
      </c>
    </row>
    <row r="4949" spans="2:2">
      <c r="B4949" s="21">
        <f>IF(AND(C4949&lt;&gt;"", H4949&lt;&gt;""), HYPERLINK("#'" &amp; C4949 &amp; "'!" &amp; H4949, H4949), "")</f>
        <v>0</v>
      </c>
    </row>
    <row r="4950" spans="2:2">
      <c r="B4950" s="21">
        <f>IF(AND(C4950&lt;&gt;"", H4950&lt;&gt;""), HYPERLINK("#'" &amp; C4950 &amp; "'!" &amp; H4950, H4950), "")</f>
        <v>0</v>
      </c>
    </row>
    <row r="4951" spans="2:2">
      <c r="B4951" s="21">
        <f>IF(AND(C4951&lt;&gt;"", H4951&lt;&gt;""), HYPERLINK("#'" &amp; C4951 &amp; "'!" &amp; H4951, H4951), "")</f>
        <v>0</v>
      </c>
    </row>
    <row r="4952" spans="2:2">
      <c r="B4952" s="21">
        <f>IF(AND(C4952&lt;&gt;"", H4952&lt;&gt;""), HYPERLINK("#'" &amp; C4952 &amp; "'!" &amp; H4952, H4952), "")</f>
        <v>0</v>
      </c>
    </row>
    <row r="4953" spans="2:2">
      <c r="B4953" s="21">
        <f>IF(AND(C4953&lt;&gt;"", H4953&lt;&gt;""), HYPERLINK("#'" &amp; C4953 &amp; "'!" &amp; H4953, H4953), "")</f>
        <v>0</v>
      </c>
    </row>
    <row r="4954" spans="2:2">
      <c r="B4954" s="21">
        <f>IF(AND(C4954&lt;&gt;"", H4954&lt;&gt;""), HYPERLINK("#'" &amp; C4954 &amp; "'!" &amp; H4954, H4954), "")</f>
        <v>0</v>
      </c>
    </row>
    <row r="4955" spans="2:2">
      <c r="B4955" s="21">
        <f>IF(AND(C4955&lt;&gt;"", H4955&lt;&gt;""), HYPERLINK("#'" &amp; C4955 &amp; "'!" &amp; H4955, H4955), "")</f>
        <v>0</v>
      </c>
    </row>
    <row r="4956" spans="2:2">
      <c r="B4956" s="21">
        <f>IF(AND(C4956&lt;&gt;"", H4956&lt;&gt;""), HYPERLINK("#'" &amp; C4956 &amp; "'!" &amp; H4956, H4956), "")</f>
        <v>0</v>
      </c>
    </row>
    <row r="4957" spans="2:2">
      <c r="B4957" s="21">
        <f>IF(AND(C4957&lt;&gt;"", H4957&lt;&gt;""), HYPERLINK("#'" &amp; C4957 &amp; "'!" &amp; H4957, H4957), "")</f>
        <v>0</v>
      </c>
    </row>
    <row r="4958" spans="2:2">
      <c r="B4958" s="21">
        <f>IF(AND(C4958&lt;&gt;"", H4958&lt;&gt;""), HYPERLINK("#'" &amp; C4958 &amp; "'!" &amp; H4958, H4958), "")</f>
        <v>0</v>
      </c>
    </row>
    <row r="4959" spans="2:2">
      <c r="B4959" s="21">
        <f>IF(AND(C4959&lt;&gt;"", H4959&lt;&gt;""), HYPERLINK("#'" &amp; C4959 &amp; "'!" &amp; H4959, H4959), "")</f>
        <v>0</v>
      </c>
    </row>
    <row r="4960" spans="2:2">
      <c r="B4960" s="21">
        <f>IF(AND(C4960&lt;&gt;"", H4960&lt;&gt;""), HYPERLINK("#'" &amp; C4960 &amp; "'!" &amp; H4960, H4960), "")</f>
        <v>0</v>
      </c>
    </row>
    <row r="4961" spans="2:2">
      <c r="B4961" s="21">
        <f>IF(AND(C4961&lt;&gt;"", H4961&lt;&gt;""), HYPERLINK("#'" &amp; C4961 &amp; "'!" &amp; H4961, H4961), "")</f>
        <v>0</v>
      </c>
    </row>
    <row r="4962" spans="2:2">
      <c r="B4962" s="21">
        <f>IF(AND(C4962&lt;&gt;"", H4962&lt;&gt;""), HYPERLINK("#'" &amp; C4962 &amp; "'!" &amp; H4962, H4962), "")</f>
        <v>0</v>
      </c>
    </row>
    <row r="4963" spans="2:2">
      <c r="B4963" s="21">
        <f>IF(AND(C4963&lt;&gt;"", H4963&lt;&gt;""), HYPERLINK("#'" &amp; C4963 &amp; "'!" &amp; H4963, H4963), "")</f>
        <v>0</v>
      </c>
    </row>
    <row r="4964" spans="2:2">
      <c r="B4964" s="21">
        <f>IF(AND(C4964&lt;&gt;"", H4964&lt;&gt;""), HYPERLINK("#'" &amp; C4964 &amp; "'!" &amp; H4964, H4964), "")</f>
        <v>0</v>
      </c>
    </row>
    <row r="4965" spans="2:2">
      <c r="B4965" s="21">
        <f>IF(AND(C4965&lt;&gt;"", H4965&lt;&gt;""), HYPERLINK("#'" &amp; C4965 &amp; "'!" &amp; H4965, H4965), "")</f>
        <v>0</v>
      </c>
    </row>
    <row r="4966" spans="2:2">
      <c r="B4966" s="21">
        <f>IF(AND(C4966&lt;&gt;"", H4966&lt;&gt;""), HYPERLINK("#'" &amp; C4966 &amp; "'!" &amp; H4966, H4966), "")</f>
        <v>0</v>
      </c>
    </row>
    <row r="4967" spans="2:2">
      <c r="B4967" s="21">
        <f>IF(AND(C4967&lt;&gt;"", H4967&lt;&gt;""), HYPERLINK("#'" &amp; C4967 &amp; "'!" &amp; H4967, H4967), "")</f>
        <v>0</v>
      </c>
    </row>
    <row r="4968" spans="2:2">
      <c r="B4968" s="21">
        <f>IF(AND(C4968&lt;&gt;"", H4968&lt;&gt;""), HYPERLINK("#'" &amp; C4968 &amp; "'!" &amp; H4968, H4968), "")</f>
        <v>0</v>
      </c>
    </row>
    <row r="4969" spans="2:2">
      <c r="B4969" s="21">
        <f>IF(AND(C4969&lt;&gt;"", H4969&lt;&gt;""), HYPERLINK("#'" &amp; C4969 &amp; "'!" &amp; H4969, H4969), "")</f>
        <v>0</v>
      </c>
    </row>
    <row r="4970" spans="2:2">
      <c r="B4970" s="21">
        <f>IF(AND(C4970&lt;&gt;"", H4970&lt;&gt;""), HYPERLINK("#'" &amp; C4970 &amp; "'!" &amp; H4970, H4970), "")</f>
        <v>0</v>
      </c>
    </row>
    <row r="4971" spans="2:2">
      <c r="B4971" s="21">
        <f>IF(AND(C4971&lt;&gt;"", H4971&lt;&gt;""), HYPERLINK("#'" &amp; C4971 &amp; "'!" &amp; H4971, H4971), "")</f>
        <v>0</v>
      </c>
    </row>
    <row r="4972" spans="2:2">
      <c r="B4972" s="21">
        <f>IF(AND(C4972&lt;&gt;"", H4972&lt;&gt;""), HYPERLINK("#'" &amp; C4972 &amp; "'!" &amp; H4972, H4972), "")</f>
        <v>0</v>
      </c>
    </row>
    <row r="4973" spans="2:2">
      <c r="B4973" s="21">
        <f>IF(AND(C4973&lt;&gt;"", H4973&lt;&gt;""), HYPERLINK("#'" &amp; C4973 &amp; "'!" &amp; H4973, H4973), "")</f>
        <v>0</v>
      </c>
    </row>
    <row r="4974" spans="2:2">
      <c r="B4974" s="21">
        <f>IF(AND(C4974&lt;&gt;"", H4974&lt;&gt;""), HYPERLINK("#'" &amp; C4974 &amp; "'!" &amp; H4974, H4974), "")</f>
        <v>0</v>
      </c>
    </row>
    <row r="4975" spans="2:2">
      <c r="B4975" s="21">
        <f>IF(AND(C4975&lt;&gt;"", H4975&lt;&gt;""), HYPERLINK("#'" &amp; C4975 &amp; "'!" &amp; H4975, H4975), "")</f>
        <v>0</v>
      </c>
    </row>
    <row r="4976" spans="2:2">
      <c r="B4976" s="21">
        <f>IF(AND(C4976&lt;&gt;"", H4976&lt;&gt;""), HYPERLINK("#'" &amp; C4976 &amp; "'!" &amp; H4976, H4976), "")</f>
        <v>0</v>
      </c>
    </row>
    <row r="4977" spans="2:2">
      <c r="B4977" s="21">
        <f>IF(AND(C4977&lt;&gt;"", H4977&lt;&gt;""), HYPERLINK("#'" &amp; C4977 &amp; "'!" &amp; H4977, H4977), "")</f>
        <v>0</v>
      </c>
    </row>
    <row r="4978" spans="2:2">
      <c r="B4978" s="21">
        <f>IF(AND(C4978&lt;&gt;"", H4978&lt;&gt;""), HYPERLINK("#'" &amp; C4978 &amp; "'!" &amp; H4978, H4978), "")</f>
        <v>0</v>
      </c>
    </row>
    <row r="4979" spans="2:2">
      <c r="B4979" s="21">
        <f>IF(AND(C4979&lt;&gt;"", H4979&lt;&gt;""), HYPERLINK("#'" &amp; C4979 &amp; "'!" &amp; H4979, H4979), "")</f>
        <v>0</v>
      </c>
    </row>
    <row r="4980" spans="2:2">
      <c r="B4980" s="21">
        <f>IF(AND(C4980&lt;&gt;"", H4980&lt;&gt;""), HYPERLINK("#'" &amp; C4980 &amp; "'!" &amp; H4980, H4980), "")</f>
        <v>0</v>
      </c>
    </row>
    <row r="4981" spans="2:2">
      <c r="B4981" s="21">
        <f>IF(AND(C4981&lt;&gt;"", H4981&lt;&gt;""), HYPERLINK("#'" &amp; C4981 &amp; "'!" &amp; H4981, H4981), "")</f>
        <v>0</v>
      </c>
    </row>
    <row r="4982" spans="2:2">
      <c r="B4982" s="21">
        <f>IF(AND(C4982&lt;&gt;"", H4982&lt;&gt;""), HYPERLINK("#'" &amp; C4982 &amp; "'!" &amp; H4982, H4982), "")</f>
        <v>0</v>
      </c>
    </row>
    <row r="4983" spans="2:2">
      <c r="B4983" s="21">
        <f>IF(AND(C4983&lt;&gt;"", H4983&lt;&gt;""), HYPERLINK("#'" &amp; C4983 &amp; "'!" &amp; H4983, H4983), "")</f>
        <v>0</v>
      </c>
    </row>
    <row r="4984" spans="2:2">
      <c r="B4984" s="21">
        <f>IF(AND(C4984&lt;&gt;"", H4984&lt;&gt;""), HYPERLINK("#'" &amp; C4984 &amp; "'!" &amp; H4984, H4984), "")</f>
        <v>0</v>
      </c>
    </row>
    <row r="4985" spans="2:2">
      <c r="B4985" s="21">
        <f>IF(AND(C4985&lt;&gt;"", H4985&lt;&gt;""), HYPERLINK("#'" &amp; C4985 &amp; "'!" &amp; H4985, H4985), "")</f>
        <v>0</v>
      </c>
    </row>
    <row r="4986" spans="2:2">
      <c r="B4986" s="21">
        <f>IF(AND(C4986&lt;&gt;"", H4986&lt;&gt;""), HYPERLINK("#'" &amp; C4986 &amp; "'!" &amp; H4986, H4986), "")</f>
        <v>0</v>
      </c>
    </row>
    <row r="4987" spans="2:2">
      <c r="B4987" s="21">
        <f>IF(AND(C4987&lt;&gt;"", H4987&lt;&gt;""), HYPERLINK("#'" &amp; C4987 &amp; "'!" &amp; H4987, H4987), "")</f>
        <v>0</v>
      </c>
    </row>
    <row r="4988" spans="2:2">
      <c r="B4988" s="21">
        <f>IF(AND(C4988&lt;&gt;"", H4988&lt;&gt;""), HYPERLINK("#'" &amp; C4988 &amp; "'!" &amp; H4988, H4988), "")</f>
        <v>0</v>
      </c>
    </row>
    <row r="4989" spans="2:2">
      <c r="B4989" s="21">
        <f>IF(AND(C4989&lt;&gt;"", H4989&lt;&gt;""), HYPERLINK("#'" &amp; C4989 &amp; "'!" &amp; H4989, H4989), "")</f>
        <v>0</v>
      </c>
    </row>
    <row r="4990" spans="2:2">
      <c r="B4990" s="21">
        <f>IF(AND(C4990&lt;&gt;"", H4990&lt;&gt;""), HYPERLINK("#'" &amp; C4990 &amp; "'!" &amp; H4990, H4990), "")</f>
        <v>0</v>
      </c>
    </row>
    <row r="4991" spans="2:2">
      <c r="B4991" s="21">
        <f>IF(AND(C4991&lt;&gt;"", H4991&lt;&gt;""), HYPERLINK("#'" &amp; C4991 &amp; "'!" &amp; H4991, H4991), "")</f>
        <v>0</v>
      </c>
    </row>
    <row r="4992" spans="2:2">
      <c r="B4992" s="21">
        <f>IF(AND(C4992&lt;&gt;"", H4992&lt;&gt;""), HYPERLINK("#'" &amp; C4992 &amp; "'!" &amp; H4992, H4992), "")</f>
        <v>0</v>
      </c>
    </row>
    <row r="4993" spans="2:2">
      <c r="B4993" s="21">
        <f>IF(AND(C4993&lt;&gt;"", H4993&lt;&gt;""), HYPERLINK("#'" &amp; C4993 &amp; "'!" &amp; H4993, H4993), "")</f>
        <v>0</v>
      </c>
    </row>
    <row r="4994" spans="2:2">
      <c r="B4994" s="21">
        <f>IF(AND(C4994&lt;&gt;"", H4994&lt;&gt;""), HYPERLINK("#'" &amp; C4994 &amp; "'!" &amp; H4994, H4994), "")</f>
        <v>0</v>
      </c>
    </row>
    <row r="4995" spans="2:2">
      <c r="B4995" s="21">
        <f>IF(AND(C4995&lt;&gt;"", H4995&lt;&gt;""), HYPERLINK("#'" &amp; C4995 &amp; "'!" &amp; H4995, H4995), "")</f>
        <v>0</v>
      </c>
    </row>
    <row r="4996" spans="2:2">
      <c r="B4996" s="21">
        <f>IF(AND(C4996&lt;&gt;"", H4996&lt;&gt;""), HYPERLINK("#'" &amp; C4996 &amp; "'!" &amp; H4996, H4996), "")</f>
        <v>0</v>
      </c>
    </row>
    <row r="4997" spans="2:2">
      <c r="B4997" s="21">
        <f>IF(AND(C4997&lt;&gt;"", H4997&lt;&gt;""), HYPERLINK("#'" &amp; C4997 &amp; "'!" &amp; H4997, H4997), "")</f>
        <v>0</v>
      </c>
    </row>
    <row r="4998" spans="2:2">
      <c r="B4998" s="21">
        <f>IF(AND(C4998&lt;&gt;"", H4998&lt;&gt;""), HYPERLINK("#'" &amp; C4998 &amp; "'!" &amp; H4998, H4998), "")</f>
        <v>0</v>
      </c>
    </row>
    <row r="4999" spans="2:2">
      <c r="B4999" s="21">
        <f>IF(AND(C4999&lt;&gt;"", H4999&lt;&gt;""), HYPERLINK("#'" &amp; C4999 &amp; "'!" &amp; H4999, H4999), "")</f>
        <v>0</v>
      </c>
    </row>
    <row r="5000" spans="2:2">
      <c r="B5000" s="21">
        <f>IF(AND(C5000&lt;&gt;"", H5000&lt;&gt;""), HYPERLINK("#'" &amp; C5000 &amp; "'!" &amp; H5000, H5000), "")</f>
        <v>0</v>
      </c>
    </row>
    <row r="5001" spans="2:2">
      <c r="B5001" s="21">
        <f>IF(AND(C5001&lt;&gt;"", H5001&lt;&gt;""), HYPERLINK("#'" &amp; C5001 &amp; "'!" &amp; H5001, H5001), "")</f>
        <v>0</v>
      </c>
    </row>
    <row r="5002" spans="2:2">
      <c r="B5002" s="21">
        <f>IF(AND(C5002&lt;&gt;"", H5002&lt;&gt;""), HYPERLINK("#'" &amp; C5002 &amp; "'!" &amp; H5002, H5002), "")</f>
        <v>0</v>
      </c>
    </row>
    <row r="5003" spans="2:2">
      <c r="B5003" s="21">
        <f>IF(AND(C5003&lt;&gt;"", H5003&lt;&gt;""), HYPERLINK("#'" &amp; C5003 &amp; "'!" &amp; H5003, H5003), "")</f>
        <v>0</v>
      </c>
    </row>
    <row r="5004" spans="2:2">
      <c r="B5004" s="21">
        <f>IF(AND(C5004&lt;&gt;"", H5004&lt;&gt;""), HYPERLINK("#'" &amp; C5004 &amp; "'!" &amp; H5004, H5004), "")</f>
        <v>0</v>
      </c>
    </row>
    <row r="5005" spans="2:2">
      <c r="B5005" s="21">
        <f>IF(AND(C5005&lt;&gt;"", H5005&lt;&gt;""), HYPERLINK("#'" &amp; C5005 &amp; "'!" &amp; H5005, H5005), "")</f>
        <v>0</v>
      </c>
    </row>
    <row r="5006" spans="2:2">
      <c r="B5006" s="21">
        <f>IF(AND(C5006&lt;&gt;"", H5006&lt;&gt;""), HYPERLINK("#'" &amp; C5006 &amp; "'!" &amp; H5006, H5006), "")</f>
        <v>0</v>
      </c>
    </row>
    <row r="5007" spans="2:2">
      <c r="B5007" s="21">
        <f>IF(AND(C5007&lt;&gt;"", H5007&lt;&gt;""), HYPERLINK("#'" &amp; C5007 &amp; "'!" &amp; H5007, H5007), "")</f>
        <v>0</v>
      </c>
    </row>
    <row r="5008" spans="2:2">
      <c r="B5008" s="21">
        <f>IF(AND(C5008&lt;&gt;"", H5008&lt;&gt;""), HYPERLINK("#'" &amp; C5008 &amp; "'!" &amp; H5008, H5008), "")</f>
        <v>0</v>
      </c>
    </row>
    <row r="5009" spans="2:2">
      <c r="B5009" s="21">
        <f>IF(AND(C5009&lt;&gt;"", H5009&lt;&gt;""), HYPERLINK("#'" &amp; C5009 &amp; "'!" &amp; H5009, H5009), "")</f>
        <v>0</v>
      </c>
    </row>
    <row r="5010" spans="2:2">
      <c r="B5010" s="21">
        <f>IF(AND(C5010&lt;&gt;"", H5010&lt;&gt;""), HYPERLINK("#'" &amp; C5010 &amp; "'!" &amp; H5010, H5010), "")</f>
        <v>0</v>
      </c>
    </row>
    <row r="5011" spans="2:2">
      <c r="B5011" s="21">
        <f>IF(AND(C5011&lt;&gt;"", H5011&lt;&gt;""), HYPERLINK("#'" &amp; C5011 &amp; "'!" &amp; H5011, H5011), "")</f>
        <v>0</v>
      </c>
    </row>
    <row r="5012" spans="2:2">
      <c r="B5012" s="21">
        <f>IF(AND(C5012&lt;&gt;"", H5012&lt;&gt;""), HYPERLINK("#'" &amp; C5012 &amp; "'!" &amp; H5012, H5012), "")</f>
        <v>0</v>
      </c>
    </row>
    <row r="5013" spans="2:2">
      <c r="B5013" s="21">
        <f>IF(AND(C5013&lt;&gt;"", H5013&lt;&gt;""), HYPERLINK("#'" &amp; C5013 &amp; "'!" &amp; H5013, H5013), "")</f>
        <v>0</v>
      </c>
    </row>
    <row r="5014" spans="2:2">
      <c r="B5014" s="21">
        <f>IF(AND(C5014&lt;&gt;"", H5014&lt;&gt;""), HYPERLINK("#'" &amp; C5014 &amp; "'!" &amp; H5014, H5014), "")</f>
        <v>0</v>
      </c>
    </row>
    <row r="5015" spans="2:2">
      <c r="B5015" s="21">
        <f>IF(AND(C5015&lt;&gt;"", H5015&lt;&gt;""), HYPERLINK("#'" &amp; C5015 &amp; "'!" &amp; H5015, H5015), "")</f>
        <v>0</v>
      </c>
    </row>
    <row r="5016" spans="2:2">
      <c r="B5016" s="21">
        <f>IF(AND(C5016&lt;&gt;"", H5016&lt;&gt;""), HYPERLINK("#'" &amp; C5016 &amp; "'!" &amp; H5016, H5016), "")</f>
        <v>0</v>
      </c>
    </row>
    <row r="5017" spans="2:2">
      <c r="B5017" s="21">
        <f>IF(AND(C5017&lt;&gt;"", H5017&lt;&gt;""), HYPERLINK("#'" &amp; C5017 &amp; "'!" &amp; H5017, H5017), "")</f>
        <v>0</v>
      </c>
    </row>
    <row r="5018" spans="2:2">
      <c r="B5018" s="21">
        <f>IF(AND(C5018&lt;&gt;"", H5018&lt;&gt;""), HYPERLINK("#'" &amp; C5018 &amp; "'!" &amp; H5018, H5018), "")</f>
        <v>0</v>
      </c>
    </row>
    <row r="5019" spans="2:2">
      <c r="B5019" s="21">
        <f>IF(AND(C5019&lt;&gt;"", H5019&lt;&gt;""), HYPERLINK("#'" &amp; C5019 &amp; "'!" &amp; H5019, H5019), "")</f>
        <v>0</v>
      </c>
    </row>
    <row r="5020" spans="2:2">
      <c r="B5020" s="21">
        <f>IF(AND(C5020&lt;&gt;"", H5020&lt;&gt;""), HYPERLINK("#'" &amp; C5020 &amp; "'!" &amp; H5020, H5020), "")</f>
        <v>0</v>
      </c>
    </row>
    <row r="5021" spans="2:2">
      <c r="B5021" s="21">
        <f>IF(AND(C5021&lt;&gt;"", H5021&lt;&gt;""), HYPERLINK("#'" &amp; C5021 &amp; "'!" &amp; H5021, H5021), "")</f>
        <v>0</v>
      </c>
    </row>
    <row r="5022" spans="2:2">
      <c r="B5022" s="21">
        <f>IF(AND(C5022&lt;&gt;"", H5022&lt;&gt;""), HYPERLINK("#'" &amp; C5022 &amp; "'!" &amp; H5022, H5022), "")</f>
        <v>0</v>
      </c>
    </row>
    <row r="5023" spans="2:2">
      <c r="B5023" s="21">
        <f>IF(AND(C5023&lt;&gt;"", H5023&lt;&gt;""), HYPERLINK("#'" &amp; C5023 &amp; "'!" &amp; H5023, H5023), "")</f>
        <v>0</v>
      </c>
    </row>
    <row r="5024" spans="2:2">
      <c r="B5024" s="21">
        <f>IF(AND(C5024&lt;&gt;"", H5024&lt;&gt;""), HYPERLINK("#'" &amp; C5024 &amp; "'!" &amp; H5024, H5024), "")</f>
        <v>0</v>
      </c>
    </row>
    <row r="5025" spans="2:2">
      <c r="B5025" s="21">
        <f>IF(AND(C5025&lt;&gt;"", H5025&lt;&gt;""), HYPERLINK("#'" &amp; C5025 &amp; "'!" &amp; H5025, H5025), "")</f>
        <v>0</v>
      </c>
    </row>
    <row r="5026" spans="2:2">
      <c r="B5026" s="21">
        <f>IF(AND(C5026&lt;&gt;"", H5026&lt;&gt;""), HYPERLINK("#'" &amp; C5026 &amp; "'!" &amp; H5026, H5026), "")</f>
        <v>0</v>
      </c>
    </row>
    <row r="5027" spans="2:2">
      <c r="B5027" s="21">
        <f>IF(AND(C5027&lt;&gt;"", H5027&lt;&gt;""), HYPERLINK("#'" &amp; C5027 &amp; "'!" &amp; H5027, H5027), "")</f>
        <v>0</v>
      </c>
    </row>
    <row r="5028" spans="2:2">
      <c r="B5028" s="21">
        <f>IF(AND(C5028&lt;&gt;"", H5028&lt;&gt;""), HYPERLINK("#'" &amp; C5028 &amp; "'!" &amp; H5028, H5028), "")</f>
        <v>0</v>
      </c>
    </row>
    <row r="5029" spans="2:2">
      <c r="B5029" s="21">
        <f>IF(AND(C5029&lt;&gt;"", H5029&lt;&gt;""), HYPERLINK("#'" &amp; C5029 &amp; "'!" &amp; H5029, H5029), "")</f>
        <v>0</v>
      </c>
    </row>
    <row r="5030" spans="2:2">
      <c r="B5030" s="21">
        <f>IF(AND(C5030&lt;&gt;"", H5030&lt;&gt;""), HYPERLINK("#'" &amp; C5030 &amp; "'!" &amp; H5030, H5030), "")</f>
        <v>0</v>
      </c>
    </row>
    <row r="5031" spans="2:2">
      <c r="B5031" s="21">
        <f>IF(AND(C5031&lt;&gt;"", H5031&lt;&gt;""), HYPERLINK("#'" &amp; C5031 &amp; "'!" &amp; H5031, H5031), "")</f>
        <v>0</v>
      </c>
    </row>
    <row r="5032" spans="2:2">
      <c r="B5032" s="21">
        <f>IF(AND(C5032&lt;&gt;"", H5032&lt;&gt;""), HYPERLINK("#'" &amp; C5032 &amp; "'!" &amp; H5032, H5032), "")</f>
        <v>0</v>
      </c>
    </row>
    <row r="5033" spans="2:2">
      <c r="B5033" s="21">
        <f>IF(AND(C5033&lt;&gt;"", H5033&lt;&gt;""), HYPERLINK("#'" &amp; C5033 &amp; "'!" &amp; H5033, H5033), "")</f>
        <v>0</v>
      </c>
    </row>
    <row r="5034" spans="2:2">
      <c r="B5034" s="21">
        <f>IF(AND(C5034&lt;&gt;"", H5034&lt;&gt;""), HYPERLINK("#'" &amp; C5034 &amp; "'!" &amp; H5034, H5034), "")</f>
        <v>0</v>
      </c>
    </row>
    <row r="5035" spans="2:2">
      <c r="B5035" s="21">
        <f>IF(AND(C5035&lt;&gt;"", H5035&lt;&gt;""), HYPERLINK("#'" &amp; C5035 &amp; "'!" &amp; H5035, H5035), "")</f>
        <v>0</v>
      </c>
    </row>
    <row r="5036" spans="2:2">
      <c r="B5036" s="21">
        <f>IF(AND(C5036&lt;&gt;"", H5036&lt;&gt;""), HYPERLINK("#'" &amp; C5036 &amp; "'!" &amp; H5036, H5036), "")</f>
        <v>0</v>
      </c>
    </row>
    <row r="5037" spans="2:2">
      <c r="B5037" s="21">
        <f>IF(AND(C5037&lt;&gt;"", H5037&lt;&gt;""), HYPERLINK("#'" &amp; C5037 &amp; "'!" &amp; H5037, H5037), "")</f>
        <v>0</v>
      </c>
    </row>
    <row r="5038" spans="2:2">
      <c r="B5038" s="21">
        <f>IF(AND(C5038&lt;&gt;"", H5038&lt;&gt;""), HYPERLINK("#'" &amp; C5038 &amp; "'!" &amp; H5038, H5038), "")</f>
        <v>0</v>
      </c>
    </row>
    <row r="5039" spans="2:2">
      <c r="B5039" s="21">
        <f>IF(AND(C5039&lt;&gt;"", H5039&lt;&gt;""), HYPERLINK("#'" &amp; C5039 &amp; "'!" &amp; H5039, H5039), "")</f>
        <v>0</v>
      </c>
    </row>
    <row r="5040" spans="2:2">
      <c r="B5040" s="21">
        <f>IF(AND(C5040&lt;&gt;"", H5040&lt;&gt;""), HYPERLINK("#'" &amp; C5040 &amp; "'!" &amp; H5040, H5040), "")</f>
        <v>0</v>
      </c>
    </row>
    <row r="5041" spans="2:2">
      <c r="B5041" s="21">
        <f>IF(AND(C5041&lt;&gt;"", H5041&lt;&gt;""), HYPERLINK("#'" &amp; C5041 &amp; "'!" &amp; H5041, H5041), "")</f>
        <v>0</v>
      </c>
    </row>
    <row r="5042" spans="2:2">
      <c r="B5042" s="21">
        <f>IF(AND(C5042&lt;&gt;"", H5042&lt;&gt;""), HYPERLINK("#'" &amp; C5042 &amp; "'!" &amp; H5042, H5042), "")</f>
        <v>0</v>
      </c>
    </row>
    <row r="5043" spans="2:2">
      <c r="B5043" s="21">
        <f>IF(AND(C5043&lt;&gt;"", H5043&lt;&gt;""), HYPERLINK("#'" &amp; C5043 &amp; "'!" &amp; H5043, H5043), "")</f>
        <v>0</v>
      </c>
    </row>
    <row r="5044" spans="2:2">
      <c r="B5044" s="21">
        <f>IF(AND(C5044&lt;&gt;"", H5044&lt;&gt;""), HYPERLINK("#'" &amp; C5044 &amp; "'!" &amp; H5044, H5044), "")</f>
        <v>0</v>
      </c>
    </row>
    <row r="5045" spans="2:2">
      <c r="B5045" s="21">
        <f>IF(AND(C5045&lt;&gt;"", H5045&lt;&gt;""), HYPERLINK("#'" &amp; C5045 &amp; "'!" &amp; H5045, H5045), "")</f>
        <v>0</v>
      </c>
    </row>
    <row r="5046" spans="2:2">
      <c r="B5046" s="21">
        <f>IF(AND(C5046&lt;&gt;"", H5046&lt;&gt;""), HYPERLINK("#'" &amp; C5046 &amp; "'!" &amp; H5046, H5046), "")</f>
        <v>0</v>
      </c>
    </row>
    <row r="5047" spans="2:2">
      <c r="B5047" s="21">
        <f>IF(AND(C5047&lt;&gt;"", H5047&lt;&gt;""), HYPERLINK("#'" &amp; C5047 &amp; "'!" &amp; H5047, H5047), "")</f>
        <v>0</v>
      </c>
    </row>
    <row r="5048" spans="2:2">
      <c r="B5048" s="21">
        <f>IF(AND(C5048&lt;&gt;"", H5048&lt;&gt;""), HYPERLINK("#'" &amp; C5048 &amp; "'!" &amp; H5048, H5048), "")</f>
        <v>0</v>
      </c>
    </row>
    <row r="5049" spans="2:2">
      <c r="B5049" s="21">
        <f>IF(AND(C5049&lt;&gt;"", H5049&lt;&gt;""), HYPERLINK("#'" &amp; C5049 &amp; "'!" &amp; H5049, H5049), "")</f>
        <v>0</v>
      </c>
    </row>
    <row r="5050" spans="2:2">
      <c r="B5050" s="21">
        <f>IF(AND(C5050&lt;&gt;"", H5050&lt;&gt;""), HYPERLINK("#'" &amp; C5050 &amp; "'!" &amp; H5050, H5050), "")</f>
        <v>0</v>
      </c>
    </row>
    <row r="5051" spans="2:2">
      <c r="B5051" s="21">
        <f>IF(AND(C5051&lt;&gt;"", H5051&lt;&gt;""), HYPERLINK("#'" &amp; C5051 &amp; "'!" &amp; H5051, H5051), "")</f>
        <v>0</v>
      </c>
    </row>
    <row r="5052" spans="2:2">
      <c r="B5052" s="21">
        <f>IF(AND(C5052&lt;&gt;"", H5052&lt;&gt;""), HYPERLINK("#'" &amp; C5052 &amp; "'!" &amp; H5052, H5052), "")</f>
        <v>0</v>
      </c>
    </row>
    <row r="5053" spans="2:2">
      <c r="B5053" s="21">
        <f>IF(AND(C5053&lt;&gt;"", H5053&lt;&gt;""), HYPERLINK("#'" &amp; C5053 &amp; "'!" &amp; H5053, H5053), "")</f>
        <v>0</v>
      </c>
    </row>
    <row r="5054" spans="2:2">
      <c r="B5054" s="21">
        <f>IF(AND(C5054&lt;&gt;"", H5054&lt;&gt;""), HYPERLINK("#'" &amp; C5054 &amp; "'!" &amp; H5054, H5054), "")</f>
        <v>0</v>
      </c>
    </row>
    <row r="5055" spans="2:2">
      <c r="B5055" s="21">
        <f>IF(AND(C5055&lt;&gt;"", H5055&lt;&gt;""), HYPERLINK("#'" &amp; C5055 &amp; "'!" &amp; H5055, H5055), "")</f>
        <v>0</v>
      </c>
    </row>
    <row r="5056" spans="2:2">
      <c r="B5056" s="21">
        <f>IF(AND(C5056&lt;&gt;"", H5056&lt;&gt;""), HYPERLINK("#'" &amp; C5056 &amp; "'!" &amp; H5056, H5056), "")</f>
        <v>0</v>
      </c>
    </row>
    <row r="5057" spans="2:2">
      <c r="B5057" s="21">
        <f>IF(AND(C5057&lt;&gt;"", H5057&lt;&gt;""), HYPERLINK("#'" &amp; C5057 &amp; "'!" &amp; H5057, H5057), "")</f>
        <v>0</v>
      </c>
    </row>
    <row r="5058" spans="2:2">
      <c r="B5058" s="21">
        <f>IF(AND(C5058&lt;&gt;"", H5058&lt;&gt;""), HYPERLINK("#'" &amp; C5058 &amp; "'!" &amp; H5058, H5058), "")</f>
        <v>0</v>
      </c>
    </row>
    <row r="5059" spans="2:2">
      <c r="B5059" s="21">
        <f>IF(AND(C5059&lt;&gt;"", H5059&lt;&gt;""), HYPERLINK("#'" &amp; C5059 &amp; "'!" &amp; H5059, H5059), "")</f>
        <v>0</v>
      </c>
    </row>
    <row r="5060" spans="2:2">
      <c r="B5060" s="21">
        <f>IF(AND(C5060&lt;&gt;"", H5060&lt;&gt;""), HYPERLINK("#'" &amp; C5060 &amp; "'!" &amp; H5060, H5060), "")</f>
        <v>0</v>
      </c>
    </row>
    <row r="5061" spans="2:2">
      <c r="B5061" s="21">
        <f>IF(AND(C5061&lt;&gt;"", H5061&lt;&gt;""), HYPERLINK("#'" &amp; C5061 &amp; "'!" &amp; H5061, H5061), "")</f>
        <v>0</v>
      </c>
    </row>
    <row r="5062" spans="2:2">
      <c r="B5062" s="21">
        <f>IF(AND(C5062&lt;&gt;"", H5062&lt;&gt;""), HYPERLINK("#'" &amp; C5062 &amp; "'!" &amp; H5062, H5062), "")</f>
        <v>0</v>
      </c>
    </row>
    <row r="5063" spans="2:2">
      <c r="B5063" s="21">
        <f>IF(AND(C5063&lt;&gt;"", H5063&lt;&gt;""), HYPERLINK("#'" &amp; C5063 &amp; "'!" &amp; H5063, H5063), "")</f>
        <v>0</v>
      </c>
    </row>
    <row r="5064" spans="2:2">
      <c r="B5064" s="21">
        <f>IF(AND(C5064&lt;&gt;"", H5064&lt;&gt;""), HYPERLINK("#'" &amp; C5064 &amp; "'!" &amp; H5064, H5064), "")</f>
        <v>0</v>
      </c>
    </row>
    <row r="5065" spans="2:2">
      <c r="B5065" s="21">
        <f>IF(AND(C5065&lt;&gt;"", H5065&lt;&gt;""), HYPERLINK("#'" &amp; C5065 &amp; "'!" &amp; H5065, H5065), "")</f>
        <v>0</v>
      </c>
    </row>
    <row r="5066" spans="2:2">
      <c r="B5066" s="21">
        <f>IF(AND(C5066&lt;&gt;"", H5066&lt;&gt;""), HYPERLINK("#'" &amp; C5066 &amp; "'!" &amp; H5066, H5066), "")</f>
        <v>0</v>
      </c>
    </row>
    <row r="5067" spans="2:2">
      <c r="B5067" s="21">
        <f>IF(AND(C5067&lt;&gt;"", H5067&lt;&gt;""), HYPERLINK("#'" &amp; C5067 &amp; "'!" &amp; H5067, H5067), "")</f>
        <v>0</v>
      </c>
    </row>
    <row r="5068" spans="2:2">
      <c r="B5068" s="21">
        <f>IF(AND(C5068&lt;&gt;"", H5068&lt;&gt;""), HYPERLINK("#'" &amp; C5068 &amp; "'!" &amp; H5068, H5068), "")</f>
        <v>0</v>
      </c>
    </row>
    <row r="5069" spans="2:2">
      <c r="B5069" s="21">
        <f>IF(AND(C5069&lt;&gt;"", H5069&lt;&gt;""), HYPERLINK("#'" &amp; C5069 &amp; "'!" &amp; H5069, H5069), "")</f>
        <v>0</v>
      </c>
    </row>
    <row r="5070" spans="2:2">
      <c r="B5070" s="21">
        <f>IF(AND(C5070&lt;&gt;"", H5070&lt;&gt;""), HYPERLINK("#'" &amp; C5070 &amp; "'!" &amp; H5070, H5070), "")</f>
        <v>0</v>
      </c>
    </row>
    <row r="5071" spans="2:2">
      <c r="B5071" s="21">
        <f>IF(AND(C5071&lt;&gt;"", H5071&lt;&gt;""), HYPERLINK("#'" &amp; C5071 &amp; "'!" &amp; H5071, H5071), "")</f>
        <v>0</v>
      </c>
    </row>
    <row r="5072" spans="2:2">
      <c r="B5072" s="21">
        <f>IF(AND(C5072&lt;&gt;"", H5072&lt;&gt;""), HYPERLINK("#'" &amp; C5072 &amp; "'!" &amp; H5072, H5072), "")</f>
        <v>0</v>
      </c>
    </row>
    <row r="5073" spans="2:2">
      <c r="B5073" s="21">
        <f>IF(AND(C5073&lt;&gt;"", H5073&lt;&gt;""), HYPERLINK("#'" &amp; C5073 &amp; "'!" &amp; H5073, H5073), "")</f>
        <v>0</v>
      </c>
    </row>
    <row r="5074" spans="2:2">
      <c r="B5074" s="21">
        <f>IF(AND(C5074&lt;&gt;"", H5074&lt;&gt;""), HYPERLINK("#'" &amp; C5074 &amp; "'!" &amp; H5074, H5074), "")</f>
        <v>0</v>
      </c>
    </row>
    <row r="5075" spans="2:2">
      <c r="B5075" s="21">
        <f>IF(AND(C5075&lt;&gt;"", H5075&lt;&gt;""), HYPERLINK("#'" &amp; C5075 &amp; "'!" &amp; H5075, H5075), "")</f>
        <v>0</v>
      </c>
    </row>
    <row r="5076" spans="2:2">
      <c r="B5076" s="21">
        <f>IF(AND(C5076&lt;&gt;"", H5076&lt;&gt;""), HYPERLINK("#'" &amp; C5076 &amp; "'!" &amp; H5076, H5076), "")</f>
        <v>0</v>
      </c>
    </row>
    <row r="5077" spans="2:2">
      <c r="B5077" s="21">
        <f>IF(AND(C5077&lt;&gt;"", H5077&lt;&gt;""), HYPERLINK("#'" &amp; C5077 &amp; "'!" &amp; H5077, H5077), "")</f>
        <v>0</v>
      </c>
    </row>
    <row r="5078" spans="2:2">
      <c r="B5078" s="21">
        <f>IF(AND(C5078&lt;&gt;"", H5078&lt;&gt;""), HYPERLINK("#'" &amp; C5078 &amp; "'!" &amp; H5078, H5078), "")</f>
        <v>0</v>
      </c>
    </row>
    <row r="5079" spans="2:2">
      <c r="B5079" s="21">
        <f>IF(AND(C5079&lt;&gt;"", H5079&lt;&gt;""), HYPERLINK("#'" &amp; C5079 &amp; "'!" &amp; H5079, H5079), "")</f>
        <v>0</v>
      </c>
    </row>
    <row r="5080" spans="2:2">
      <c r="B5080" s="21">
        <f>IF(AND(C5080&lt;&gt;"", H5080&lt;&gt;""), HYPERLINK("#'" &amp; C5080 &amp; "'!" &amp; H5080, H5080), "")</f>
        <v>0</v>
      </c>
    </row>
    <row r="5081" spans="2:2">
      <c r="B5081" s="21">
        <f>IF(AND(C5081&lt;&gt;"", H5081&lt;&gt;""), HYPERLINK("#'" &amp; C5081 &amp; "'!" &amp; H5081, H5081), "")</f>
        <v>0</v>
      </c>
    </row>
    <row r="5082" spans="2:2">
      <c r="B5082" s="21">
        <f>IF(AND(C5082&lt;&gt;"", H5082&lt;&gt;""), HYPERLINK("#'" &amp; C5082 &amp; "'!" &amp; H5082, H5082), "")</f>
        <v>0</v>
      </c>
    </row>
    <row r="5083" spans="2:2">
      <c r="B5083" s="21">
        <f>IF(AND(C5083&lt;&gt;"", H5083&lt;&gt;""), HYPERLINK("#'" &amp; C5083 &amp; "'!" &amp; H5083, H5083), "")</f>
        <v>0</v>
      </c>
    </row>
    <row r="5084" spans="2:2">
      <c r="B5084" s="21">
        <f>IF(AND(C5084&lt;&gt;"", H5084&lt;&gt;""), HYPERLINK("#'" &amp; C5084 &amp; "'!" &amp; H5084, H5084), "")</f>
        <v>0</v>
      </c>
    </row>
    <row r="5085" spans="2:2">
      <c r="B5085" s="21">
        <f>IF(AND(C5085&lt;&gt;"", H5085&lt;&gt;""), HYPERLINK("#'" &amp; C5085 &amp; "'!" &amp; H5085, H5085), "")</f>
        <v>0</v>
      </c>
    </row>
    <row r="5086" spans="2:2">
      <c r="B5086" s="21">
        <f>IF(AND(C5086&lt;&gt;"", H5086&lt;&gt;""), HYPERLINK("#'" &amp; C5086 &amp; "'!" &amp; H5086, H5086), "")</f>
        <v>0</v>
      </c>
    </row>
    <row r="5087" spans="2:2">
      <c r="B5087" s="21">
        <f>IF(AND(C5087&lt;&gt;"", H5087&lt;&gt;""), HYPERLINK("#'" &amp; C5087 &amp; "'!" &amp; H5087, H5087), "")</f>
        <v>0</v>
      </c>
    </row>
    <row r="5088" spans="2:2">
      <c r="B5088" s="21">
        <f>IF(AND(C5088&lt;&gt;"", H5088&lt;&gt;""), HYPERLINK("#'" &amp; C5088 &amp; "'!" &amp; H5088, H5088), "")</f>
        <v>0</v>
      </c>
    </row>
    <row r="5089" spans="2:2">
      <c r="B5089" s="21">
        <f>IF(AND(C5089&lt;&gt;"", H5089&lt;&gt;""), HYPERLINK("#'" &amp; C5089 &amp; "'!" &amp; H5089, H5089), "")</f>
        <v>0</v>
      </c>
    </row>
    <row r="5090" spans="2:2">
      <c r="B5090" s="21">
        <f>IF(AND(C5090&lt;&gt;"", H5090&lt;&gt;""), HYPERLINK("#'" &amp; C5090 &amp; "'!" &amp; H5090, H5090), "")</f>
        <v>0</v>
      </c>
    </row>
    <row r="5091" spans="2:2">
      <c r="B5091" s="21">
        <f>IF(AND(C5091&lt;&gt;"", H5091&lt;&gt;""), HYPERLINK("#'" &amp; C5091 &amp; "'!" &amp; H5091, H5091), "")</f>
        <v>0</v>
      </c>
    </row>
    <row r="5092" spans="2:2">
      <c r="B5092" s="21">
        <f>IF(AND(C5092&lt;&gt;"", H5092&lt;&gt;""), HYPERLINK("#'" &amp; C5092 &amp; "'!" &amp; H5092, H5092), "")</f>
        <v>0</v>
      </c>
    </row>
    <row r="5093" spans="2:2">
      <c r="B5093" s="21">
        <f>IF(AND(C5093&lt;&gt;"", H5093&lt;&gt;""), HYPERLINK("#'" &amp; C5093 &amp; "'!" &amp; H5093, H5093), "")</f>
        <v>0</v>
      </c>
    </row>
    <row r="5094" spans="2:2">
      <c r="B5094" s="21">
        <f>IF(AND(C5094&lt;&gt;"", H5094&lt;&gt;""), HYPERLINK("#'" &amp; C5094 &amp; "'!" &amp; H5094, H5094), "")</f>
        <v>0</v>
      </c>
    </row>
    <row r="5095" spans="2:2">
      <c r="B5095" s="21">
        <f>IF(AND(C5095&lt;&gt;"", H5095&lt;&gt;""), HYPERLINK("#'" &amp; C5095 &amp; "'!" &amp; H5095, H5095), "")</f>
        <v>0</v>
      </c>
    </row>
    <row r="5096" spans="2:2">
      <c r="B5096" s="21">
        <f>IF(AND(C5096&lt;&gt;"", H5096&lt;&gt;""), HYPERLINK("#'" &amp; C5096 &amp; "'!" &amp; H5096, H5096), "")</f>
        <v>0</v>
      </c>
    </row>
    <row r="5097" spans="2:2">
      <c r="B5097" s="21">
        <f>IF(AND(C5097&lt;&gt;"", H5097&lt;&gt;""), HYPERLINK("#'" &amp; C5097 &amp; "'!" &amp; H5097, H5097), "")</f>
        <v>0</v>
      </c>
    </row>
    <row r="5098" spans="2:2">
      <c r="B5098" s="21">
        <f>IF(AND(C5098&lt;&gt;"", H5098&lt;&gt;""), HYPERLINK("#'" &amp; C5098 &amp; "'!" &amp; H5098, H5098), "")</f>
        <v>0</v>
      </c>
    </row>
    <row r="5099" spans="2:2">
      <c r="B5099" s="21">
        <f>IF(AND(C5099&lt;&gt;"", H5099&lt;&gt;""), HYPERLINK("#'" &amp; C5099 &amp; "'!" &amp; H5099, H5099), "")</f>
        <v>0</v>
      </c>
    </row>
    <row r="5100" spans="2:2">
      <c r="B5100" s="21">
        <f>IF(AND(C5100&lt;&gt;"", H5100&lt;&gt;""), HYPERLINK("#'" &amp; C5100 &amp; "'!" &amp; H5100, H5100), "")</f>
        <v>0</v>
      </c>
    </row>
    <row r="5101" spans="2:2">
      <c r="B5101" s="21">
        <f>IF(AND(C5101&lt;&gt;"", H5101&lt;&gt;""), HYPERLINK("#'" &amp; C5101 &amp; "'!" &amp; H5101, H5101), "")</f>
        <v>0</v>
      </c>
    </row>
    <row r="5102" spans="2:2">
      <c r="B5102" s="21">
        <f>IF(AND(C5102&lt;&gt;"", H5102&lt;&gt;""), HYPERLINK("#'" &amp; C5102 &amp; "'!" &amp; H5102, H5102), "")</f>
        <v>0</v>
      </c>
    </row>
    <row r="5103" spans="2:2">
      <c r="B5103" s="21">
        <f>IF(AND(C5103&lt;&gt;"", H5103&lt;&gt;""), HYPERLINK("#'" &amp; C5103 &amp; "'!" &amp; H5103, H5103), "")</f>
        <v>0</v>
      </c>
    </row>
    <row r="5104" spans="2:2">
      <c r="B5104" s="21">
        <f>IF(AND(C5104&lt;&gt;"", H5104&lt;&gt;""), HYPERLINK("#'" &amp; C5104 &amp; "'!" &amp; H5104, H5104), "")</f>
        <v>0</v>
      </c>
    </row>
    <row r="5105" spans="2:2">
      <c r="B5105" s="21">
        <f>IF(AND(C5105&lt;&gt;"", H5105&lt;&gt;""), HYPERLINK("#'" &amp; C5105 &amp; "'!" &amp; H5105, H5105), "")</f>
        <v>0</v>
      </c>
    </row>
    <row r="5106" spans="2:2">
      <c r="B5106" s="21">
        <f>IF(AND(C5106&lt;&gt;"", H5106&lt;&gt;""), HYPERLINK("#'" &amp; C5106 &amp; "'!" &amp; H5106, H5106), "")</f>
        <v>0</v>
      </c>
    </row>
    <row r="5107" spans="2:2">
      <c r="B5107" s="21">
        <f>IF(AND(C5107&lt;&gt;"", H5107&lt;&gt;""), HYPERLINK("#'" &amp; C5107 &amp; "'!" &amp; H5107, H5107), "")</f>
        <v>0</v>
      </c>
    </row>
    <row r="5108" spans="2:2">
      <c r="B5108" s="21">
        <f>IF(AND(C5108&lt;&gt;"", H5108&lt;&gt;""), HYPERLINK("#'" &amp; C5108 &amp; "'!" &amp; H5108, H5108), "")</f>
        <v>0</v>
      </c>
    </row>
    <row r="5109" spans="2:2">
      <c r="B5109" s="21">
        <f>IF(AND(C5109&lt;&gt;"", H5109&lt;&gt;""), HYPERLINK("#'" &amp; C5109 &amp; "'!" &amp; H5109, H5109), "")</f>
        <v>0</v>
      </c>
    </row>
    <row r="5110" spans="2:2">
      <c r="B5110" s="21">
        <f>IF(AND(C5110&lt;&gt;"", H5110&lt;&gt;""), HYPERLINK("#'" &amp; C5110 &amp; "'!" &amp; H5110, H5110), "")</f>
        <v>0</v>
      </c>
    </row>
    <row r="5111" spans="2:2">
      <c r="B5111" s="21">
        <f>IF(AND(C5111&lt;&gt;"", H5111&lt;&gt;""), HYPERLINK("#'" &amp; C5111 &amp; "'!" &amp; H5111, H5111), "")</f>
        <v>0</v>
      </c>
    </row>
    <row r="5112" spans="2:2">
      <c r="B5112" s="21">
        <f>IF(AND(C5112&lt;&gt;"", H5112&lt;&gt;""), HYPERLINK("#'" &amp; C5112 &amp; "'!" &amp; H5112, H5112), "")</f>
        <v>0</v>
      </c>
    </row>
    <row r="5113" spans="2:2">
      <c r="B5113" s="21">
        <f>IF(AND(C5113&lt;&gt;"", H5113&lt;&gt;""), HYPERLINK("#'" &amp; C5113 &amp; "'!" &amp; H5113, H5113), "")</f>
        <v>0</v>
      </c>
    </row>
    <row r="5114" spans="2:2">
      <c r="B5114" s="21">
        <f>IF(AND(C5114&lt;&gt;"", H5114&lt;&gt;""), HYPERLINK("#'" &amp; C5114 &amp; "'!" &amp; H5114, H5114), "")</f>
        <v>0</v>
      </c>
    </row>
    <row r="5115" spans="2:2">
      <c r="B5115" s="21">
        <f>IF(AND(C5115&lt;&gt;"", H5115&lt;&gt;""), HYPERLINK("#'" &amp; C5115 &amp; "'!" &amp; H5115, H5115), "")</f>
        <v>0</v>
      </c>
    </row>
    <row r="5116" spans="2:2">
      <c r="B5116" s="21">
        <f>IF(AND(C5116&lt;&gt;"", H5116&lt;&gt;""), HYPERLINK("#'" &amp; C5116 &amp; "'!" &amp; H5116, H5116), "")</f>
        <v>0</v>
      </c>
    </row>
    <row r="5117" spans="2:2">
      <c r="B5117" s="21">
        <f>IF(AND(C5117&lt;&gt;"", H5117&lt;&gt;""), HYPERLINK("#'" &amp; C5117 &amp; "'!" &amp; H5117, H5117), "")</f>
        <v>0</v>
      </c>
    </row>
    <row r="5118" spans="2:2">
      <c r="B5118" s="21">
        <f>IF(AND(C5118&lt;&gt;"", H5118&lt;&gt;""), HYPERLINK("#'" &amp; C5118 &amp; "'!" &amp; H5118, H5118), "")</f>
        <v>0</v>
      </c>
    </row>
    <row r="5119" spans="2:2">
      <c r="B5119" s="21">
        <f>IF(AND(C5119&lt;&gt;"", H5119&lt;&gt;""), HYPERLINK("#'" &amp; C5119 &amp; "'!" &amp; H5119, H5119), "")</f>
        <v>0</v>
      </c>
    </row>
    <row r="5120" spans="2:2">
      <c r="B5120" s="21">
        <f>IF(AND(C5120&lt;&gt;"", H5120&lt;&gt;""), HYPERLINK("#'" &amp; C5120 &amp; "'!" &amp; H5120, H5120), "")</f>
        <v>0</v>
      </c>
    </row>
    <row r="5121" spans="2:2">
      <c r="B5121" s="21">
        <f>IF(AND(C5121&lt;&gt;"", H5121&lt;&gt;""), HYPERLINK("#'" &amp; C5121 &amp; "'!" &amp; H5121, H5121), "")</f>
        <v>0</v>
      </c>
    </row>
    <row r="5122" spans="2:2">
      <c r="B5122" s="21">
        <f>IF(AND(C5122&lt;&gt;"", H5122&lt;&gt;""), HYPERLINK("#'" &amp; C5122 &amp; "'!" &amp; H5122, H5122), "")</f>
        <v>0</v>
      </c>
    </row>
    <row r="5123" spans="2:2">
      <c r="B5123" s="21">
        <f>IF(AND(C5123&lt;&gt;"", H5123&lt;&gt;""), HYPERLINK("#'" &amp; C5123 &amp; "'!" &amp; H5123, H5123), "")</f>
        <v>0</v>
      </c>
    </row>
    <row r="5124" spans="2:2">
      <c r="B5124" s="21">
        <f>IF(AND(C5124&lt;&gt;"", H5124&lt;&gt;""), HYPERLINK("#'" &amp; C5124 &amp; "'!" &amp; H5124, H5124), "")</f>
        <v>0</v>
      </c>
    </row>
    <row r="5125" spans="2:2">
      <c r="B5125" s="21">
        <f>IF(AND(C5125&lt;&gt;"", H5125&lt;&gt;""), HYPERLINK("#'" &amp; C5125 &amp; "'!" &amp; H5125, H5125), "")</f>
        <v>0</v>
      </c>
    </row>
    <row r="5126" spans="2:2">
      <c r="B5126" s="21">
        <f>IF(AND(C5126&lt;&gt;"", H5126&lt;&gt;""), HYPERLINK("#'" &amp; C5126 &amp; "'!" &amp; H5126, H5126), "")</f>
        <v>0</v>
      </c>
    </row>
    <row r="5127" spans="2:2">
      <c r="B5127" s="21">
        <f>IF(AND(C5127&lt;&gt;"", H5127&lt;&gt;""), HYPERLINK("#'" &amp; C5127 &amp; "'!" &amp; H5127, H5127), "")</f>
        <v>0</v>
      </c>
    </row>
    <row r="5128" spans="2:2">
      <c r="B5128" s="21">
        <f>IF(AND(C5128&lt;&gt;"", H5128&lt;&gt;""), HYPERLINK("#'" &amp; C5128 &amp; "'!" &amp; H5128, H5128), "")</f>
        <v>0</v>
      </c>
    </row>
    <row r="5129" spans="2:2">
      <c r="B5129" s="21">
        <f>IF(AND(C5129&lt;&gt;"", H5129&lt;&gt;""), HYPERLINK("#'" &amp; C5129 &amp; "'!" &amp; H5129, H5129), "")</f>
        <v>0</v>
      </c>
    </row>
    <row r="5130" spans="2:2">
      <c r="B5130" s="21">
        <f>IF(AND(C5130&lt;&gt;"", H5130&lt;&gt;""), HYPERLINK("#'" &amp; C5130 &amp; "'!" &amp; H5130, H5130), "")</f>
        <v>0</v>
      </c>
    </row>
    <row r="5131" spans="2:2">
      <c r="B5131" s="21">
        <f>IF(AND(C5131&lt;&gt;"", H5131&lt;&gt;""), HYPERLINK("#'" &amp; C5131 &amp; "'!" &amp; H5131, H5131), "")</f>
        <v>0</v>
      </c>
    </row>
    <row r="5132" spans="2:2">
      <c r="B5132" s="21">
        <f>IF(AND(C5132&lt;&gt;"", H5132&lt;&gt;""), HYPERLINK("#'" &amp; C5132 &amp; "'!" &amp; H5132, H5132), "")</f>
        <v>0</v>
      </c>
    </row>
    <row r="5133" spans="2:2">
      <c r="B5133" s="21">
        <f>IF(AND(C5133&lt;&gt;"", H5133&lt;&gt;""), HYPERLINK("#'" &amp; C5133 &amp; "'!" &amp; H5133, H5133), "")</f>
        <v>0</v>
      </c>
    </row>
    <row r="5134" spans="2:2">
      <c r="B5134" s="21">
        <f>IF(AND(C5134&lt;&gt;"", H5134&lt;&gt;""), HYPERLINK("#'" &amp; C5134 &amp; "'!" &amp; H5134, H5134), "")</f>
        <v>0</v>
      </c>
    </row>
    <row r="5135" spans="2:2">
      <c r="B5135" s="21">
        <f>IF(AND(C5135&lt;&gt;"", H5135&lt;&gt;""), HYPERLINK("#'" &amp; C5135 &amp; "'!" &amp; H5135, H5135), "")</f>
        <v>0</v>
      </c>
    </row>
    <row r="5136" spans="2:2">
      <c r="B5136" s="21">
        <f>IF(AND(C5136&lt;&gt;"", H5136&lt;&gt;""), HYPERLINK("#'" &amp; C5136 &amp; "'!" &amp; H5136, H5136), "")</f>
        <v>0</v>
      </c>
    </row>
    <row r="5137" spans="2:2">
      <c r="B5137" s="21">
        <f>IF(AND(C5137&lt;&gt;"", H5137&lt;&gt;""), HYPERLINK("#'" &amp; C5137 &amp; "'!" &amp; H5137, H5137), "")</f>
        <v>0</v>
      </c>
    </row>
    <row r="5138" spans="2:2">
      <c r="B5138" s="21">
        <f>IF(AND(C5138&lt;&gt;"", H5138&lt;&gt;""), HYPERLINK("#'" &amp; C5138 &amp; "'!" &amp; H5138, H5138), "")</f>
        <v>0</v>
      </c>
    </row>
    <row r="5139" spans="2:2">
      <c r="B5139" s="21">
        <f>IF(AND(C5139&lt;&gt;"", H5139&lt;&gt;""), HYPERLINK("#'" &amp; C5139 &amp; "'!" &amp; H5139, H5139), "")</f>
        <v>0</v>
      </c>
    </row>
    <row r="5140" spans="2:2">
      <c r="B5140" s="21">
        <f>IF(AND(C5140&lt;&gt;"", H5140&lt;&gt;""), HYPERLINK("#'" &amp; C5140 &amp; "'!" &amp; H5140, H5140), "")</f>
        <v>0</v>
      </c>
    </row>
    <row r="5141" spans="2:2">
      <c r="B5141" s="21">
        <f>IF(AND(C5141&lt;&gt;"", H5141&lt;&gt;""), HYPERLINK("#'" &amp; C5141 &amp; "'!" &amp; H5141, H5141), "")</f>
        <v>0</v>
      </c>
    </row>
    <row r="5142" spans="2:2">
      <c r="B5142" s="21">
        <f>IF(AND(C5142&lt;&gt;"", H5142&lt;&gt;""), HYPERLINK("#'" &amp; C5142 &amp; "'!" &amp; H5142, H5142), "")</f>
        <v>0</v>
      </c>
    </row>
    <row r="5143" spans="2:2">
      <c r="B5143" s="21">
        <f>IF(AND(C5143&lt;&gt;"", H5143&lt;&gt;""), HYPERLINK("#'" &amp; C5143 &amp; "'!" &amp; H5143, H5143), "")</f>
        <v>0</v>
      </c>
    </row>
    <row r="5144" spans="2:2">
      <c r="B5144" s="21">
        <f>IF(AND(C5144&lt;&gt;"", H5144&lt;&gt;""), HYPERLINK("#'" &amp; C5144 &amp; "'!" &amp; H5144, H5144), "")</f>
        <v>0</v>
      </c>
    </row>
    <row r="5145" spans="2:2">
      <c r="B5145" s="21">
        <f>IF(AND(C5145&lt;&gt;"", H5145&lt;&gt;""), HYPERLINK("#'" &amp; C5145 &amp; "'!" &amp; H5145, H5145), "")</f>
        <v>0</v>
      </c>
    </row>
    <row r="5146" spans="2:2">
      <c r="B5146" s="21">
        <f>IF(AND(C5146&lt;&gt;"", H5146&lt;&gt;""), HYPERLINK("#'" &amp; C5146 &amp; "'!" &amp; H5146, H5146), "")</f>
        <v>0</v>
      </c>
    </row>
    <row r="5147" spans="2:2">
      <c r="B5147" s="21">
        <f>IF(AND(C5147&lt;&gt;"", H5147&lt;&gt;""), HYPERLINK("#'" &amp; C5147 &amp; "'!" &amp; H5147, H5147), "")</f>
        <v>0</v>
      </c>
    </row>
    <row r="5148" spans="2:2">
      <c r="B5148" s="21">
        <f>IF(AND(C5148&lt;&gt;"", H5148&lt;&gt;""), HYPERLINK("#'" &amp; C5148 &amp; "'!" &amp; H5148, H5148), "")</f>
        <v>0</v>
      </c>
    </row>
    <row r="5149" spans="2:2">
      <c r="B5149" s="21">
        <f>IF(AND(C5149&lt;&gt;"", H5149&lt;&gt;""), HYPERLINK("#'" &amp; C5149 &amp; "'!" &amp; H5149, H5149), "")</f>
        <v>0</v>
      </c>
    </row>
    <row r="5150" spans="2:2">
      <c r="B5150" s="21">
        <f>IF(AND(C5150&lt;&gt;"", H5150&lt;&gt;""), HYPERLINK("#'" &amp; C5150 &amp; "'!" &amp; H5150, H5150), "")</f>
        <v>0</v>
      </c>
    </row>
    <row r="5151" spans="2:2">
      <c r="B5151" s="21">
        <f>IF(AND(C5151&lt;&gt;"", H5151&lt;&gt;""), HYPERLINK("#'" &amp; C5151 &amp; "'!" &amp; H5151, H5151), "")</f>
        <v>0</v>
      </c>
    </row>
    <row r="5152" spans="2:2">
      <c r="B5152" s="21">
        <f>IF(AND(C5152&lt;&gt;"", H5152&lt;&gt;""), HYPERLINK("#'" &amp; C5152 &amp; "'!" &amp; H5152, H5152), "")</f>
        <v>0</v>
      </c>
    </row>
    <row r="5153" spans="2:2">
      <c r="B5153" s="21">
        <f>IF(AND(C5153&lt;&gt;"", H5153&lt;&gt;""), HYPERLINK("#'" &amp; C5153 &amp; "'!" &amp; H5153, H5153), "")</f>
        <v>0</v>
      </c>
    </row>
    <row r="5154" spans="2:2">
      <c r="B5154" s="21">
        <f>IF(AND(C5154&lt;&gt;"", H5154&lt;&gt;""), HYPERLINK("#'" &amp; C5154 &amp; "'!" &amp; H5154, H5154), "")</f>
        <v>0</v>
      </c>
    </row>
    <row r="5155" spans="2:2">
      <c r="B5155" s="21">
        <f>IF(AND(C5155&lt;&gt;"", H5155&lt;&gt;""), HYPERLINK("#'" &amp; C5155 &amp; "'!" &amp; H5155, H5155), "")</f>
        <v>0</v>
      </c>
    </row>
    <row r="5156" spans="2:2">
      <c r="B5156" s="21">
        <f>IF(AND(C5156&lt;&gt;"", H5156&lt;&gt;""), HYPERLINK("#'" &amp; C5156 &amp; "'!" &amp; H5156, H5156), "")</f>
        <v>0</v>
      </c>
    </row>
    <row r="5157" spans="2:2">
      <c r="B5157" s="21">
        <f>IF(AND(C5157&lt;&gt;"", H5157&lt;&gt;""), HYPERLINK("#'" &amp; C5157 &amp; "'!" &amp; H5157, H5157), "")</f>
        <v>0</v>
      </c>
    </row>
    <row r="5158" spans="2:2">
      <c r="B5158" s="21">
        <f>IF(AND(C5158&lt;&gt;"", H5158&lt;&gt;""), HYPERLINK("#'" &amp; C5158 &amp; "'!" &amp; H5158, H5158), "")</f>
        <v>0</v>
      </c>
    </row>
    <row r="5159" spans="2:2">
      <c r="B5159" s="21">
        <f>IF(AND(C5159&lt;&gt;"", H5159&lt;&gt;""), HYPERLINK("#'" &amp; C5159 &amp; "'!" &amp; H5159, H5159), "")</f>
        <v>0</v>
      </c>
    </row>
    <row r="5160" spans="2:2">
      <c r="B5160" s="21">
        <f>IF(AND(C5160&lt;&gt;"", H5160&lt;&gt;""), HYPERLINK("#'" &amp; C5160 &amp; "'!" &amp; H5160, H5160), "")</f>
        <v>0</v>
      </c>
    </row>
    <row r="5161" spans="2:2">
      <c r="B5161" s="21">
        <f>IF(AND(C5161&lt;&gt;"", H5161&lt;&gt;""), HYPERLINK("#'" &amp; C5161 &amp; "'!" &amp; H5161, H5161), "")</f>
        <v>0</v>
      </c>
    </row>
    <row r="5162" spans="2:2">
      <c r="B5162" s="21">
        <f>IF(AND(C5162&lt;&gt;"", H5162&lt;&gt;""), HYPERLINK("#'" &amp; C5162 &amp; "'!" &amp; H5162, H5162), "")</f>
        <v>0</v>
      </c>
    </row>
    <row r="5163" spans="2:2">
      <c r="B5163" s="21">
        <f>IF(AND(C5163&lt;&gt;"", H5163&lt;&gt;""), HYPERLINK("#'" &amp; C5163 &amp; "'!" &amp; H5163, H5163), "")</f>
        <v>0</v>
      </c>
    </row>
    <row r="5164" spans="2:2">
      <c r="B5164" s="21">
        <f>IF(AND(C5164&lt;&gt;"", H5164&lt;&gt;""), HYPERLINK("#'" &amp; C5164 &amp; "'!" &amp; H5164, H5164), "")</f>
        <v>0</v>
      </c>
    </row>
    <row r="5165" spans="2:2">
      <c r="B5165" s="21">
        <f>IF(AND(C5165&lt;&gt;"", H5165&lt;&gt;""), HYPERLINK("#'" &amp; C5165 &amp; "'!" &amp; H5165, H5165), "")</f>
        <v>0</v>
      </c>
    </row>
    <row r="5166" spans="2:2">
      <c r="B5166" s="21">
        <f>IF(AND(C5166&lt;&gt;"", H5166&lt;&gt;""), HYPERLINK("#'" &amp; C5166 &amp; "'!" &amp; H5166, H5166), "")</f>
        <v>0</v>
      </c>
    </row>
    <row r="5167" spans="2:2">
      <c r="B5167" s="21">
        <f>IF(AND(C5167&lt;&gt;"", H5167&lt;&gt;""), HYPERLINK("#'" &amp; C5167 &amp; "'!" &amp; H5167, H5167), "")</f>
        <v>0</v>
      </c>
    </row>
    <row r="5168" spans="2:2">
      <c r="B5168" s="21">
        <f>IF(AND(C5168&lt;&gt;"", H5168&lt;&gt;""), HYPERLINK("#'" &amp; C5168 &amp; "'!" &amp; H5168, H5168), "")</f>
        <v>0</v>
      </c>
    </row>
    <row r="5169" spans="2:2">
      <c r="B5169" s="21">
        <f>IF(AND(C5169&lt;&gt;"", H5169&lt;&gt;""), HYPERLINK("#'" &amp; C5169 &amp; "'!" &amp; H5169, H5169), "")</f>
        <v>0</v>
      </c>
    </row>
    <row r="5170" spans="2:2">
      <c r="B5170" s="21">
        <f>IF(AND(C5170&lt;&gt;"", H5170&lt;&gt;""), HYPERLINK("#'" &amp; C5170 &amp; "'!" &amp; H5170, H5170), "")</f>
        <v>0</v>
      </c>
    </row>
    <row r="5171" spans="2:2">
      <c r="B5171" s="21">
        <f>IF(AND(C5171&lt;&gt;"", H5171&lt;&gt;""), HYPERLINK("#'" &amp; C5171 &amp; "'!" &amp; H5171, H5171), "")</f>
        <v>0</v>
      </c>
    </row>
    <row r="5172" spans="2:2">
      <c r="B5172" s="21">
        <f>IF(AND(C5172&lt;&gt;"", H5172&lt;&gt;""), HYPERLINK("#'" &amp; C5172 &amp; "'!" &amp; H5172, H5172), "")</f>
        <v>0</v>
      </c>
    </row>
    <row r="5173" spans="2:2">
      <c r="B5173" s="21">
        <f>IF(AND(C5173&lt;&gt;"", H5173&lt;&gt;""), HYPERLINK("#'" &amp; C5173 &amp; "'!" &amp; H5173, H5173), "")</f>
        <v>0</v>
      </c>
    </row>
    <row r="5174" spans="2:2">
      <c r="B5174" s="21">
        <f>IF(AND(C5174&lt;&gt;"", H5174&lt;&gt;""), HYPERLINK("#'" &amp; C5174 &amp; "'!" &amp; H5174, H5174), "")</f>
        <v>0</v>
      </c>
    </row>
    <row r="5175" spans="2:2">
      <c r="B5175" s="21">
        <f>IF(AND(C5175&lt;&gt;"", H5175&lt;&gt;""), HYPERLINK("#'" &amp; C5175 &amp; "'!" &amp; H5175, H5175), "")</f>
        <v>0</v>
      </c>
    </row>
    <row r="5176" spans="2:2">
      <c r="B5176" s="21">
        <f>IF(AND(C5176&lt;&gt;"", H5176&lt;&gt;""), HYPERLINK("#'" &amp; C5176 &amp; "'!" &amp; H5176, H5176), "")</f>
        <v>0</v>
      </c>
    </row>
    <row r="5177" spans="2:2">
      <c r="B5177" s="21">
        <f>IF(AND(C5177&lt;&gt;"", H5177&lt;&gt;""), HYPERLINK("#'" &amp; C5177 &amp; "'!" &amp; H5177, H5177), "")</f>
        <v>0</v>
      </c>
    </row>
    <row r="5178" spans="2:2">
      <c r="B5178" s="21">
        <f>IF(AND(C5178&lt;&gt;"", H5178&lt;&gt;""), HYPERLINK("#'" &amp; C5178 &amp; "'!" &amp; H5178, H5178), "")</f>
        <v>0</v>
      </c>
    </row>
    <row r="5179" spans="2:2">
      <c r="B5179" s="21">
        <f>IF(AND(C5179&lt;&gt;"", H5179&lt;&gt;""), HYPERLINK("#'" &amp; C5179 &amp; "'!" &amp; H5179, H5179), "")</f>
        <v>0</v>
      </c>
    </row>
    <row r="5180" spans="2:2">
      <c r="B5180" s="21">
        <f>IF(AND(C5180&lt;&gt;"", H5180&lt;&gt;""), HYPERLINK("#'" &amp; C5180 &amp; "'!" &amp; H5180, H5180), "")</f>
        <v>0</v>
      </c>
    </row>
    <row r="5181" spans="2:2">
      <c r="B5181" s="21">
        <f>IF(AND(C5181&lt;&gt;"", H5181&lt;&gt;""), HYPERLINK("#'" &amp; C5181 &amp; "'!" &amp; H5181, H5181), "")</f>
        <v>0</v>
      </c>
    </row>
    <row r="5182" spans="2:2">
      <c r="B5182" s="21">
        <f>IF(AND(C5182&lt;&gt;"", H5182&lt;&gt;""), HYPERLINK("#'" &amp; C5182 &amp; "'!" &amp; H5182, H5182), "")</f>
        <v>0</v>
      </c>
    </row>
    <row r="5183" spans="2:2">
      <c r="B5183" s="21">
        <f>IF(AND(C5183&lt;&gt;"", H5183&lt;&gt;""), HYPERLINK("#'" &amp; C5183 &amp; "'!" &amp; H5183, H5183), "")</f>
        <v>0</v>
      </c>
    </row>
    <row r="5184" spans="2:2">
      <c r="B5184" s="21">
        <f>IF(AND(C5184&lt;&gt;"", H5184&lt;&gt;""), HYPERLINK("#'" &amp; C5184 &amp; "'!" &amp; H5184, H5184), "")</f>
        <v>0</v>
      </c>
    </row>
    <row r="5185" spans="2:2">
      <c r="B5185" s="21">
        <f>IF(AND(C5185&lt;&gt;"", H5185&lt;&gt;""), HYPERLINK("#'" &amp; C5185 &amp; "'!" &amp; H5185, H5185), "")</f>
        <v>0</v>
      </c>
    </row>
    <row r="5186" spans="2:2">
      <c r="B5186" s="21">
        <f>IF(AND(C5186&lt;&gt;"", H5186&lt;&gt;""), HYPERLINK("#'" &amp; C5186 &amp; "'!" &amp; H5186, H5186), "")</f>
        <v>0</v>
      </c>
    </row>
    <row r="5187" spans="2:2">
      <c r="B5187" s="21">
        <f>IF(AND(C5187&lt;&gt;"", H5187&lt;&gt;""), HYPERLINK("#'" &amp; C5187 &amp; "'!" &amp; H5187, H5187), "")</f>
        <v>0</v>
      </c>
    </row>
    <row r="5188" spans="2:2">
      <c r="B5188" s="21">
        <f>IF(AND(C5188&lt;&gt;"", H5188&lt;&gt;""), HYPERLINK("#'" &amp; C5188 &amp; "'!" &amp; H5188, H5188), "")</f>
        <v>0</v>
      </c>
    </row>
    <row r="5189" spans="2:2">
      <c r="B5189" s="21">
        <f>IF(AND(C5189&lt;&gt;"", H5189&lt;&gt;""), HYPERLINK("#'" &amp; C5189 &amp; "'!" &amp; H5189, H5189), "")</f>
        <v>0</v>
      </c>
    </row>
    <row r="5190" spans="2:2">
      <c r="B5190" s="21">
        <f>IF(AND(C5190&lt;&gt;"", H5190&lt;&gt;""), HYPERLINK("#'" &amp; C5190 &amp; "'!" &amp; H5190, H5190), "")</f>
        <v>0</v>
      </c>
    </row>
    <row r="5191" spans="2:2">
      <c r="B5191" s="21">
        <f>IF(AND(C5191&lt;&gt;"", H5191&lt;&gt;""), HYPERLINK("#'" &amp; C5191 &amp; "'!" &amp; H5191, H5191), "")</f>
        <v>0</v>
      </c>
    </row>
    <row r="5192" spans="2:2">
      <c r="B5192" s="21">
        <f>IF(AND(C5192&lt;&gt;"", H5192&lt;&gt;""), HYPERLINK("#'" &amp; C5192 &amp; "'!" &amp; H5192, H5192), "")</f>
        <v>0</v>
      </c>
    </row>
    <row r="5193" spans="2:2">
      <c r="B5193" s="21">
        <f>IF(AND(C5193&lt;&gt;"", H5193&lt;&gt;""), HYPERLINK("#'" &amp; C5193 &amp; "'!" &amp; H5193, H5193), "")</f>
        <v>0</v>
      </c>
    </row>
    <row r="5194" spans="2:2">
      <c r="B5194" s="21">
        <f>IF(AND(C5194&lt;&gt;"", H5194&lt;&gt;""), HYPERLINK("#'" &amp; C5194 &amp; "'!" &amp; H5194, H5194), "")</f>
        <v>0</v>
      </c>
    </row>
    <row r="5195" spans="2:2">
      <c r="B5195" s="21">
        <f>IF(AND(C5195&lt;&gt;"", H5195&lt;&gt;""), HYPERLINK("#'" &amp; C5195 &amp; "'!" &amp; H5195, H5195), "")</f>
        <v>0</v>
      </c>
    </row>
    <row r="5196" spans="2:2">
      <c r="B5196" s="21">
        <f>IF(AND(C5196&lt;&gt;"", H5196&lt;&gt;""), HYPERLINK("#'" &amp; C5196 &amp; "'!" &amp; H5196, H5196), "")</f>
        <v>0</v>
      </c>
    </row>
    <row r="5197" spans="2:2">
      <c r="B5197" s="21">
        <f>IF(AND(C5197&lt;&gt;"", H5197&lt;&gt;""), HYPERLINK("#'" &amp; C5197 &amp; "'!" &amp; H5197, H5197), "")</f>
        <v>0</v>
      </c>
    </row>
    <row r="5198" spans="2:2">
      <c r="B5198" s="21">
        <f>IF(AND(C5198&lt;&gt;"", H5198&lt;&gt;""), HYPERLINK("#'" &amp; C5198 &amp; "'!" &amp; H5198, H5198), "")</f>
        <v>0</v>
      </c>
    </row>
    <row r="5199" spans="2:2">
      <c r="B5199" s="21">
        <f>IF(AND(C5199&lt;&gt;"", H5199&lt;&gt;""), HYPERLINK("#'" &amp; C5199 &amp; "'!" &amp; H5199, H5199), "")</f>
        <v>0</v>
      </c>
    </row>
    <row r="5200" spans="2:2">
      <c r="B5200" s="21">
        <f>IF(AND(C5200&lt;&gt;"", H5200&lt;&gt;""), HYPERLINK("#'" &amp; C5200 &amp; "'!" &amp; H5200, H5200), "")</f>
        <v>0</v>
      </c>
    </row>
    <row r="5201" spans="2:2">
      <c r="B5201" s="21">
        <f>IF(AND(C5201&lt;&gt;"", H5201&lt;&gt;""), HYPERLINK("#'" &amp; C5201 &amp; "'!" &amp; H5201, H5201), "")</f>
        <v>0</v>
      </c>
    </row>
    <row r="5202" spans="2:2">
      <c r="B5202" s="21">
        <f>IF(AND(C5202&lt;&gt;"", H5202&lt;&gt;""), HYPERLINK("#'" &amp; C5202 &amp; "'!" &amp; H5202, H5202), "")</f>
        <v>0</v>
      </c>
    </row>
    <row r="5203" spans="2:2">
      <c r="B5203" s="21">
        <f>IF(AND(C5203&lt;&gt;"", H5203&lt;&gt;""), HYPERLINK("#'" &amp; C5203 &amp; "'!" &amp; H5203, H5203), "")</f>
        <v>0</v>
      </c>
    </row>
    <row r="5204" spans="2:2">
      <c r="B5204" s="21">
        <f>IF(AND(C5204&lt;&gt;"", H5204&lt;&gt;""), HYPERLINK("#'" &amp; C5204 &amp; "'!" &amp; H5204, H5204), "")</f>
        <v>0</v>
      </c>
    </row>
    <row r="5205" spans="2:2">
      <c r="B5205" s="21">
        <f>IF(AND(C5205&lt;&gt;"", H5205&lt;&gt;""), HYPERLINK("#'" &amp; C5205 &amp; "'!" &amp; H5205, H5205), "")</f>
        <v>0</v>
      </c>
    </row>
    <row r="5206" spans="2:2">
      <c r="B5206" s="21">
        <f>IF(AND(C5206&lt;&gt;"", H5206&lt;&gt;""), HYPERLINK("#'" &amp; C5206 &amp; "'!" &amp; H5206, H5206), "")</f>
        <v>0</v>
      </c>
    </row>
    <row r="5207" spans="2:2">
      <c r="B5207" s="21">
        <f>IF(AND(C5207&lt;&gt;"", H5207&lt;&gt;""), HYPERLINK("#'" &amp; C5207 &amp; "'!" &amp; H5207, H5207), "")</f>
        <v>0</v>
      </c>
    </row>
    <row r="5208" spans="2:2">
      <c r="B5208" s="21">
        <f>IF(AND(C5208&lt;&gt;"", H5208&lt;&gt;""), HYPERLINK("#'" &amp; C5208 &amp; "'!" &amp; H5208, H5208), "")</f>
        <v>0</v>
      </c>
    </row>
    <row r="5209" spans="2:2">
      <c r="B5209" s="21">
        <f>IF(AND(C5209&lt;&gt;"", H5209&lt;&gt;""), HYPERLINK("#'" &amp; C5209 &amp; "'!" &amp; H5209, H5209), "")</f>
        <v>0</v>
      </c>
    </row>
    <row r="5210" spans="2:2">
      <c r="B5210" s="21">
        <f>IF(AND(C5210&lt;&gt;"", H5210&lt;&gt;""), HYPERLINK("#'" &amp; C5210 &amp; "'!" &amp; H5210, H5210), "")</f>
        <v>0</v>
      </c>
    </row>
    <row r="5211" spans="2:2">
      <c r="B5211" s="21">
        <f>IF(AND(C5211&lt;&gt;"", H5211&lt;&gt;""), HYPERLINK("#'" &amp; C5211 &amp; "'!" &amp; H5211, H5211), "")</f>
        <v>0</v>
      </c>
    </row>
    <row r="5212" spans="2:2">
      <c r="B5212" s="21">
        <f>IF(AND(C5212&lt;&gt;"", H5212&lt;&gt;""), HYPERLINK("#'" &amp; C5212 &amp; "'!" &amp; H5212, H5212), "")</f>
        <v>0</v>
      </c>
    </row>
    <row r="5213" spans="2:2">
      <c r="B5213" s="21">
        <f>IF(AND(C5213&lt;&gt;"", H5213&lt;&gt;""), HYPERLINK("#'" &amp; C5213 &amp; "'!" &amp; H5213, H5213), "")</f>
        <v>0</v>
      </c>
    </row>
    <row r="5214" spans="2:2">
      <c r="B5214" s="21">
        <f>IF(AND(C5214&lt;&gt;"", H5214&lt;&gt;""), HYPERLINK("#'" &amp; C5214 &amp; "'!" &amp; H5214, H5214), "")</f>
        <v>0</v>
      </c>
    </row>
    <row r="5215" spans="2:2">
      <c r="B5215" s="21">
        <f>IF(AND(C5215&lt;&gt;"", H5215&lt;&gt;""), HYPERLINK("#'" &amp; C5215 &amp; "'!" &amp; H5215, H5215), "")</f>
        <v>0</v>
      </c>
    </row>
    <row r="5216" spans="2:2">
      <c r="B5216" s="21">
        <f>IF(AND(C5216&lt;&gt;"", H5216&lt;&gt;""), HYPERLINK("#'" &amp; C5216 &amp; "'!" &amp; H5216, H5216), "")</f>
        <v>0</v>
      </c>
    </row>
    <row r="5217" spans="2:2">
      <c r="B5217" s="21">
        <f>IF(AND(C5217&lt;&gt;"", H5217&lt;&gt;""), HYPERLINK("#'" &amp; C5217 &amp; "'!" &amp; H5217, H5217), "")</f>
        <v>0</v>
      </c>
    </row>
    <row r="5218" spans="2:2">
      <c r="B5218" s="21">
        <f>IF(AND(C5218&lt;&gt;"", H5218&lt;&gt;""), HYPERLINK("#'" &amp; C5218 &amp; "'!" &amp; H5218, H5218), "")</f>
        <v>0</v>
      </c>
    </row>
    <row r="5219" spans="2:2">
      <c r="B5219" s="21">
        <f>IF(AND(C5219&lt;&gt;"", H5219&lt;&gt;""), HYPERLINK("#'" &amp; C5219 &amp; "'!" &amp; H5219, H5219), "")</f>
        <v>0</v>
      </c>
    </row>
    <row r="5220" spans="2:2">
      <c r="B5220" s="21">
        <f>IF(AND(C5220&lt;&gt;"", H5220&lt;&gt;""), HYPERLINK("#'" &amp; C5220 &amp; "'!" &amp; H5220, H5220), "")</f>
        <v>0</v>
      </c>
    </row>
    <row r="5221" spans="2:2">
      <c r="B5221" s="21">
        <f>IF(AND(C5221&lt;&gt;"", H5221&lt;&gt;""), HYPERLINK("#'" &amp; C5221 &amp; "'!" &amp; H5221, H5221), "")</f>
        <v>0</v>
      </c>
    </row>
    <row r="5222" spans="2:2">
      <c r="B5222" s="21">
        <f>IF(AND(C5222&lt;&gt;"", H5222&lt;&gt;""), HYPERLINK("#'" &amp; C5222 &amp; "'!" &amp; H5222, H5222), "")</f>
        <v>0</v>
      </c>
    </row>
    <row r="5223" spans="2:2">
      <c r="B5223" s="21">
        <f>IF(AND(C5223&lt;&gt;"", H5223&lt;&gt;""), HYPERLINK("#'" &amp; C5223 &amp; "'!" &amp; H5223, H5223), "")</f>
        <v>0</v>
      </c>
    </row>
    <row r="5224" spans="2:2">
      <c r="B5224" s="21">
        <f>IF(AND(C5224&lt;&gt;"", H5224&lt;&gt;""), HYPERLINK("#'" &amp; C5224 &amp; "'!" &amp; H5224, H5224), "")</f>
        <v>0</v>
      </c>
    </row>
    <row r="5225" spans="2:2">
      <c r="B5225" s="21">
        <f>IF(AND(C5225&lt;&gt;"", H5225&lt;&gt;""), HYPERLINK("#'" &amp; C5225 &amp; "'!" &amp; H5225, H5225), "")</f>
        <v>0</v>
      </c>
    </row>
    <row r="5226" spans="2:2">
      <c r="B5226" s="21">
        <f>IF(AND(C5226&lt;&gt;"", H5226&lt;&gt;""), HYPERLINK("#'" &amp; C5226 &amp; "'!" &amp; H5226, H5226), "")</f>
        <v>0</v>
      </c>
    </row>
    <row r="5227" spans="2:2">
      <c r="B5227" s="21">
        <f>IF(AND(C5227&lt;&gt;"", H5227&lt;&gt;""), HYPERLINK("#'" &amp; C5227 &amp; "'!" &amp; H5227, H5227), "")</f>
        <v>0</v>
      </c>
    </row>
    <row r="5228" spans="2:2">
      <c r="B5228" s="21">
        <f>IF(AND(C5228&lt;&gt;"", H5228&lt;&gt;""), HYPERLINK("#'" &amp; C5228 &amp; "'!" &amp; H5228, H5228), "")</f>
        <v>0</v>
      </c>
    </row>
    <row r="5229" spans="2:2">
      <c r="B5229" s="21">
        <f>IF(AND(C5229&lt;&gt;"", H5229&lt;&gt;""), HYPERLINK("#'" &amp; C5229 &amp; "'!" &amp; H5229, H5229), "")</f>
        <v>0</v>
      </c>
    </row>
    <row r="5230" spans="2:2">
      <c r="B5230" s="21">
        <f>IF(AND(C5230&lt;&gt;"", H5230&lt;&gt;""), HYPERLINK("#'" &amp; C5230 &amp; "'!" &amp; H5230, H5230), "")</f>
        <v>0</v>
      </c>
    </row>
    <row r="5231" spans="2:2">
      <c r="B5231" s="21">
        <f>IF(AND(C5231&lt;&gt;"", H5231&lt;&gt;""), HYPERLINK("#'" &amp; C5231 &amp; "'!" &amp; H5231, H5231), "")</f>
        <v>0</v>
      </c>
    </row>
    <row r="5232" spans="2:2">
      <c r="B5232" s="21">
        <f>IF(AND(C5232&lt;&gt;"", H5232&lt;&gt;""), HYPERLINK("#'" &amp; C5232 &amp; "'!" &amp; H5232, H5232), "")</f>
        <v>0</v>
      </c>
    </row>
    <row r="5233" spans="2:2">
      <c r="B5233" s="21">
        <f>IF(AND(C5233&lt;&gt;"", H5233&lt;&gt;""), HYPERLINK("#'" &amp; C5233 &amp; "'!" &amp; H5233, H5233), "")</f>
        <v>0</v>
      </c>
    </row>
    <row r="5234" spans="2:2">
      <c r="B5234" s="21">
        <f>IF(AND(C5234&lt;&gt;"", H5234&lt;&gt;""), HYPERLINK("#'" &amp; C5234 &amp; "'!" &amp; H5234, H5234), "")</f>
        <v>0</v>
      </c>
    </row>
    <row r="5235" spans="2:2">
      <c r="B5235" s="21">
        <f>IF(AND(C5235&lt;&gt;"", H5235&lt;&gt;""), HYPERLINK("#'" &amp; C5235 &amp; "'!" &amp; H5235, H5235), "")</f>
        <v>0</v>
      </c>
    </row>
    <row r="5236" spans="2:2">
      <c r="B5236" s="21">
        <f>IF(AND(C5236&lt;&gt;"", H5236&lt;&gt;""), HYPERLINK("#'" &amp; C5236 &amp; "'!" &amp; H5236, H5236), "")</f>
        <v>0</v>
      </c>
    </row>
    <row r="5237" spans="2:2">
      <c r="B5237" s="21">
        <f>IF(AND(C5237&lt;&gt;"", H5237&lt;&gt;""), HYPERLINK("#'" &amp; C5237 &amp; "'!" &amp; H5237, H5237), "")</f>
        <v>0</v>
      </c>
    </row>
    <row r="5238" spans="2:2">
      <c r="B5238" s="21">
        <f>IF(AND(C5238&lt;&gt;"", H5238&lt;&gt;""), HYPERLINK("#'" &amp; C5238 &amp; "'!" &amp; H5238, H5238), "")</f>
        <v>0</v>
      </c>
    </row>
    <row r="5239" spans="2:2">
      <c r="B5239" s="21">
        <f>IF(AND(C5239&lt;&gt;"", H5239&lt;&gt;""), HYPERLINK("#'" &amp; C5239 &amp; "'!" &amp; H5239, H5239), "")</f>
        <v>0</v>
      </c>
    </row>
    <row r="5240" spans="2:2">
      <c r="B5240" s="21">
        <f>IF(AND(C5240&lt;&gt;"", H5240&lt;&gt;""), HYPERLINK("#'" &amp; C5240 &amp; "'!" &amp; H5240, H5240), "")</f>
        <v>0</v>
      </c>
    </row>
    <row r="5241" spans="2:2">
      <c r="B5241" s="21">
        <f>IF(AND(C5241&lt;&gt;"", H5241&lt;&gt;""), HYPERLINK("#'" &amp; C5241 &amp; "'!" &amp; H5241, H5241), "")</f>
        <v>0</v>
      </c>
    </row>
    <row r="5242" spans="2:2">
      <c r="B5242" s="21">
        <f>IF(AND(C5242&lt;&gt;"", H5242&lt;&gt;""), HYPERLINK("#'" &amp; C5242 &amp; "'!" &amp; H5242, H5242), "")</f>
        <v>0</v>
      </c>
    </row>
    <row r="5243" spans="2:2">
      <c r="B5243" s="21">
        <f>IF(AND(C5243&lt;&gt;"", H5243&lt;&gt;""), HYPERLINK("#'" &amp; C5243 &amp; "'!" &amp; H5243, H5243), "")</f>
        <v>0</v>
      </c>
    </row>
    <row r="5244" spans="2:2">
      <c r="B5244" s="21">
        <f>IF(AND(C5244&lt;&gt;"", H5244&lt;&gt;""), HYPERLINK("#'" &amp; C5244 &amp; "'!" &amp; H5244, H5244), "")</f>
        <v>0</v>
      </c>
    </row>
    <row r="5245" spans="2:2">
      <c r="B5245" s="21">
        <f>IF(AND(C5245&lt;&gt;"", H5245&lt;&gt;""), HYPERLINK("#'" &amp; C5245 &amp; "'!" &amp; H5245, H5245), "")</f>
        <v>0</v>
      </c>
    </row>
    <row r="5246" spans="2:2">
      <c r="B5246" s="21">
        <f>IF(AND(C5246&lt;&gt;"", H5246&lt;&gt;""), HYPERLINK("#'" &amp; C5246 &amp; "'!" &amp; H5246, H5246), "")</f>
        <v>0</v>
      </c>
    </row>
    <row r="5247" spans="2:2">
      <c r="B5247" s="21">
        <f>IF(AND(C5247&lt;&gt;"", H5247&lt;&gt;""), HYPERLINK("#'" &amp; C5247 &amp; "'!" &amp; H5247, H5247), "")</f>
        <v>0</v>
      </c>
    </row>
    <row r="5248" spans="2:2">
      <c r="B5248" s="21">
        <f>IF(AND(C5248&lt;&gt;"", H5248&lt;&gt;""), HYPERLINK("#'" &amp; C5248 &amp; "'!" &amp; H5248, H5248), "")</f>
        <v>0</v>
      </c>
    </row>
    <row r="5249" spans="2:2">
      <c r="B5249" s="21">
        <f>IF(AND(C5249&lt;&gt;"", H5249&lt;&gt;""), HYPERLINK("#'" &amp; C5249 &amp; "'!" &amp; H5249, H5249), "")</f>
        <v>0</v>
      </c>
    </row>
    <row r="5250" spans="2:2">
      <c r="B5250" s="21">
        <f>IF(AND(C5250&lt;&gt;"", H5250&lt;&gt;""), HYPERLINK("#'" &amp; C5250 &amp; "'!" &amp; H5250, H5250), "")</f>
        <v>0</v>
      </c>
    </row>
    <row r="5251" spans="2:2">
      <c r="B5251" s="21">
        <f>IF(AND(C5251&lt;&gt;"", H5251&lt;&gt;""), HYPERLINK("#'" &amp; C5251 &amp; "'!" &amp; H5251, H5251), "")</f>
        <v>0</v>
      </c>
    </row>
    <row r="5252" spans="2:2">
      <c r="B5252" s="21">
        <f>IF(AND(C5252&lt;&gt;"", H5252&lt;&gt;""), HYPERLINK("#'" &amp; C5252 &amp; "'!" &amp; H5252, H5252), "")</f>
        <v>0</v>
      </c>
    </row>
    <row r="5253" spans="2:2">
      <c r="B5253" s="21">
        <f>IF(AND(C5253&lt;&gt;"", H5253&lt;&gt;""), HYPERLINK("#'" &amp; C5253 &amp; "'!" &amp; H5253, H5253), "")</f>
        <v>0</v>
      </c>
    </row>
    <row r="5254" spans="2:2">
      <c r="B5254" s="21">
        <f>IF(AND(C5254&lt;&gt;"", H5254&lt;&gt;""), HYPERLINK("#'" &amp; C5254 &amp; "'!" &amp; H5254, H5254), "")</f>
        <v>0</v>
      </c>
    </row>
    <row r="5255" spans="2:2">
      <c r="B5255" s="21">
        <f>IF(AND(C5255&lt;&gt;"", H5255&lt;&gt;""), HYPERLINK("#'" &amp; C5255 &amp; "'!" &amp; H5255, H5255), "")</f>
        <v>0</v>
      </c>
    </row>
    <row r="5256" spans="2:2">
      <c r="B5256" s="21">
        <f>IF(AND(C5256&lt;&gt;"", H5256&lt;&gt;""), HYPERLINK("#'" &amp; C5256 &amp; "'!" &amp; H5256, H5256), "")</f>
        <v>0</v>
      </c>
    </row>
    <row r="5257" spans="2:2">
      <c r="B5257" s="21">
        <f>IF(AND(C5257&lt;&gt;"", H5257&lt;&gt;""), HYPERLINK("#'" &amp; C5257 &amp; "'!" &amp; H5257, H5257), "")</f>
        <v>0</v>
      </c>
    </row>
    <row r="5258" spans="2:2">
      <c r="B5258" s="21">
        <f>IF(AND(C5258&lt;&gt;"", H5258&lt;&gt;""), HYPERLINK("#'" &amp; C5258 &amp; "'!" &amp; H5258, H5258), "")</f>
        <v>0</v>
      </c>
    </row>
    <row r="5259" spans="2:2">
      <c r="B5259" s="21">
        <f>IF(AND(C5259&lt;&gt;"", H5259&lt;&gt;""), HYPERLINK("#'" &amp; C5259 &amp; "'!" &amp; H5259, H5259), "")</f>
        <v>0</v>
      </c>
    </row>
    <row r="5260" spans="2:2">
      <c r="B5260" s="21">
        <f>IF(AND(C5260&lt;&gt;"", H5260&lt;&gt;""), HYPERLINK("#'" &amp; C5260 &amp; "'!" &amp; H5260, H5260), "")</f>
        <v>0</v>
      </c>
    </row>
    <row r="5261" spans="2:2">
      <c r="B5261" s="21">
        <f>IF(AND(C5261&lt;&gt;"", H5261&lt;&gt;""), HYPERLINK("#'" &amp; C5261 &amp; "'!" &amp; H5261, H5261), "")</f>
        <v>0</v>
      </c>
    </row>
    <row r="5262" spans="2:2">
      <c r="B5262" s="21">
        <f>IF(AND(C5262&lt;&gt;"", H5262&lt;&gt;""), HYPERLINK("#'" &amp; C5262 &amp; "'!" &amp; H5262, H5262), "")</f>
        <v>0</v>
      </c>
    </row>
    <row r="5263" spans="2:2">
      <c r="B5263" s="21">
        <f>IF(AND(C5263&lt;&gt;"", H5263&lt;&gt;""), HYPERLINK("#'" &amp; C5263 &amp; "'!" &amp; H5263, H5263), "")</f>
        <v>0</v>
      </c>
    </row>
    <row r="5264" spans="2:2">
      <c r="B5264" s="21">
        <f>IF(AND(C5264&lt;&gt;"", H5264&lt;&gt;""), HYPERLINK("#'" &amp; C5264 &amp; "'!" &amp; H5264, H5264), "")</f>
        <v>0</v>
      </c>
    </row>
    <row r="5265" spans="2:2">
      <c r="B5265" s="21">
        <f>IF(AND(C5265&lt;&gt;"", H5265&lt;&gt;""), HYPERLINK("#'" &amp; C5265 &amp; "'!" &amp; H5265, H5265), "")</f>
        <v>0</v>
      </c>
    </row>
    <row r="5266" spans="2:2">
      <c r="B5266" s="21">
        <f>IF(AND(C5266&lt;&gt;"", H5266&lt;&gt;""), HYPERLINK("#'" &amp; C5266 &amp; "'!" &amp; H5266, H5266), "")</f>
        <v>0</v>
      </c>
    </row>
    <row r="5267" spans="2:2">
      <c r="B5267" s="21">
        <f>IF(AND(C5267&lt;&gt;"", H5267&lt;&gt;""), HYPERLINK("#'" &amp; C5267 &amp; "'!" &amp; H5267, H5267), "")</f>
        <v>0</v>
      </c>
    </row>
    <row r="5268" spans="2:2">
      <c r="B5268" s="21">
        <f>IF(AND(C5268&lt;&gt;"", H5268&lt;&gt;""), HYPERLINK("#'" &amp; C5268 &amp; "'!" &amp; H5268, H5268), "")</f>
        <v>0</v>
      </c>
    </row>
    <row r="5269" spans="2:2">
      <c r="B5269" s="21">
        <f>IF(AND(C5269&lt;&gt;"", H5269&lt;&gt;""), HYPERLINK("#'" &amp; C5269 &amp; "'!" &amp; H5269, H5269), "")</f>
        <v>0</v>
      </c>
    </row>
    <row r="5270" spans="2:2">
      <c r="B5270" s="21">
        <f>IF(AND(C5270&lt;&gt;"", H5270&lt;&gt;""), HYPERLINK("#'" &amp; C5270 &amp; "'!" &amp; H5270, H5270), "")</f>
        <v>0</v>
      </c>
    </row>
    <row r="5271" spans="2:2">
      <c r="B5271" s="21">
        <f>IF(AND(C5271&lt;&gt;"", H5271&lt;&gt;""), HYPERLINK("#'" &amp; C5271 &amp; "'!" &amp; H5271, H5271), "")</f>
        <v>0</v>
      </c>
    </row>
    <row r="5272" spans="2:2">
      <c r="B5272" s="21">
        <f>IF(AND(C5272&lt;&gt;"", H5272&lt;&gt;""), HYPERLINK("#'" &amp; C5272 &amp; "'!" &amp; H5272, H5272), "")</f>
        <v>0</v>
      </c>
    </row>
    <row r="5273" spans="2:2">
      <c r="B5273" s="21">
        <f>IF(AND(C5273&lt;&gt;"", H5273&lt;&gt;""), HYPERLINK("#'" &amp; C5273 &amp; "'!" &amp; H5273, H5273), "")</f>
        <v>0</v>
      </c>
    </row>
    <row r="5274" spans="2:2">
      <c r="B5274" s="21">
        <f>IF(AND(C5274&lt;&gt;"", H5274&lt;&gt;""), HYPERLINK("#'" &amp; C5274 &amp; "'!" &amp; H5274, H5274), "")</f>
        <v>0</v>
      </c>
    </row>
    <row r="5275" spans="2:2">
      <c r="B5275" s="21">
        <f>IF(AND(C5275&lt;&gt;"", H5275&lt;&gt;""), HYPERLINK("#'" &amp; C5275 &amp; "'!" &amp; H5275, H5275), "")</f>
        <v>0</v>
      </c>
    </row>
    <row r="5276" spans="2:2">
      <c r="B5276" s="21">
        <f>IF(AND(C5276&lt;&gt;"", H5276&lt;&gt;""), HYPERLINK("#'" &amp; C5276 &amp; "'!" &amp; H5276, H5276), "")</f>
        <v>0</v>
      </c>
    </row>
    <row r="5277" spans="2:2">
      <c r="B5277" s="21">
        <f>IF(AND(C5277&lt;&gt;"", H5277&lt;&gt;""), HYPERLINK("#'" &amp; C5277 &amp; "'!" &amp; H5277, H5277), "")</f>
        <v>0</v>
      </c>
    </row>
    <row r="5278" spans="2:2">
      <c r="B5278" s="21">
        <f>IF(AND(C5278&lt;&gt;"", H5278&lt;&gt;""), HYPERLINK("#'" &amp; C5278 &amp; "'!" &amp; H5278, H5278), "")</f>
        <v>0</v>
      </c>
    </row>
    <row r="5279" spans="2:2">
      <c r="B5279" s="21">
        <f>IF(AND(C5279&lt;&gt;"", H5279&lt;&gt;""), HYPERLINK("#'" &amp; C5279 &amp; "'!" &amp; H5279, H5279), "")</f>
        <v>0</v>
      </c>
    </row>
    <row r="5280" spans="2:2">
      <c r="B5280" s="21">
        <f>IF(AND(C5280&lt;&gt;"", H5280&lt;&gt;""), HYPERLINK("#'" &amp; C5280 &amp; "'!" &amp; H5280, H5280), "")</f>
        <v>0</v>
      </c>
    </row>
    <row r="5281" spans="2:2">
      <c r="B5281" s="21">
        <f>IF(AND(C5281&lt;&gt;"", H5281&lt;&gt;""), HYPERLINK("#'" &amp; C5281 &amp; "'!" &amp; H5281, H5281), "")</f>
        <v>0</v>
      </c>
    </row>
    <row r="5282" spans="2:2">
      <c r="B5282" s="21">
        <f>IF(AND(C5282&lt;&gt;"", H5282&lt;&gt;""), HYPERLINK("#'" &amp; C5282 &amp; "'!" &amp; H5282, H5282), "")</f>
        <v>0</v>
      </c>
    </row>
    <row r="5283" spans="2:2">
      <c r="B5283" s="21">
        <f>IF(AND(C5283&lt;&gt;"", H5283&lt;&gt;""), HYPERLINK("#'" &amp; C5283 &amp; "'!" &amp; H5283, H5283), "")</f>
        <v>0</v>
      </c>
    </row>
    <row r="5284" spans="2:2">
      <c r="B5284" s="21">
        <f>IF(AND(C5284&lt;&gt;"", H5284&lt;&gt;""), HYPERLINK("#'" &amp; C5284 &amp; "'!" &amp; H5284, H5284), "")</f>
        <v>0</v>
      </c>
    </row>
    <row r="5285" spans="2:2">
      <c r="B5285" s="21">
        <f>IF(AND(C5285&lt;&gt;"", H5285&lt;&gt;""), HYPERLINK("#'" &amp; C5285 &amp; "'!" &amp; H5285, H5285), "")</f>
        <v>0</v>
      </c>
    </row>
    <row r="5286" spans="2:2">
      <c r="B5286" s="21">
        <f>IF(AND(C5286&lt;&gt;"", H5286&lt;&gt;""), HYPERLINK("#'" &amp; C5286 &amp; "'!" &amp; H5286, H5286), "")</f>
        <v>0</v>
      </c>
    </row>
    <row r="5287" spans="2:2">
      <c r="B5287" s="21">
        <f>IF(AND(C5287&lt;&gt;"", H5287&lt;&gt;""), HYPERLINK("#'" &amp; C5287 &amp; "'!" &amp; H5287, H5287), "")</f>
        <v>0</v>
      </c>
    </row>
    <row r="5288" spans="2:2">
      <c r="B5288" s="21">
        <f>IF(AND(C5288&lt;&gt;"", H5288&lt;&gt;""), HYPERLINK("#'" &amp; C5288 &amp; "'!" &amp; H5288, H5288), "")</f>
        <v>0</v>
      </c>
    </row>
    <row r="5289" spans="2:2">
      <c r="B5289" s="21">
        <f>IF(AND(C5289&lt;&gt;"", H5289&lt;&gt;""), HYPERLINK("#'" &amp; C5289 &amp; "'!" &amp; H5289, H5289), "")</f>
        <v>0</v>
      </c>
    </row>
    <row r="5290" spans="2:2">
      <c r="B5290" s="21">
        <f>IF(AND(C5290&lt;&gt;"", H5290&lt;&gt;""), HYPERLINK("#'" &amp; C5290 &amp; "'!" &amp; H5290, H5290), "")</f>
        <v>0</v>
      </c>
    </row>
    <row r="5291" spans="2:2">
      <c r="B5291" s="21">
        <f>IF(AND(C5291&lt;&gt;"", H5291&lt;&gt;""), HYPERLINK("#'" &amp; C5291 &amp; "'!" &amp; H5291, H5291), "")</f>
        <v>0</v>
      </c>
    </row>
    <row r="5292" spans="2:2">
      <c r="B5292" s="21">
        <f>IF(AND(C5292&lt;&gt;"", H5292&lt;&gt;""), HYPERLINK("#'" &amp; C5292 &amp; "'!" &amp; H5292, H5292), "")</f>
        <v>0</v>
      </c>
    </row>
    <row r="5293" spans="2:2">
      <c r="B5293" s="21">
        <f>IF(AND(C5293&lt;&gt;"", H5293&lt;&gt;""), HYPERLINK("#'" &amp; C5293 &amp; "'!" &amp; H5293, H5293), "")</f>
        <v>0</v>
      </c>
    </row>
    <row r="5294" spans="2:2">
      <c r="B5294" s="21">
        <f>IF(AND(C5294&lt;&gt;"", H5294&lt;&gt;""), HYPERLINK("#'" &amp; C5294 &amp; "'!" &amp; H5294, H5294), "")</f>
        <v>0</v>
      </c>
    </row>
    <row r="5295" spans="2:2">
      <c r="B5295" s="21">
        <f>IF(AND(C5295&lt;&gt;"", H5295&lt;&gt;""), HYPERLINK("#'" &amp; C5295 &amp; "'!" &amp; H5295, H5295), "")</f>
        <v>0</v>
      </c>
    </row>
    <row r="5296" spans="2:2">
      <c r="B5296" s="21">
        <f>IF(AND(C5296&lt;&gt;"", H5296&lt;&gt;""), HYPERLINK("#'" &amp; C5296 &amp; "'!" &amp; H5296, H5296), "")</f>
        <v>0</v>
      </c>
    </row>
    <row r="5297" spans="2:2">
      <c r="B5297" s="21">
        <f>IF(AND(C5297&lt;&gt;"", H5297&lt;&gt;""), HYPERLINK("#'" &amp; C5297 &amp; "'!" &amp; H5297, H5297), "")</f>
        <v>0</v>
      </c>
    </row>
    <row r="5298" spans="2:2">
      <c r="B5298" s="21">
        <f>IF(AND(C5298&lt;&gt;"", H5298&lt;&gt;""), HYPERLINK("#'" &amp; C5298 &amp; "'!" &amp; H5298, H5298), "")</f>
        <v>0</v>
      </c>
    </row>
    <row r="5299" spans="2:2">
      <c r="B5299" s="21">
        <f>IF(AND(C5299&lt;&gt;"", H5299&lt;&gt;""), HYPERLINK("#'" &amp; C5299 &amp; "'!" &amp; H5299, H5299), "")</f>
        <v>0</v>
      </c>
    </row>
    <row r="5300" spans="2:2">
      <c r="B5300" s="21">
        <f>IF(AND(C5300&lt;&gt;"", H5300&lt;&gt;""), HYPERLINK("#'" &amp; C5300 &amp; "'!" &amp; H5300, H5300), "")</f>
        <v>0</v>
      </c>
    </row>
    <row r="5301" spans="2:2">
      <c r="B5301" s="21">
        <f>IF(AND(C5301&lt;&gt;"", H5301&lt;&gt;""), HYPERLINK("#'" &amp; C5301 &amp; "'!" &amp; H5301, H5301), "")</f>
        <v>0</v>
      </c>
    </row>
    <row r="5302" spans="2:2">
      <c r="B5302" s="21">
        <f>IF(AND(C5302&lt;&gt;"", H5302&lt;&gt;""), HYPERLINK("#'" &amp; C5302 &amp; "'!" &amp; H5302, H5302), "")</f>
        <v>0</v>
      </c>
    </row>
    <row r="5303" spans="2:2">
      <c r="B5303" s="21">
        <f>IF(AND(C5303&lt;&gt;"", H5303&lt;&gt;""), HYPERLINK("#'" &amp; C5303 &amp; "'!" &amp; H5303, H5303), "")</f>
        <v>0</v>
      </c>
    </row>
    <row r="5304" spans="2:2">
      <c r="B5304" s="21">
        <f>IF(AND(C5304&lt;&gt;"", H5304&lt;&gt;""), HYPERLINK("#'" &amp; C5304 &amp; "'!" &amp; H5304, H5304), "")</f>
        <v>0</v>
      </c>
    </row>
    <row r="5305" spans="2:2">
      <c r="B5305" s="21">
        <f>IF(AND(C5305&lt;&gt;"", H5305&lt;&gt;""), HYPERLINK("#'" &amp; C5305 &amp; "'!" &amp; H5305, H5305), "")</f>
        <v>0</v>
      </c>
    </row>
    <row r="5306" spans="2:2">
      <c r="B5306" s="21">
        <f>IF(AND(C5306&lt;&gt;"", H5306&lt;&gt;""), HYPERLINK("#'" &amp; C5306 &amp; "'!" &amp; H5306, H5306), "")</f>
        <v>0</v>
      </c>
    </row>
    <row r="5307" spans="2:2">
      <c r="B5307" s="21">
        <f>IF(AND(C5307&lt;&gt;"", H5307&lt;&gt;""), HYPERLINK("#'" &amp; C5307 &amp; "'!" &amp; H5307, H5307), "")</f>
        <v>0</v>
      </c>
    </row>
    <row r="5308" spans="2:2">
      <c r="B5308" s="21">
        <f>IF(AND(C5308&lt;&gt;"", H5308&lt;&gt;""), HYPERLINK("#'" &amp; C5308 &amp; "'!" &amp; H5308, H5308), "")</f>
        <v>0</v>
      </c>
    </row>
    <row r="5309" spans="2:2">
      <c r="B5309" s="21">
        <f>IF(AND(C5309&lt;&gt;"", H5309&lt;&gt;""), HYPERLINK("#'" &amp; C5309 &amp; "'!" &amp; H5309, H5309), "")</f>
        <v>0</v>
      </c>
    </row>
    <row r="5310" spans="2:2">
      <c r="B5310" s="21">
        <f>IF(AND(C5310&lt;&gt;"", H5310&lt;&gt;""), HYPERLINK("#'" &amp; C5310 &amp; "'!" &amp; H5310, H5310), "")</f>
        <v>0</v>
      </c>
    </row>
    <row r="5311" spans="2:2">
      <c r="B5311" s="21">
        <f>IF(AND(C5311&lt;&gt;"", H5311&lt;&gt;""), HYPERLINK("#'" &amp; C5311 &amp; "'!" &amp; H5311, H5311), "")</f>
        <v>0</v>
      </c>
    </row>
    <row r="5312" spans="2:2">
      <c r="B5312" s="21">
        <f>IF(AND(C5312&lt;&gt;"", H5312&lt;&gt;""), HYPERLINK("#'" &amp; C5312 &amp; "'!" &amp; H5312, H5312), "")</f>
        <v>0</v>
      </c>
    </row>
    <row r="5313" spans="2:2">
      <c r="B5313" s="21">
        <f>IF(AND(C5313&lt;&gt;"", H5313&lt;&gt;""), HYPERLINK("#'" &amp; C5313 &amp; "'!" &amp; H5313, H5313), "")</f>
        <v>0</v>
      </c>
    </row>
    <row r="5314" spans="2:2">
      <c r="B5314" s="21">
        <f>IF(AND(C5314&lt;&gt;"", H5314&lt;&gt;""), HYPERLINK("#'" &amp; C5314 &amp; "'!" &amp; H5314, H5314), "")</f>
        <v>0</v>
      </c>
    </row>
    <row r="5315" spans="2:2">
      <c r="B5315" s="21">
        <f>IF(AND(C5315&lt;&gt;"", H5315&lt;&gt;""), HYPERLINK("#'" &amp; C5315 &amp; "'!" &amp; H5315, H5315), "")</f>
        <v>0</v>
      </c>
    </row>
    <row r="5316" spans="2:2">
      <c r="B5316" s="21">
        <f>IF(AND(C5316&lt;&gt;"", H5316&lt;&gt;""), HYPERLINK("#'" &amp; C5316 &amp; "'!" &amp; H5316, H5316), "")</f>
        <v>0</v>
      </c>
    </row>
    <row r="5317" spans="2:2">
      <c r="B5317" s="21">
        <f>IF(AND(C5317&lt;&gt;"", H5317&lt;&gt;""), HYPERLINK("#'" &amp; C5317 &amp; "'!" &amp; H5317, H5317), "")</f>
        <v>0</v>
      </c>
    </row>
    <row r="5318" spans="2:2">
      <c r="B5318" s="21">
        <f>IF(AND(C5318&lt;&gt;"", H5318&lt;&gt;""), HYPERLINK("#'" &amp; C5318 &amp; "'!" &amp; H5318, H5318), "")</f>
        <v>0</v>
      </c>
    </row>
    <row r="5319" spans="2:2">
      <c r="B5319" s="21">
        <f>IF(AND(C5319&lt;&gt;"", H5319&lt;&gt;""), HYPERLINK("#'" &amp; C5319 &amp; "'!" &amp; H5319, H5319), "")</f>
        <v>0</v>
      </c>
    </row>
    <row r="5320" spans="2:2">
      <c r="B5320" s="21">
        <f>IF(AND(C5320&lt;&gt;"", H5320&lt;&gt;""), HYPERLINK("#'" &amp; C5320 &amp; "'!" &amp; H5320, H5320), "")</f>
        <v>0</v>
      </c>
    </row>
    <row r="5321" spans="2:2">
      <c r="B5321" s="21">
        <f>IF(AND(C5321&lt;&gt;"", H5321&lt;&gt;""), HYPERLINK("#'" &amp; C5321 &amp; "'!" &amp; H5321, H5321), "")</f>
        <v>0</v>
      </c>
    </row>
    <row r="5322" spans="2:2">
      <c r="B5322" s="21">
        <f>IF(AND(C5322&lt;&gt;"", H5322&lt;&gt;""), HYPERLINK("#'" &amp; C5322 &amp; "'!" &amp; H5322, H5322), "")</f>
        <v>0</v>
      </c>
    </row>
    <row r="5323" spans="2:2">
      <c r="B5323" s="21">
        <f>IF(AND(C5323&lt;&gt;"", H5323&lt;&gt;""), HYPERLINK("#'" &amp; C5323 &amp; "'!" &amp; H5323, H5323), "")</f>
        <v>0</v>
      </c>
    </row>
    <row r="5324" spans="2:2">
      <c r="B5324" s="21">
        <f>IF(AND(C5324&lt;&gt;"", H5324&lt;&gt;""), HYPERLINK("#'" &amp; C5324 &amp; "'!" &amp; H5324, H5324), "")</f>
        <v>0</v>
      </c>
    </row>
    <row r="5325" spans="2:2">
      <c r="B5325" s="21">
        <f>IF(AND(C5325&lt;&gt;"", H5325&lt;&gt;""), HYPERLINK("#'" &amp; C5325 &amp; "'!" &amp; H5325, H5325), "")</f>
        <v>0</v>
      </c>
    </row>
    <row r="5326" spans="2:2">
      <c r="B5326" s="21">
        <f>IF(AND(C5326&lt;&gt;"", H5326&lt;&gt;""), HYPERLINK("#'" &amp; C5326 &amp; "'!" &amp; H5326, H5326), "")</f>
        <v>0</v>
      </c>
    </row>
    <row r="5327" spans="2:2">
      <c r="B5327" s="21">
        <f>IF(AND(C5327&lt;&gt;"", H5327&lt;&gt;""), HYPERLINK("#'" &amp; C5327 &amp; "'!" &amp; H5327, H5327), "")</f>
        <v>0</v>
      </c>
    </row>
    <row r="5328" spans="2:2">
      <c r="B5328" s="21">
        <f>IF(AND(C5328&lt;&gt;"", H5328&lt;&gt;""), HYPERLINK("#'" &amp; C5328 &amp; "'!" &amp; H5328, H5328), "")</f>
        <v>0</v>
      </c>
    </row>
    <row r="5329" spans="2:2">
      <c r="B5329" s="21">
        <f>IF(AND(C5329&lt;&gt;"", H5329&lt;&gt;""), HYPERLINK("#'" &amp; C5329 &amp; "'!" &amp; H5329, H5329), "")</f>
        <v>0</v>
      </c>
    </row>
    <row r="5330" spans="2:2">
      <c r="B5330" s="21">
        <f>IF(AND(C5330&lt;&gt;"", H5330&lt;&gt;""), HYPERLINK("#'" &amp; C5330 &amp; "'!" &amp; H5330, H5330), "")</f>
        <v>0</v>
      </c>
    </row>
    <row r="5331" spans="2:2">
      <c r="B5331" s="21">
        <f>IF(AND(C5331&lt;&gt;"", H5331&lt;&gt;""), HYPERLINK("#'" &amp; C5331 &amp; "'!" &amp; H5331, H5331), "")</f>
        <v>0</v>
      </c>
    </row>
    <row r="5332" spans="2:2">
      <c r="B5332" s="21">
        <f>IF(AND(C5332&lt;&gt;"", H5332&lt;&gt;""), HYPERLINK("#'" &amp; C5332 &amp; "'!" &amp; H5332, H5332), "")</f>
        <v>0</v>
      </c>
    </row>
    <row r="5333" spans="2:2">
      <c r="B5333" s="21">
        <f>IF(AND(C5333&lt;&gt;"", H5333&lt;&gt;""), HYPERLINK("#'" &amp; C5333 &amp; "'!" &amp; H5333, H5333), "")</f>
        <v>0</v>
      </c>
    </row>
    <row r="5334" spans="2:2">
      <c r="B5334" s="21">
        <f>IF(AND(C5334&lt;&gt;"", H5334&lt;&gt;""), HYPERLINK("#'" &amp; C5334 &amp; "'!" &amp; H5334, H5334), "")</f>
        <v>0</v>
      </c>
    </row>
    <row r="5335" spans="2:2">
      <c r="B5335" s="21">
        <f>IF(AND(C5335&lt;&gt;"", H5335&lt;&gt;""), HYPERLINK("#'" &amp; C5335 &amp; "'!" &amp; H5335, H5335), "")</f>
        <v>0</v>
      </c>
    </row>
    <row r="5336" spans="2:2">
      <c r="B5336" s="21">
        <f>IF(AND(C5336&lt;&gt;"", H5336&lt;&gt;""), HYPERLINK("#'" &amp; C5336 &amp; "'!" &amp; H5336, H5336), "")</f>
        <v>0</v>
      </c>
    </row>
    <row r="5337" spans="2:2">
      <c r="B5337" s="21">
        <f>IF(AND(C5337&lt;&gt;"", H5337&lt;&gt;""), HYPERLINK("#'" &amp; C5337 &amp; "'!" &amp; H5337, H5337), "")</f>
        <v>0</v>
      </c>
    </row>
    <row r="5338" spans="2:2">
      <c r="B5338" s="21">
        <f>IF(AND(C5338&lt;&gt;"", H5338&lt;&gt;""), HYPERLINK("#'" &amp; C5338 &amp; "'!" &amp; H5338, H5338), "")</f>
        <v>0</v>
      </c>
    </row>
    <row r="5339" spans="2:2">
      <c r="B5339" s="21">
        <f>IF(AND(C5339&lt;&gt;"", H5339&lt;&gt;""), HYPERLINK("#'" &amp; C5339 &amp; "'!" &amp; H5339, H5339), "")</f>
        <v>0</v>
      </c>
    </row>
    <row r="5340" spans="2:2">
      <c r="B5340" s="21">
        <f>IF(AND(C5340&lt;&gt;"", H5340&lt;&gt;""), HYPERLINK("#'" &amp; C5340 &amp; "'!" &amp; H5340, H5340), "")</f>
        <v>0</v>
      </c>
    </row>
    <row r="5341" spans="2:2">
      <c r="B5341" s="21">
        <f>IF(AND(C5341&lt;&gt;"", H5341&lt;&gt;""), HYPERLINK("#'" &amp; C5341 &amp; "'!" &amp; H5341, H5341), "")</f>
        <v>0</v>
      </c>
    </row>
    <row r="5342" spans="2:2">
      <c r="B5342" s="21">
        <f>IF(AND(C5342&lt;&gt;"", H5342&lt;&gt;""), HYPERLINK("#'" &amp; C5342 &amp; "'!" &amp; H5342, H5342), "")</f>
        <v>0</v>
      </c>
    </row>
    <row r="5343" spans="2:2">
      <c r="B5343" s="21">
        <f>IF(AND(C5343&lt;&gt;"", H5343&lt;&gt;""), HYPERLINK("#'" &amp; C5343 &amp; "'!" &amp; H5343, H5343), "")</f>
        <v>0</v>
      </c>
    </row>
    <row r="5344" spans="2:2">
      <c r="B5344" s="21">
        <f>IF(AND(C5344&lt;&gt;"", H5344&lt;&gt;""), HYPERLINK("#'" &amp; C5344 &amp; "'!" &amp; H5344, H5344), "")</f>
        <v>0</v>
      </c>
    </row>
    <row r="5345" spans="2:2">
      <c r="B5345" s="21">
        <f>IF(AND(C5345&lt;&gt;"", H5345&lt;&gt;""), HYPERLINK("#'" &amp; C5345 &amp; "'!" &amp; H5345, H5345), "")</f>
        <v>0</v>
      </c>
    </row>
    <row r="5346" spans="2:2">
      <c r="B5346" s="21">
        <f>IF(AND(C5346&lt;&gt;"", H5346&lt;&gt;""), HYPERLINK("#'" &amp; C5346 &amp; "'!" &amp; H5346, H5346), "")</f>
        <v>0</v>
      </c>
    </row>
    <row r="5347" spans="2:2">
      <c r="B5347" s="21">
        <f>IF(AND(C5347&lt;&gt;"", H5347&lt;&gt;""), HYPERLINK("#'" &amp; C5347 &amp; "'!" &amp; H5347, H5347), "")</f>
        <v>0</v>
      </c>
    </row>
    <row r="5348" spans="2:2">
      <c r="B5348" s="21">
        <f>IF(AND(C5348&lt;&gt;"", H5348&lt;&gt;""), HYPERLINK("#'" &amp; C5348 &amp; "'!" &amp; H5348, H5348), "")</f>
        <v>0</v>
      </c>
    </row>
    <row r="5349" spans="2:2">
      <c r="B5349" s="21">
        <f>IF(AND(C5349&lt;&gt;"", H5349&lt;&gt;""), HYPERLINK("#'" &amp; C5349 &amp; "'!" &amp; H5349, H5349), "")</f>
        <v>0</v>
      </c>
    </row>
    <row r="5350" spans="2:2">
      <c r="B5350" s="21">
        <f>IF(AND(C5350&lt;&gt;"", H5350&lt;&gt;""), HYPERLINK("#'" &amp; C5350 &amp; "'!" &amp; H5350, H5350), "")</f>
        <v>0</v>
      </c>
    </row>
    <row r="5351" spans="2:2">
      <c r="B5351" s="21">
        <f>IF(AND(C5351&lt;&gt;"", H5351&lt;&gt;""), HYPERLINK("#'" &amp; C5351 &amp; "'!" &amp; H5351, H5351), "")</f>
        <v>0</v>
      </c>
    </row>
    <row r="5352" spans="2:2">
      <c r="B5352" s="21">
        <f>IF(AND(C5352&lt;&gt;"", H5352&lt;&gt;""), HYPERLINK("#'" &amp; C5352 &amp; "'!" &amp; H5352, H5352), "")</f>
        <v>0</v>
      </c>
    </row>
    <row r="5353" spans="2:2">
      <c r="B5353" s="21">
        <f>IF(AND(C5353&lt;&gt;"", H5353&lt;&gt;""), HYPERLINK("#'" &amp; C5353 &amp; "'!" &amp; H5353, H5353), "")</f>
        <v>0</v>
      </c>
    </row>
    <row r="5354" spans="2:2">
      <c r="B5354" s="21">
        <f>IF(AND(C5354&lt;&gt;"", H5354&lt;&gt;""), HYPERLINK("#'" &amp; C5354 &amp; "'!" &amp; H5354, H5354), "")</f>
        <v>0</v>
      </c>
    </row>
    <row r="5355" spans="2:2">
      <c r="B5355" s="21">
        <f>IF(AND(C5355&lt;&gt;"", H5355&lt;&gt;""), HYPERLINK("#'" &amp; C5355 &amp; "'!" &amp; H5355, H5355), "")</f>
        <v>0</v>
      </c>
    </row>
    <row r="5356" spans="2:2">
      <c r="B5356" s="21">
        <f>IF(AND(C5356&lt;&gt;"", H5356&lt;&gt;""), HYPERLINK("#'" &amp; C5356 &amp; "'!" &amp; H5356, H5356), "")</f>
        <v>0</v>
      </c>
    </row>
    <row r="5357" spans="2:2">
      <c r="B5357" s="21">
        <f>IF(AND(C5357&lt;&gt;"", H5357&lt;&gt;""), HYPERLINK("#'" &amp; C5357 &amp; "'!" &amp; H5357, H5357), "")</f>
        <v>0</v>
      </c>
    </row>
    <row r="5358" spans="2:2">
      <c r="B5358" s="21">
        <f>IF(AND(C5358&lt;&gt;"", H5358&lt;&gt;""), HYPERLINK("#'" &amp; C5358 &amp; "'!" &amp; H5358, H5358), "")</f>
        <v>0</v>
      </c>
    </row>
    <row r="5359" spans="2:2">
      <c r="B5359" s="21">
        <f>IF(AND(C5359&lt;&gt;"", H5359&lt;&gt;""), HYPERLINK("#'" &amp; C5359 &amp; "'!" &amp; H5359, H5359), "")</f>
        <v>0</v>
      </c>
    </row>
    <row r="5360" spans="2:2">
      <c r="B5360" s="21">
        <f>IF(AND(C5360&lt;&gt;"", H5360&lt;&gt;""), HYPERLINK("#'" &amp; C5360 &amp; "'!" &amp; H5360, H5360), "")</f>
        <v>0</v>
      </c>
    </row>
    <row r="5361" spans="2:2">
      <c r="B5361" s="21">
        <f>IF(AND(C5361&lt;&gt;"", H5361&lt;&gt;""), HYPERLINK("#'" &amp; C5361 &amp; "'!" &amp; H5361, H5361), "")</f>
        <v>0</v>
      </c>
    </row>
    <row r="5362" spans="2:2">
      <c r="B5362" s="21">
        <f>IF(AND(C5362&lt;&gt;"", H5362&lt;&gt;""), HYPERLINK("#'" &amp; C5362 &amp; "'!" &amp; H5362, H5362), "")</f>
        <v>0</v>
      </c>
    </row>
    <row r="5363" spans="2:2">
      <c r="B5363" s="21">
        <f>IF(AND(C5363&lt;&gt;"", H5363&lt;&gt;""), HYPERLINK("#'" &amp; C5363 &amp; "'!" &amp; H5363, H5363), "")</f>
        <v>0</v>
      </c>
    </row>
    <row r="5364" spans="2:2">
      <c r="B5364" s="21">
        <f>IF(AND(C5364&lt;&gt;"", H5364&lt;&gt;""), HYPERLINK("#'" &amp; C5364 &amp; "'!" &amp; H5364, H5364), "")</f>
        <v>0</v>
      </c>
    </row>
    <row r="5365" spans="2:2">
      <c r="B5365" s="21">
        <f>IF(AND(C5365&lt;&gt;"", H5365&lt;&gt;""), HYPERLINK("#'" &amp; C5365 &amp; "'!" &amp; H5365, H5365), "")</f>
        <v>0</v>
      </c>
    </row>
    <row r="5366" spans="2:2">
      <c r="B5366" s="21">
        <f>IF(AND(C5366&lt;&gt;"", H5366&lt;&gt;""), HYPERLINK("#'" &amp; C5366 &amp; "'!" &amp; H5366, H5366), "")</f>
        <v>0</v>
      </c>
    </row>
    <row r="5367" spans="2:2">
      <c r="B5367" s="21">
        <f>IF(AND(C5367&lt;&gt;"", H5367&lt;&gt;""), HYPERLINK("#'" &amp; C5367 &amp; "'!" &amp; H5367, H5367), "")</f>
        <v>0</v>
      </c>
    </row>
    <row r="5368" spans="2:2">
      <c r="B5368" s="21">
        <f>IF(AND(C5368&lt;&gt;"", H5368&lt;&gt;""), HYPERLINK("#'" &amp; C5368 &amp; "'!" &amp; H5368, H5368), "")</f>
        <v>0</v>
      </c>
    </row>
    <row r="5369" spans="2:2">
      <c r="B5369" s="21">
        <f>IF(AND(C5369&lt;&gt;"", H5369&lt;&gt;""), HYPERLINK("#'" &amp; C5369 &amp; "'!" &amp; H5369, H5369), "")</f>
        <v>0</v>
      </c>
    </row>
    <row r="5370" spans="2:2">
      <c r="B5370" s="21">
        <f>IF(AND(C5370&lt;&gt;"", H5370&lt;&gt;""), HYPERLINK("#'" &amp; C5370 &amp; "'!" &amp; H5370, H5370), "")</f>
        <v>0</v>
      </c>
    </row>
    <row r="5371" spans="2:2">
      <c r="B5371" s="21">
        <f>IF(AND(C5371&lt;&gt;"", H5371&lt;&gt;""), HYPERLINK("#'" &amp; C5371 &amp; "'!" &amp; H5371, H5371), "")</f>
        <v>0</v>
      </c>
    </row>
    <row r="5372" spans="2:2">
      <c r="B5372" s="21">
        <f>IF(AND(C5372&lt;&gt;"", H5372&lt;&gt;""), HYPERLINK("#'" &amp; C5372 &amp; "'!" &amp; H5372, H5372), "")</f>
        <v>0</v>
      </c>
    </row>
    <row r="5373" spans="2:2">
      <c r="B5373" s="21">
        <f>IF(AND(C5373&lt;&gt;"", H5373&lt;&gt;""), HYPERLINK("#'" &amp; C5373 &amp; "'!" &amp; H5373, H5373), "")</f>
        <v>0</v>
      </c>
    </row>
    <row r="5374" spans="2:2">
      <c r="B5374" s="21">
        <f>IF(AND(C5374&lt;&gt;"", H5374&lt;&gt;""), HYPERLINK("#'" &amp; C5374 &amp; "'!" &amp; H5374, H5374), "")</f>
        <v>0</v>
      </c>
    </row>
    <row r="5375" spans="2:2">
      <c r="B5375" s="21">
        <f>IF(AND(C5375&lt;&gt;"", H5375&lt;&gt;""), HYPERLINK("#'" &amp; C5375 &amp; "'!" &amp; H5375, H5375), "")</f>
        <v>0</v>
      </c>
    </row>
    <row r="5376" spans="2:2">
      <c r="B5376" s="21">
        <f>IF(AND(C5376&lt;&gt;"", H5376&lt;&gt;""), HYPERLINK("#'" &amp; C5376 &amp; "'!" &amp; H5376, H5376), "")</f>
        <v>0</v>
      </c>
    </row>
    <row r="5377" spans="2:2">
      <c r="B5377" s="21">
        <f>IF(AND(C5377&lt;&gt;"", H5377&lt;&gt;""), HYPERLINK("#'" &amp; C5377 &amp; "'!" &amp; H5377, H5377), "")</f>
        <v>0</v>
      </c>
    </row>
    <row r="5378" spans="2:2">
      <c r="B5378" s="21">
        <f>IF(AND(C5378&lt;&gt;"", H5378&lt;&gt;""), HYPERLINK("#'" &amp; C5378 &amp; "'!" &amp; H5378, H5378), "")</f>
        <v>0</v>
      </c>
    </row>
    <row r="5379" spans="2:2">
      <c r="B5379" s="21">
        <f>IF(AND(C5379&lt;&gt;"", H5379&lt;&gt;""), HYPERLINK("#'" &amp; C5379 &amp; "'!" &amp; H5379, H5379), "")</f>
        <v>0</v>
      </c>
    </row>
    <row r="5380" spans="2:2">
      <c r="B5380" s="21">
        <f>IF(AND(C5380&lt;&gt;"", H5380&lt;&gt;""), HYPERLINK("#'" &amp; C5380 &amp; "'!" &amp; H5380, H5380), "")</f>
        <v>0</v>
      </c>
    </row>
    <row r="5381" spans="2:2">
      <c r="B5381" s="21">
        <f>IF(AND(C5381&lt;&gt;"", H5381&lt;&gt;""), HYPERLINK("#'" &amp; C5381 &amp; "'!" &amp; H5381, H5381), "")</f>
        <v>0</v>
      </c>
    </row>
    <row r="5382" spans="2:2">
      <c r="B5382" s="21">
        <f>IF(AND(C5382&lt;&gt;"", H5382&lt;&gt;""), HYPERLINK("#'" &amp; C5382 &amp; "'!" &amp; H5382, H5382), "")</f>
        <v>0</v>
      </c>
    </row>
    <row r="5383" spans="2:2">
      <c r="B5383" s="21">
        <f>IF(AND(C5383&lt;&gt;"", H5383&lt;&gt;""), HYPERLINK("#'" &amp; C5383 &amp; "'!" &amp; H5383, H5383), "")</f>
        <v>0</v>
      </c>
    </row>
    <row r="5384" spans="2:2">
      <c r="B5384" s="21">
        <f>IF(AND(C5384&lt;&gt;"", H5384&lt;&gt;""), HYPERLINK("#'" &amp; C5384 &amp; "'!" &amp; H5384, H5384), "")</f>
        <v>0</v>
      </c>
    </row>
    <row r="5385" spans="2:2">
      <c r="B5385" s="21">
        <f>IF(AND(C5385&lt;&gt;"", H5385&lt;&gt;""), HYPERLINK("#'" &amp; C5385 &amp; "'!" &amp; H5385, H5385), "")</f>
        <v>0</v>
      </c>
    </row>
    <row r="5386" spans="2:2">
      <c r="B5386" s="21">
        <f>IF(AND(C5386&lt;&gt;"", H5386&lt;&gt;""), HYPERLINK("#'" &amp; C5386 &amp; "'!" &amp; H5386, H5386), "")</f>
        <v>0</v>
      </c>
    </row>
    <row r="5387" spans="2:2">
      <c r="B5387" s="21">
        <f>IF(AND(C5387&lt;&gt;"", H5387&lt;&gt;""), HYPERLINK("#'" &amp; C5387 &amp; "'!" &amp; H5387, H5387), "")</f>
        <v>0</v>
      </c>
    </row>
    <row r="5388" spans="2:2">
      <c r="B5388" s="21">
        <f>IF(AND(C5388&lt;&gt;"", H5388&lt;&gt;""), HYPERLINK("#'" &amp; C5388 &amp; "'!" &amp; H5388, H5388), "")</f>
        <v>0</v>
      </c>
    </row>
    <row r="5389" spans="2:2">
      <c r="B5389" s="21">
        <f>IF(AND(C5389&lt;&gt;"", H5389&lt;&gt;""), HYPERLINK("#'" &amp; C5389 &amp; "'!" &amp; H5389, H5389), "")</f>
        <v>0</v>
      </c>
    </row>
    <row r="5390" spans="2:2">
      <c r="B5390" s="21">
        <f>IF(AND(C5390&lt;&gt;"", H5390&lt;&gt;""), HYPERLINK("#'" &amp; C5390 &amp; "'!" &amp; H5390, H5390), "")</f>
        <v>0</v>
      </c>
    </row>
    <row r="5391" spans="2:2">
      <c r="B5391" s="21">
        <f>IF(AND(C5391&lt;&gt;"", H5391&lt;&gt;""), HYPERLINK("#'" &amp; C5391 &amp; "'!" &amp; H5391, H5391), "")</f>
        <v>0</v>
      </c>
    </row>
    <row r="5392" spans="2:2">
      <c r="B5392" s="21">
        <f>IF(AND(C5392&lt;&gt;"", H5392&lt;&gt;""), HYPERLINK("#'" &amp; C5392 &amp; "'!" &amp; H5392, H5392), "")</f>
        <v>0</v>
      </c>
    </row>
    <row r="5393" spans="2:2">
      <c r="B5393" s="21">
        <f>IF(AND(C5393&lt;&gt;"", H5393&lt;&gt;""), HYPERLINK("#'" &amp; C5393 &amp; "'!" &amp; H5393, H5393), "")</f>
        <v>0</v>
      </c>
    </row>
    <row r="5394" spans="2:2">
      <c r="B5394" s="21">
        <f>IF(AND(C5394&lt;&gt;"", H5394&lt;&gt;""), HYPERLINK("#'" &amp; C5394 &amp; "'!" &amp; H5394, H5394), "")</f>
        <v>0</v>
      </c>
    </row>
    <row r="5395" spans="2:2">
      <c r="B5395" s="21">
        <f>IF(AND(C5395&lt;&gt;"", H5395&lt;&gt;""), HYPERLINK("#'" &amp; C5395 &amp; "'!" &amp; H5395, H5395), "")</f>
        <v>0</v>
      </c>
    </row>
    <row r="5396" spans="2:2">
      <c r="B5396" s="21">
        <f>IF(AND(C5396&lt;&gt;"", H5396&lt;&gt;""), HYPERLINK("#'" &amp; C5396 &amp; "'!" &amp; H5396, H5396), "")</f>
        <v>0</v>
      </c>
    </row>
    <row r="5397" spans="2:2">
      <c r="B5397" s="21">
        <f>IF(AND(C5397&lt;&gt;"", H5397&lt;&gt;""), HYPERLINK("#'" &amp; C5397 &amp; "'!" &amp; H5397, H5397), "")</f>
        <v>0</v>
      </c>
    </row>
    <row r="5398" spans="2:2">
      <c r="B5398" s="21">
        <f>IF(AND(C5398&lt;&gt;"", H5398&lt;&gt;""), HYPERLINK("#'" &amp; C5398 &amp; "'!" &amp; H5398, H5398), "")</f>
        <v>0</v>
      </c>
    </row>
    <row r="5399" spans="2:2">
      <c r="B5399" s="21">
        <f>IF(AND(C5399&lt;&gt;"", H5399&lt;&gt;""), HYPERLINK("#'" &amp; C5399 &amp; "'!" &amp; H5399, H5399), "")</f>
        <v>0</v>
      </c>
    </row>
    <row r="5400" spans="2:2">
      <c r="B5400" s="21">
        <f>IF(AND(C5400&lt;&gt;"", H5400&lt;&gt;""), HYPERLINK("#'" &amp; C5400 &amp; "'!" &amp; H5400, H5400), "")</f>
        <v>0</v>
      </c>
    </row>
    <row r="5401" spans="2:2">
      <c r="B5401" s="21">
        <f>IF(AND(C5401&lt;&gt;"", H5401&lt;&gt;""), HYPERLINK("#'" &amp; C5401 &amp; "'!" &amp; H5401, H5401), "")</f>
        <v>0</v>
      </c>
    </row>
    <row r="5402" spans="2:2">
      <c r="B5402" s="21">
        <f>IF(AND(C5402&lt;&gt;"", H5402&lt;&gt;""), HYPERLINK("#'" &amp; C5402 &amp; "'!" &amp; H5402, H5402), "")</f>
        <v>0</v>
      </c>
    </row>
    <row r="5403" spans="2:2">
      <c r="B5403" s="21">
        <f>IF(AND(C5403&lt;&gt;"", H5403&lt;&gt;""), HYPERLINK("#'" &amp; C5403 &amp; "'!" &amp; H5403, H5403), "")</f>
        <v>0</v>
      </c>
    </row>
    <row r="5404" spans="2:2">
      <c r="B5404" s="21">
        <f>IF(AND(C5404&lt;&gt;"", H5404&lt;&gt;""), HYPERLINK("#'" &amp; C5404 &amp; "'!" &amp; H5404, H5404), "")</f>
        <v>0</v>
      </c>
    </row>
    <row r="5405" spans="2:2">
      <c r="B5405" s="21">
        <f>IF(AND(C5405&lt;&gt;"", H5405&lt;&gt;""), HYPERLINK("#'" &amp; C5405 &amp; "'!" &amp; H5405, H5405), "")</f>
        <v>0</v>
      </c>
    </row>
    <row r="5406" spans="2:2">
      <c r="B5406" s="21">
        <f>IF(AND(C5406&lt;&gt;"", H5406&lt;&gt;""), HYPERLINK("#'" &amp; C5406 &amp; "'!" &amp; H5406, H5406), "")</f>
        <v>0</v>
      </c>
    </row>
    <row r="5407" spans="2:2">
      <c r="B5407" s="21">
        <f>IF(AND(C5407&lt;&gt;"", H5407&lt;&gt;""), HYPERLINK("#'" &amp; C5407 &amp; "'!" &amp; H5407, H5407), "")</f>
        <v>0</v>
      </c>
    </row>
    <row r="5408" spans="2:2">
      <c r="B5408" s="21">
        <f>IF(AND(C5408&lt;&gt;"", H5408&lt;&gt;""), HYPERLINK("#'" &amp; C5408 &amp; "'!" &amp; H5408, H5408), "")</f>
        <v>0</v>
      </c>
    </row>
    <row r="5409" spans="2:2">
      <c r="B5409" s="21">
        <f>IF(AND(C5409&lt;&gt;"", H5409&lt;&gt;""), HYPERLINK("#'" &amp; C5409 &amp; "'!" &amp; H5409, H5409), "")</f>
        <v>0</v>
      </c>
    </row>
    <row r="5410" spans="2:2">
      <c r="B5410" s="21">
        <f>IF(AND(C5410&lt;&gt;"", H5410&lt;&gt;""), HYPERLINK("#'" &amp; C5410 &amp; "'!" &amp; H5410, H5410), "")</f>
        <v>0</v>
      </c>
    </row>
    <row r="5411" spans="2:2">
      <c r="B5411" s="21">
        <f>IF(AND(C5411&lt;&gt;"", H5411&lt;&gt;""), HYPERLINK("#'" &amp; C5411 &amp; "'!" &amp; H5411, H5411), "")</f>
        <v>0</v>
      </c>
    </row>
    <row r="5412" spans="2:2">
      <c r="B5412" s="21">
        <f>IF(AND(C5412&lt;&gt;"", H5412&lt;&gt;""), HYPERLINK("#'" &amp; C5412 &amp; "'!" &amp; H5412, H5412), "")</f>
        <v>0</v>
      </c>
    </row>
    <row r="5413" spans="2:2">
      <c r="B5413" s="21">
        <f>IF(AND(C5413&lt;&gt;"", H5413&lt;&gt;""), HYPERLINK("#'" &amp; C5413 &amp; "'!" &amp; H5413, H5413), "")</f>
        <v>0</v>
      </c>
    </row>
    <row r="5414" spans="2:2">
      <c r="B5414" s="21">
        <f>IF(AND(C5414&lt;&gt;"", H5414&lt;&gt;""), HYPERLINK("#'" &amp; C5414 &amp; "'!" &amp; H5414, H5414), "")</f>
        <v>0</v>
      </c>
    </row>
    <row r="5415" spans="2:2">
      <c r="B5415" s="21">
        <f>IF(AND(C5415&lt;&gt;"", H5415&lt;&gt;""), HYPERLINK("#'" &amp; C5415 &amp; "'!" &amp; H5415, H5415), "")</f>
        <v>0</v>
      </c>
    </row>
    <row r="5416" spans="2:2">
      <c r="B5416" s="21">
        <f>IF(AND(C5416&lt;&gt;"", H5416&lt;&gt;""), HYPERLINK("#'" &amp; C5416 &amp; "'!" &amp; H5416, H5416), "")</f>
        <v>0</v>
      </c>
    </row>
    <row r="5417" spans="2:2">
      <c r="B5417" s="21">
        <f>IF(AND(C5417&lt;&gt;"", H5417&lt;&gt;""), HYPERLINK("#'" &amp; C5417 &amp; "'!" &amp; H5417, H5417), "")</f>
        <v>0</v>
      </c>
    </row>
    <row r="5418" spans="2:2">
      <c r="B5418" s="21">
        <f>IF(AND(C5418&lt;&gt;"", H5418&lt;&gt;""), HYPERLINK("#'" &amp; C5418 &amp; "'!" &amp; H5418, H5418), "")</f>
        <v>0</v>
      </c>
    </row>
    <row r="5419" spans="2:2">
      <c r="B5419" s="21">
        <f>IF(AND(C5419&lt;&gt;"", H5419&lt;&gt;""), HYPERLINK("#'" &amp; C5419 &amp; "'!" &amp; H5419, H5419), "")</f>
        <v>0</v>
      </c>
    </row>
    <row r="5420" spans="2:2">
      <c r="B5420" s="21">
        <f>IF(AND(C5420&lt;&gt;"", H5420&lt;&gt;""), HYPERLINK("#'" &amp; C5420 &amp; "'!" &amp; H5420, H5420), "")</f>
        <v>0</v>
      </c>
    </row>
    <row r="5421" spans="2:2">
      <c r="B5421" s="21">
        <f>IF(AND(C5421&lt;&gt;"", H5421&lt;&gt;""), HYPERLINK("#'" &amp; C5421 &amp; "'!" &amp; H5421, H5421), "")</f>
        <v>0</v>
      </c>
    </row>
    <row r="5422" spans="2:2">
      <c r="B5422" s="21">
        <f>IF(AND(C5422&lt;&gt;"", H5422&lt;&gt;""), HYPERLINK("#'" &amp; C5422 &amp; "'!" &amp; H5422, H5422), "")</f>
        <v>0</v>
      </c>
    </row>
    <row r="5423" spans="2:2">
      <c r="B5423" s="21">
        <f>IF(AND(C5423&lt;&gt;"", H5423&lt;&gt;""), HYPERLINK("#'" &amp; C5423 &amp; "'!" &amp; H5423, H5423), "")</f>
        <v>0</v>
      </c>
    </row>
    <row r="5424" spans="2:2">
      <c r="B5424" s="21">
        <f>IF(AND(C5424&lt;&gt;"", H5424&lt;&gt;""), HYPERLINK("#'" &amp; C5424 &amp; "'!" &amp; H5424, H5424), "")</f>
        <v>0</v>
      </c>
    </row>
    <row r="5425" spans="2:2">
      <c r="B5425" s="21">
        <f>IF(AND(C5425&lt;&gt;"", H5425&lt;&gt;""), HYPERLINK("#'" &amp; C5425 &amp; "'!" &amp; H5425, H5425), "")</f>
        <v>0</v>
      </c>
    </row>
    <row r="5426" spans="2:2">
      <c r="B5426" s="21">
        <f>IF(AND(C5426&lt;&gt;"", H5426&lt;&gt;""), HYPERLINK("#'" &amp; C5426 &amp; "'!" &amp; H5426, H5426), "")</f>
        <v>0</v>
      </c>
    </row>
    <row r="5427" spans="2:2">
      <c r="B5427" s="21">
        <f>IF(AND(C5427&lt;&gt;"", H5427&lt;&gt;""), HYPERLINK("#'" &amp; C5427 &amp; "'!" &amp; H5427, H5427), "")</f>
        <v>0</v>
      </c>
    </row>
    <row r="5428" spans="2:2">
      <c r="B5428" s="21">
        <f>IF(AND(C5428&lt;&gt;"", H5428&lt;&gt;""), HYPERLINK("#'" &amp; C5428 &amp; "'!" &amp; H5428, H5428), "")</f>
        <v>0</v>
      </c>
    </row>
    <row r="5429" spans="2:2">
      <c r="B5429" s="21">
        <f>IF(AND(C5429&lt;&gt;"", H5429&lt;&gt;""), HYPERLINK("#'" &amp; C5429 &amp; "'!" &amp; H5429, H5429), "")</f>
        <v>0</v>
      </c>
    </row>
    <row r="5430" spans="2:2">
      <c r="B5430" s="21">
        <f>IF(AND(C5430&lt;&gt;"", H5430&lt;&gt;""), HYPERLINK("#'" &amp; C5430 &amp; "'!" &amp; H5430, H5430), "")</f>
        <v>0</v>
      </c>
    </row>
    <row r="5431" spans="2:2">
      <c r="B5431" s="21">
        <f>IF(AND(C5431&lt;&gt;"", H5431&lt;&gt;""), HYPERLINK("#'" &amp; C5431 &amp; "'!" &amp; H5431, H5431), "")</f>
        <v>0</v>
      </c>
    </row>
    <row r="5432" spans="2:2">
      <c r="B5432" s="21">
        <f>IF(AND(C5432&lt;&gt;"", H5432&lt;&gt;""), HYPERLINK("#'" &amp; C5432 &amp; "'!" &amp; H5432, H5432), "")</f>
        <v>0</v>
      </c>
    </row>
    <row r="5433" spans="2:2">
      <c r="B5433" s="21">
        <f>IF(AND(C5433&lt;&gt;"", H5433&lt;&gt;""), HYPERLINK("#'" &amp; C5433 &amp; "'!" &amp; H5433, H5433), "")</f>
        <v>0</v>
      </c>
    </row>
    <row r="5434" spans="2:2">
      <c r="B5434" s="21">
        <f>IF(AND(C5434&lt;&gt;"", H5434&lt;&gt;""), HYPERLINK("#'" &amp; C5434 &amp; "'!" &amp; H5434, H5434), "")</f>
        <v>0</v>
      </c>
    </row>
    <row r="5435" spans="2:2">
      <c r="B5435" s="21">
        <f>IF(AND(C5435&lt;&gt;"", H5435&lt;&gt;""), HYPERLINK("#'" &amp; C5435 &amp; "'!" &amp; H5435, H5435), "")</f>
        <v>0</v>
      </c>
    </row>
    <row r="5436" spans="2:2">
      <c r="B5436" s="21">
        <f>IF(AND(C5436&lt;&gt;"", H5436&lt;&gt;""), HYPERLINK("#'" &amp; C5436 &amp; "'!" &amp; H5436, H5436), "")</f>
        <v>0</v>
      </c>
    </row>
    <row r="5437" spans="2:2">
      <c r="B5437" s="21">
        <f>IF(AND(C5437&lt;&gt;"", H5437&lt;&gt;""), HYPERLINK("#'" &amp; C5437 &amp; "'!" &amp; H5437, H5437), "")</f>
        <v>0</v>
      </c>
    </row>
    <row r="5438" spans="2:2">
      <c r="B5438" s="21">
        <f>IF(AND(C5438&lt;&gt;"", H5438&lt;&gt;""), HYPERLINK("#'" &amp; C5438 &amp; "'!" &amp; H5438, H5438), "")</f>
        <v>0</v>
      </c>
    </row>
    <row r="5439" spans="2:2">
      <c r="B5439" s="21">
        <f>IF(AND(C5439&lt;&gt;"", H5439&lt;&gt;""), HYPERLINK("#'" &amp; C5439 &amp; "'!" &amp; H5439, H5439), "")</f>
        <v>0</v>
      </c>
    </row>
    <row r="5440" spans="2:2">
      <c r="B5440" s="21">
        <f>IF(AND(C5440&lt;&gt;"", H5440&lt;&gt;""), HYPERLINK("#'" &amp; C5440 &amp; "'!" &amp; H5440, H5440), "")</f>
        <v>0</v>
      </c>
    </row>
    <row r="5441" spans="2:2">
      <c r="B5441" s="21">
        <f>IF(AND(C5441&lt;&gt;"", H5441&lt;&gt;""), HYPERLINK("#'" &amp; C5441 &amp; "'!" &amp; H5441, H5441), "")</f>
        <v>0</v>
      </c>
    </row>
    <row r="5442" spans="2:2">
      <c r="B5442" s="21">
        <f>IF(AND(C5442&lt;&gt;"", H5442&lt;&gt;""), HYPERLINK("#'" &amp; C5442 &amp; "'!" &amp; H5442, H5442), "")</f>
        <v>0</v>
      </c>
    </row>
    <row r="5443" spans="2:2">
      <c r="B5443" s="21">
        <f>IF(AND(C5443&lt;&gt;"", H5443&lt;&gt;""), HYPERLINK("#'" &amp; C5443 &amp; "'!" &amp; H5443, H5443), "")</f>
        <v>0</v>
      </c>
    </row>
    <row r="5444" spans="2:2">
      <c r="B5444" s="21">
        <f>IF(AND(C5444&lt;&gt;"", H5444&lt;&gt;""), HYPERLINK("#'" &amp; C5444 &amp; "'!" &amp; H5444, H5444), "")</f>
        <v>0</v>
      </c>
    </row>
    <row r="5445" spans="2:2">
      <c r="B5445" s="21">
        <f>IF(AND(C5445&lt;&gt;"", H5445&lt;&gt;""), HYPERLINK("#'" &amp; C5445 &amp; "'!" &amp; H5445, H5445), "")</f>
        <v>0</v>
      </c>
    </row>
    <row r="5446" spans="2:2">
      <c r="B5446" s="21">
        <f>IF(AND(C5446&lt;&gt;"", H5446&lt;&gt;""), HYPERLINK("#'" &amp; C5446 &amp; "'!" &amp; H5446, H5446), "")</f>
        <v>0</v>
      </c>
    </row>
    <row r="5447" spans="2:2">
      <c r="B5447" s="21">
        <f>IF(AND(C5447&lt;&gt;"", H5447&lt;&gt;""), HYPERLINK("#'" &amp; C5447 &amp; "'!" &amp; H5447, H5447), "")</f>
        <v>0</v>
      </c>
    </row>
    <row r="5448" spans="2:2">
      <c r="B5448" s="21">
        <f>IF(AND(C5448&lt;&gt;"", H5448&lt;&gt;""), HYPERLINK("#'" &amp; C5448 &amp; "'!" &amp; H5448, H5448), "")</f>
        <v>0</v>
      </c>
    </row>
    <row r="5449" spans="2:2">
      <c r="B5449" s="21">
        <f>IF(AND(C5449&lt;&gt;"", H5449&lt;&gt;""), HYPERLINK("#'" &amp; C5449 &amp; "'!" &amp; H5449, H5449), "")</f>
        <v>0</v>
      </c>
    </row>
    <row r="5450" spans="2:2">
      <c r="B5450" s="21">
        <f>IF(AND(C5450&lt;&gt;"", H5450&lt;&gt;""), HYPERLINK("#'" &amp; C5450 &amp; "'!" &amp; H5450, H5450), "")</f>
        <v>0</v>
      </c>
    </row>
    <row r="5451" spans="2:2">
      <c r="B5451" s="21">
        <f>IF(AND(C5451&lt;&gt;"", H5451&lt;&gt;""), HYPERLINK("#'" &amp; C5451 &amp; "'!" &amp; H5451, H5451), "")</f>
        <v>0</v>
      </c>
    </row>
    <row r="5452" spans="2:2">
      <c r="B5452" s="21">
        <f>IF(AND(C5452&lt;&gt;"", H5452&lt;&gt;""), HYPERLINK("#'" &amp; C5452 &amp; "'!" &amp; H5452, H5452), "")</f>
        <v>0</v>
      </c>
    </row>
    <row r="5453" spans="2:2">
      <c r="B5453" s="21">
        <f>IF(AND(C5453&lt;&gt;"", H5453&lt;&gt;""), HYPERLINK("#'" &amp; C5453 &amp; "'!" &amp; H5453, H5453), "")</f>
        <v>0</v>
      </c>
    </row>
    <row r="5454" spans="2:2">
      <c r="B5454" s="21">
        <f>IF(AND(C5454&lt;&gt;"", H5454&lt;&gt;""), HYPERLINK("#'" &amp; C5454 &amp; "'!" &amp; H5454, H5454), "")</f>
        <v>0</v>
      </c>
    </row>
    <row r="5455" spans="2:2">
      <c r="B5455" s="21">
        <f>IF(AND(C5455&lt;&gt;"", H5455&lt;&gt;""), HYPERLINK("#'" &amp; C5455 &amp; "'!" &amp; H5455, H5455), "")</f>
        <v>0</v>
      </c>
    </row>
    <row r="5456" spans="2:2">
      <c r="B5456" s="21">
        <f>IF(AND(C5456&lt;&gt;"", H5456&lt;&gt;""), HYPERLINK("#'" &amp; C5456 &amp; "'!" &amp; H5456, H5456), "")</f>
        <v>0</v>
      </c>
    </row>
    <row r="5457" spans="2:2">
      <c r="B5457" s="21">
        <f>IF(AND(C5457&lt;&gt;"", H5457&lt;&gt;""), HYPERLINK("#'" &amp; C5457 &amp; "'!" &amp; H5457, H5457), "")</f>
        <v>0</v>
      </c>
    </row>
    <row r="5458" spans="2:2">
      <c r="B5458" s="21">
        <f>IF(AND(C5458&lt;&gt;"", H5458&lt;&gt;""), HYPERLINK("#'" &amp; C5458 &amp; "'!" &amp; H5458, H5458), "")</f>
        <v>0</v>
      </c>
    </row>
    <row r="5459" spans="2:2">
      <c r="B5459" s="21">
        <f>IF(AND(C5459&lt;&gt;"", H5459&lt;&gt;""), HYPERLINK("#'" &amp; C5459 &amp; "'!" &amp; H5459, H5459), "")</f>
        <v>0</v>
      </c>
    </row>
    <row r="5460" spans="2:2">
      <c r="B5460" s="21">
        <f>IF(AND(C5460&lt;&gt;"", H5460&lt;&gt;""), HYPERLINK("#'" &amp; C5460 &amp; "'!" &amp; H5460, H5460), "")</f>
        <v>0</v>
      </c>
    </row>
    <row r="5461" spans="2:2">
      <c r="B5461" s="21">
        <f>IF(AND(C5461&lt;&gt;"", H5461&lt;&gt;""), HYPERLINK("#'" &amp; C5461 &amp; "'!" &amp; H5461, H5461), "")</f>
        <v>0</v>
      </c>
    </row>
    <row r="5462" spans="2:2">
      <c r="B5462" s="21">
        <f>IF(AND(C5462&lt;&gt;"", H5462&lt;&gt;""), HYPERLINK("#'" &amp; C5462 &amp; "'!" &amp; H5462, H5462), "")</f>
        <v>0</v>
      </c>
    </row>
    <row r="5463" spans="2:2">
      <c r="B5463" s="21">
        <f>IF(AND(C5463&lt;&gt;"", H5463&lt;&gt;""), HYPERLINK("#'" &amp; C5463 &amp; "'!" &amp; H5463, H5463), "")</f>
        <v>0</v>
      </c>
    </row>
    <row r="5464" spans="2:2">
      <c r="B5464" s="21">
        <f>IF(AND(C5464&lt;&gt;"", H5464&lt;&gt;""), HYPERLINK("#'" &amp; C5464 &amp; "'!" &amp; H5464, H5464), "")</f>
        <v>0</v>
      </c>
    </row>
    <row r="5465" spans="2:2">
      <c r="B5465" s="21">
        <f>IF(AND(C5465&lt;&gt;"", H5465&lt;&gt;""), HYPERLINK("#'" &amp; C5465 &amp; "'!" &amp; H5465, H5465), "")</f>
        <v>0</v>
      </c>
    </row>
    <row r="5466" spans="2:2">
      <c r="B5466" s="21">
        <f>IF(AND(C5466&lt;&gt;"", H5466&lt;&gt;""), HYPERLINK("#'" &amp; C5466 &amp; "'!" &amp; H5466, H5466), "")</f>
        <v>0</v>
      </c>
    </row>
    <row r="5467" spans="2:2">
      <c r="B5467" s="21">
        <f>IF(AND(C5467&lt;&gt;"", H5467&lt;&gt;""), HYPERLINK("#'" &amp; C5467 &amp; "'!" &amp; H5467, H5467), "")</f>
        <v>0</v>
      </c>
    </row>
    <row r="5468" spans="2:2">
      <c r="B5468" s="21">
        <f>IF(AND(C5468&lt;&gt;"", H5468&lt;&gt;""), HYPERLINK("#'" &amp; C5468 &amp; "'!" &amp; H5468, H5468), "")</f>
        <v>0</v>
      </c>
    </row>
    <row r="5469" spans="2:2">
      <c r="B5469" s="21">
        <f>IF(AND(C5469&lt;&gt;"", H5469&lt;&gt;""), HYPERLINK("#'" &amp; C5469 &amp; "'!" &amp; H5469, H5469), "")</f>
        <v>0</v>
      </c>
    </row>
    <row r="5470" spans="2:2">
      <c r="B5470" s="21">
        <f>IF(AND(C5470&lt;&gt;"", H5470&lt;&gt;""), HYPERLINK("#'" &amp; C5470 &amp; "'!" &amp; H5470, H5470), "")</f>
        <v>0</v>
      </c>
    </row>
    <row r="5471" spans="2:2">
      <c r="B5471" s="21">
        <f>IF(AND(C5471&lt;&gt;"", H5471&lt;&gt;""), HYPERLINK("#'" &amp; C5471 &amp; "'!" &amp; H5471, H5471), "")</f>
        <v>0</v>
      </c>
    </row>
    <row r="5472" spans="2:2">
      <c r="B5472" s="21">
        <f>IF(AND(C5472&lt;&gt;"", H5472&lt;&gt;""), HYPERLINK("#'" &amp; C5472 &amp; "'!" &amp; H5472, H5472), "")</f>
        <v>0</v>
      </c>
    </row>
    <row r="5473" spans="2:2">
      <c r="B5473" s="21">
        <f>IF(AND(C5473&lt;&gt;"", H5473&lt;&gt;""), HYPERLINK("#'" &amp; C5473 &amp; "'!" &amp; H5473, H5473), "")</f>
        <v>0</v>
      </c>
    </row>
    <row r="5474" spans="2:2">
      <c r="B5474" s="21">
        <f>IF(AND(C5474&lt;&gt;"", H5474&lt;&gt;""), HYPERLINK("#'" &amp; C5474 &amp; "'!" &amp; H5474, H5474), "")</f>
        <v>0</v>
      </c>
    </row>
    <row r="5475" spans="2:2">
      <c r="B5475" s="21">
        <f>IF(AND(C5475&lt;&gt;"", H5475&lt;&gt;""), HYPERLINK("#'" &amp; C5475 &amp; "'!" &amp; H5475, H5475), "")</f>
        <v>0</v>
      </c>
    </row>
    <row r="5476" spans="2:2">
      <c r="B5476" s="21">
        <f>IF(AND(C5476&lt;&gt;"", H5476&lt;&gt;""), HYPERLINK("#'" &amp; C5476 &amp; "'!" &amp; H5476, H5476), "")</f>
        <v>0</v>
      </c>
    </row>
    <row r="5477" spans="2:2">
      <c r="B5477" s="21">
        <f>IF(AND(C5477&lt;&gt;"", H5477&lt;&gt;""), HYPERLINK("#'" &amp; C5477 &amp; "'!" &amp; H5477, H5477), "")</f>
        <v>0</v>
      </c>
    </row>
    <row r="5478" spans="2:2">
      <c r="B5478" s="21">
        <f>IF(AND(C5478&lt;&gt;"", H5478&lt;&gt;""), HYPERLINK("#'" &amp; C5478 &amp; "'!" &amp; H5478, H5478), "")</f>
        <v>0</v>
      </c>
    </row>
    <row r="5479" spans="2:2">
      <c r="B5479" s="21">
        <f>IF(AND(C5479&lt;&gt;"", H5479&lt;&gt;""), HYPERLINK("#'" &amp; C5479 &amp; "'!" &amp; H5479, H5479), "")</f>
        <v>0</v>
      </c>
    </row>
    <row r="5480" spans="2:2">
      <c r="B5480" s="21">
        <f>IF(AND(C5480&lt;&gt;"", H5480&lt;&gt;""), HYPERLINK("#'" &amp; C5480 &amp; "'!" &amp; H5480, H5480), "")</f>
        <v>0</v>
      </c>
    </row>
    <row r="5481" spans="2:2">
      <c r="B5481" s="21">
        <f>IF(AND(C5481&lt;&gt;"", H5481&lt;&gt;""), HYPERLINK("#'" &amp; C5481 &amp; "'!" &amp; H5481, H5481), "")</f>
        <v>0</v>
      </c>
    </row>
    <row r="5482" spans="2:2">
      <c r="B5482" s="21">
        <f>IF(AND(C5482&lt;&gt;"", H5482&lt;&gt;""), HYPERLINK("#'" &amp; C5482 &amp; "'!" &amp; H5482, H5482), "")</f>
        <v>0</v>
      </c>
    </row>
    <row r="5483" spans="2:2">
      <c r="B5483" s="21">
        <f>IF(AND(C5483&lt;&gt;"", H5483&lt;&gt;""), HYPERLINK("#'" &amp; C5483 &amp; "'!" &amp; H5483, H5483), "")</f>
        <v>0</v>
      </c>
    </row>
    <row r="5484" spans="2:2">
      <c r="B5484" s="21">
        <f>IF(AND(C5484&lt;&gt;"", H5484&lt;&gt;""), HYPERLINK("#'" &amp; C5484 &amp; "'!" &amp; H5484, H5484), "")</f>
        <v>0</v>
      </c>
    </row>
    <row r="5485" spans="2:2">
      <c r="B5485" s="21">
        <f>IF(AND(C5485&lt;&gt;"", H5485&lt;&gt;""), HYPERLINK("#'" &amp; C5485 &amp; "'!" &amp; H5485, H5485), "")</f>
        <v>0</v>
      </c>
    </row>
    <row r="5486" spans="2:2">
      <c r="B5486" s="21">
        <f>IF(AND(C5486&lt;&gt;"", H5486&lt;&gt;""), HYPERLINK("#'" &amp; C5486 &amp; "'!" &amp; H5486, H5486), "")</f>
        <v>0</v>
      </c>
    </row>
    <row r="5487" spans="2:2">
      <c r="B5487" s="21">
        <f>IF(AND(C5487&lt;&gt;"", H5487&lt;&gt;""), HYPERLINK("#'" &amp; C5487 &amp; "'!" &amp; H5487, H5487), "")</f>
        <v>0</v>
      </c>
    </row>
    <row r="5488" spans="2:2">
      <c r="B5488" s="21">
        <f>IF(AND(C5488&lt;&gt;"", H5488&lt;&gt;""), HYPERLINK("#'" &amp; C5488 &amp; "'!" &amp; H5488, H5488), "")</f>
        <v>0</v>
      </c>
    </row>
    <row r="5489" spans="2:2">
      <c r="B5489" s="21">
        <f>IF(AND(C5489&lt;&gt;"", H5489&lt;&gt;""), HYPERLINK("#'" &amp; C5489 &amp; "'!" &amp; H5489, H5489), "")</f>
        <v>0</v>
      </c>
    </row>
    <row r="5490" spans="2:2">
      <c r="B5490" s="21">
        <f>IF(AND(C5490&lt;&gt;"", H5490&lt;&gt;""), HYPERLINK("#'" &amp; C5490 &amp; "'!" &amp; H5490, H5490), "")</f>
        <v>0</v>
      </c>
    </row>
    <row r="5491" spans="2:2">
      <c r="B5491" s="21">
        <f>IF(AND(C5491&lt;&gt;"", H5491&lt;&gt;""), HYPERLINK("#'" &amp; C5491 &amp; "'!" &amp; H5491, H5491), "")</f>
        <v>0</v>
      </c>
    </row>
    <row r="5492" spans="2:2">
      <c r="B5492" s="21">
        <f>IF(AND(C5492&lt;&gt;"", H5492&lt;&gt;""), HYPERLINK("#'" &amp; C5492 &amp; "'!" &amp; H5492, H5492), "")</f>
        <v>0</v>
      </c>
    </row>
    <row r="5493" spans="2:2">
      <c r="B5493" s="21">
        <f>IF(AND(C5493&lt;&gt;"", H5493&lt;&gt;""), HYPERLINK("#'" &amp; C5493 &amp; "'!" &amp; H5493, H5493), "")</f>
        <v>0</v>
      </c>
    </row>
    <row r="5494" spans="2:2">
      <c r="B5494" s="21">
        <f>IF(AND(C5494&lt;&gt;"", H5494&lt;&gt;""), HYPERLINK("#'" &amp; C5494 &amp; "'!" &amp; H5494, H5494), "")</f>
        <v>0</v>
      </c>
    </row>
    <row r="5495" spans="2:2">
      <c r="B5495" s="21">
        <f>IF(AND(C5495&lt;&gt;"", H5495&lt;&gt;""), HYPERLINK("#'" &amp; C5495 &amp; "'!" &amp; H5495, H5495), "")</f>
        <v>0</v>
      </c>
    </row>
    <row r="5496" spans="2:2">
      <c r="B5496" s="21">
        <f>IF(AND(C5496&lt;&gt;"", H5496&lt;&gt;""), HYPERLINK("#'" &amp; C5496 &amp; "'!" &amp; H5496, H5496), "")</f>
        <v>0</v>
      </c>
    </row>
    <row r="5497" spans="2:2">
      <c r="B5497" s="21">
        <f>IF(AND(C5497&lt;&gt;"", H5497&lt;&gt;""), HYPERLINK("#'" &amp; C5497 &amp; "'!" &amp; H5497, H5497), "")</f>
        <v>0</v>
      </c>
    </row>
    <row r="5498" spans="2:2">
      <c r="B5498" s="21">
        <f>IF(AND(C5498&lt;&gt;"", H5498&lt;&gt;""), HYPERLINK("#'" &amp; C5498 &amp; "'!" &amp; H5498, H5498), "")</f>
        <v>0</v>
      </c>
    </row>
    <row r="5499" spans="2:2">
      <c r="B5499" s="21">
        <f>IF(AND(C5499&lt;&gt;"", H5499&lt;&gt;""), HYPERLINK("#'" &amp; C5499 &amp; "'!" &amp; H5499, H5499), "")</f>
        <v>0</v>
      </c>
    </row>
    <row r="5500" spans="2:2">
      <c r="B5500" s="21">
        <f>IF(AND(C5500&lt;&gt;"", H5500&lt;&gt;""), HYPERLINK("#'" &amp; C5500 &amp; "'!" &amp; H5500, H5500), "")</f>
        <v>0</v>
      </c>
    </row>
    <row r="5501" spans="2:2">
      <c r="B5501" s="21">
        <f>IF(AND(C5501&lt;&gt;"", H5501&lt;&gt;""), HYPERLINK("#'" &amp; C5501 &amp; "'!" &amp; H5501, H5501), "")</f>
        <v>0</v>
      </c>
    </row>
    <row r="5502" spans="2:2">
      <c r="B5502" s="21">
        <f>IF(AND(C5502&lt;&gt;"", H5502&lt;&gt;""), HYPERLINK("#'" &amp; C5502 &amp; "'!" &amp; H5502, H5502), "")</f>
        <v>0</v>
      </c>
    </row>
    <row r="5503" spans="2:2">
      <c r="B5503" s="21">
        <f>IF(AND(C5503&lt;&gt;"", H5503&lt;&gt;""), HYPERLINK("#'" &amp; C5503 &amp; "'!" &amp; H5503, H5503), "")</f>
        <v>0</v>
      </c>
    </row>
    <row r="5504" spans="2:2">
      <c r="B5504" s="21">
        <f>IF(AND(C5504&lt;&gt;"", H5504&lt;&gt;""), HYPERLINK("#'" &amp; C5504 &amp; "'!" &amp; H5504, H5504), "")</f>
        <v>0</v>
      </c>
    </row>
    <row r="5505" spans="2:2">
      <c r="B5505" s="21">
        <f>IF(AND(C5505&lt;&gt;"", H5505&lt;&gt;""), HYPERLINK("#'" &amp; C5505 &amp; "'!" &amp; H5505, H5505), "")</f>
        <v>0</v>
      </c>
    </row>
    <row r="5506" spans="2:2">
      <c r="B5506" s="21">
        <f>IF(AND(C5506&lt;&gt;"", H5506&lt;&gt;""), HYPERLINK("#'" &amp; C5506 &amp; "'!" &amp; H5506, H5506), "")</f>
        <v>0</v>
      </c>
    </row>
    <row r="5507" spans="2:2">
      <c r="B5507" s="21">
        <f>IF(AND(C5507&lt;&gt;"", H5507&lt;&gt;""), HYPERLINK("#'" &amp; C5507 &amp; "'!" &amp; H5507, H5507), "")</f>
        <v>0</v>
      </c>
    </row>
    <row r="5508" spans="2:2">
      <c r="B5508" s="21">
        <f>IF(AND(C5508&lt;&gt;"", H5508&lt;&gt;""), HYPERLINK("#'" &amp; C5508 &amp; "'!" &amp; H5508, H5508), "")</f>
        <v>0</v>
      </c>
    </row>
    <row r="5509" spans="2:2">
      <c r="B5509" s="21">
        <f>IF(AND(C5509&lt;&gt;"", H5509&lt;&gt;""), HYPERLINK("#'" &amp; C5509 &amp; "'!" &amp; H5509, H5509), "")</f>
        <v>0</v>
      </c>
    </row>
    <row r="5510" spans="2:2">
      <c r="B5510" s="21">
        <f>IF(AND(C5510&lt;&gt;"", H5510&lt;&gt;""), HYPERLINK("#'" &amp; C5510 &amp; "'!" &amp; H5510, H5510), "")</f>
        <v>0</v>
      </c>
    </row>
    <row r="5511" spans="2:2">
      <c r="B5511" s="21">
        <f>IF(AND(C5511&lt;&gt;"", H5511&lt;&gt;""), HYPERLINK("#'" &amp; C5511 &amp; "'!" &amp; H5511, H5511), "")</f>
        <v>0</v>
      </c>
    </row>
    <row r="5512" spans="2:2">
      <c r="B5512" s="21">
        <f>IF(AND(C5512&lt;&gt;"", H5512&lt;&gt;""), HYPERLINK("#'" &amp; C5512 &amp; "'!" &amp; H5512, H5512), "")</f>
        <v>0</v>
      </c>
    </row>
    <row r="5513" spans="2:2">
      <c r="B5513" s="21">
        <f>IF(AND(C5513&lt;&gt;"", H5513&lt;&gt;""), HYPERLINK("#'" &amp; C5513 &amp; "'!" &amp; H5513, H5513), "")</f>
        <v>0</v>
      </c>
    </row>
    <row r="5514" spans="2:2">
      <c r="B5514" s="21">
        <f>IF(AND(C5514&lt;&gt;"", H5514&lt;&gt;""), HYPERLINK("#'" &amp; C5514 &amp; "'!" &amp; H5514, H5514), "")</f>
        <v>0</v>
      </c>
    </row>
    <row r="5515" spans="2:2">
      <c r="B5515" s="21">
        <f>IF(AND(C5515&lt;&gt;"", H5515&lt;&gt;""), HYPERLINK("#'" &amp; C5515 &amp; "'!" &amp; H5515, H5515), "")</f>
        <v>0</v>
      </c>
    </row>
    <row r="5516" spans="2:2">
      <c r="B5516" s="21">
        <f>IF(AND(C5516&lt;&gt;"", H5516&lt;&gt;""), HYPERLINK("#'" &amp; C5516 &amp; "'!" &amp; H5516, H5516), "")</f>
        <v>0</v>
      </c>
    </row>
    <row r="5517" spans="2:2">
      <c r="B5517" s="21">
        <f>IF(AND(C5517&lt;&gt;"", H5517&lt;&gt;""), HYPERLINK("#'" &amp; C5517 &amp; "'!" &amp; H5517, H5517), "")</f>
        <v>0</v>
      </c>
    </row>
    <row r="5518" spans="2:2">
      <c r="B5518" s="21">
        <f>IF(AND(C5518&lt;&gt;"", H5518&lt;&gt;""), HYPERLINK("#'" &amp; C5518 &amp; "'!" &amp; H5518, H5518), "")</f>
        <v>0</v>
      </c>
    </row>
    <row r="5519" spans="2:2">
      <c r="B5519" s="21">
        <f>IF(AND(C5519&lt;&gt;"", H5519&lt;&gt;""), HYPERLINK("#'" &amp; C5519 &amp; "'!" &amp; H5519, H5519), "")</f>
        <v>0</v>
      </c>
    </row>
    <row r="5520" spans="2:2">
      <c r="B5520" s="21">
        <f>IF(AND(C5520&lt;&gt;"", H5520&lt;&gt;""), HYPERLINK("#'" &amp; C5520 &amp; "'!" &amp; H5520, H5520), "")</f>
        <v>0</v>
      </c>
    </row>
    <row r="5521" spans="2:2">
      <c r="B5521" s="21">
        <f>IF(AND(C5521&lt;&gt;"", H5521&lt;&gt;""), HYPERLINK("#'" &amp; C5521 &amp; "'!" &amp; H5521, H5521), "")</f>
        <v>0</v>
      </c>
    </row>
    <row r="5522" spans="2:2">
      <c r="B5522" s="21">
        <f>IF(AND(C5522&lt;&gt;"", H5522&lt;&gt;""), HYPERLINK("#'" &amp; C5522 &amp; "'!" &amp; H5522, H5522), "")</f>
        <v>0</v>
      </c>
    </row>
    <row r="5523" spans="2:2">
      <c r="B5523" s="21">
        <f>IF(AND(C5523&lt;&gt;"", H5523&lt;&gt;""), HYPERLINK("#'" &amp; C5523 &amp; "'!" &amp; H5523, H5523), "")</f>
        <v>0</v>
      </c>
    </row>
    <row r="5524" spans="2:2">
      <c r="B5524" s="21">
        <f>IF(AND(C5524&lt;&gt;"", H5524&lt;&gt;""), HYPERLINK("#'" &amp; C5524 &amp; "'!" &amp; H5524, H5524), "")</f>
        <v>0</v>
      </c>
    </row>
    <row r="5525" spans="2:2">
      <c r="B5525" s="21">
        <f>IF(AND(C5525&lt;&gt;"", H5525&lt;&gt;""), HYPERLINK("#'" &amp; C5525 &amp; "'!" &amp; H5525, H5525), "")</f>
        <v>0</v>
      </c>
    </row>
    <row r="5526" spans="2:2">
      <c r="B5526" s="21">
        <f>IF(AND(C5526&lt;&gt;"", H5526&lt;&gt;""), HYPERLINK("#'" &amp; C5526 &amp; "'!" &amp; H5526, H5526), "")</f>
        <v>0</v>
      </c>
    </row>
    <row r="5527" spans="2:2">
      <c r="B5527" s="21">
        <f>IF(AND(C5527&lt;&gt;"", H5527&lt;&gt;""), HYPERLINK("#'" &amp; C5527 &amp; "'!" &amp; H5527, H5527), "")</f>
        <v>0</v>
      </c>
    </row>
    <row r="5528" spans="2:2">
      <c r="B5528" s="21">
        <f>IF(AND(C5528&lt;&gt;"", H5528&lt;&gt;""), HYPERLINK("#'" &amp; C5528 &amp; "'!" &amp; H5528, H5528), "")</f>
        <v>0</v>
      </c>
    </row>
    <row r="5529" spans="2:2">
      <c r="B5529" s="21">
        <f>IF(AND(C5529&lt;&gt;"", H5529&lt;&gt;""), HYPERLINK("#'" &amp; C5529 &amp; "'!" &amp; H5529, H5529), "")</f>
        <v>0</v>
      </c>
    </row>
    <row r="5530" spans="2:2">
      <c r="B5530" s="21">
        <f>IF(AND(C5530&lt;&gt;"", H5530&lt;&gt;""), HYPERLINK("#'" &amp; C5530 &amp; "'!" &amp; H5530, H5530), "")</f>
        <v>0</v>
      </c>
    </row>
    <row r="5531" spans="2:2">
      <c r="B5531" s="21">
        <f>IF(AND(C5531&lt;&gt;"", H5531&lt;&gt;""), HYPERLINK("#'" &amp; C5531 &amp; "'!" &amp; H5531, H5531), "")</f>
        <v>0</v>
      </c>
    </row>
    <row r="5532" spans="2:2">
      <c r="B5532" s="21">
        <f>IF(AND(C5532&lt;&gt;"", H5532&lt;&gt;""), HYPERLINK("#'" &amp; C5532 &amp; "'!" &amp; H5532, H5532), "")</f>
        <v>0</v>
      </c>
    </row>
    <row r="5533" spans="2:2">
      <c r="B5533" s="21">
        <f>IF(AND(C5533&lt;&gt;"", H5533&lt;&gt;""), HYPERLINK("#'" &amp; C5533 &amp; "'!" &amp; H5533, H5533), "")</f>
        <v>0</v>
      </c>
    </row>
    <row r="5534" spans="2:2">
      <c r="B5534" s="21">
        <f>IF(AND(C5534&lt;&gt;"", H5534&lt;&gt;""), HYPERLINK("#'" &amp; C5534 &amp; "'!" &amp; H5534, H5534), "")</f>
        <v>0</v>
      </c>
    </row>
    <row r="5535" spans="2:2">
      <c r="B5535" s="21">
        <f>IF(AND(C5535&lt;&gt;"", H5535&lt;&gt;""), HYPERLINK("#'" &amp; C5535 &amp; "'!" &amp; H5535, H5535), "")</f>
        <v>0</v>
      </c>
    </row>
    <row r="5536" spans="2:2">
      <c r="B5536" s="21">
        <f>IF(AND(C5536&lt;&gt;"", H5536&lt;&gt;""), HYPERLINK("#'" &amp; C5536 &amp; "'!" &amp; H5536, H5536), "")</f>
        <v>0</v>
      </c>
    </row>
    <row r="5537" spans="2:2">
      <c r="B5537" s="21">
        <f>IF(AND(C5537&lt;&gt;"", H5537&lt;&gt;""), HYPERLINK("#'" &amp; C5537 &amp; "'!" &amp; H5537, H5537), "")</f>
        <v>0</v>
      </c>
    </row>
    <row r="5538" spans="2:2">
      <c r="B5538" s="21">
        <f>IF(AND(C5538&lt;&gt;"", H5538&lt;&gt;""), HYPERLINK("#'" &amp; C5538 &amp; "'!" &amp; H5538, H5538), "")</f>
        <v>0</v>
      </c>
    </row>
    <row r="5539" spans="2:2">
      <c r="B5539" s="21">
        <f>IF(AND(C5539&lt;&gt;"", H5539&lt;&gt;""), HYPERLINK("#'" &amp; C5539 &amp; "'!" &amp; H5539, H5539), "")</f>
        <v>0</v>
      </c>
    </row>
    <row r="5540" spans="2:2">
      <c r="B5540" s="21">
        <f>IF(AND(C5540&lt;&gt;"", H5540&lt;&gt;""), HYPERLINK("#'" &amp; C5540 &amp; "'!" &amp; H5540, H5540), "")</f>
        <v>0</v>
      </c>
    </row>
    <row r="5541" spans="2:2">
      <c r="B5541" s="21">
        <f>IF(AND(C5541&lt;&gt;"", H5541&lt;&gt;""), HYPERLINK("#'" &amp; C5541 &amp; "'!" &amp; H5541, H5541), "")</f>
        <v>0</v>
      </c>
    </row>
    <row r="5542" spans="2:2">
      <c r="B5542" s="21">
        <f>IF(AND(C5542&lt;&gt;"", H5542&lt;&gt;""), HYPERLINK("#'" &amp; C5542 &amp; "'!" &amp; H5542, H5542), "")</f>
        <v>0</v>
      </c>
    </row>
    <row r="5543" spans="2:2">
      <c r="B5543" s="21">
        <f>IF(AND(C5543&lt;&gt;"", H5543&lt;&gt;""), HYPERLINK("#'" &amp; C5543 &amp; "'!" &amp; H5543, H5543), "")</f>
        <v>0</v>
      </c>
    </row>
    <row r="5544" spans="2:2">
      <c r="B5544" s="21">
        <f>IF(AND(C5544&lt;&gt;"", H5544&lt;&gt;""), HYPERLINK("#'" &amp; C5544 &amp; "'!" &amp; H5544, H5544), "")</f>
        <v>0</v>
      </c>
    </row>
    <row r="5545" spans="2:2">
      <c r="B5545" s="21">
        <f>IF(AND(C5545&lt;&gt;"", H5545&lt;&gt;""), HYPERLINK("#'" &amp; C5545 &amp; "'!" &amp; H5545, H5545), "")</f>
        <v>0</v>
      </c>
    </row>
    <row r="5546" spans="2:2">
      <c r="B5546" s="21">
        <f>IF(AND(C5546&lt;&gt;"", H5546&lt;&gt;""), HYPERLINK("#'" &amp; C5546 &amp; "'!" &amp; H5546, H5546), "")</f>
        <v>0</v>
      </c>
    </row>
    <row r="5547" spans="2:2">
      <c r="B5547" s="21">
        <f>IF(AND(C5547&lt;&gt;"", H5547&lt;&gt;""), HYPERLINK("#'" &amp; C5547 &amp; "'!" &amp; H5547, H5547), "")</f>
        <v>0</v>
      </c>
    </row>
    <row r="5548" spans="2:2">
      <c r="B5548" s="21">
        <f>IF(AND(C5548&lt;&gt;"", H5548&lt;&gt;""), HYPERLINK("#'" &amp; C5548 &amp; "'!" &amp; H5548, H5548), "")</f>
        <v>0</v>
      </c>
    </row>
    <row r="5549" spans="2:2">
      <c r="B5549" s="21">
        <f>IF(AND(C5549&lt;&gt;"", H5549&lt;&gt;""), HYPERLINK("#'" &amp; C5549 &amp; "'!" &amp; H5549, H5549), "")</f>
        <v>0</v>
      </c>
    </row>
    <row r="5550" spans="2:2">
      <c r="B5550" s="21">
        <f>IF(AND(C5550&lt;&gt;"", H5550&lt;&gt;""), HYPERLINK("#'" &amp; C5550 &amp; "'!" &amp; H5550, H5550), "")</f>
        <v>0</v>
      </c>
    </row>
    <row r="5551" spans="2:2">
      <c r="B5551" s="21">
        <f>IF(AND(C5551&lt;&gt;"", H5551&lt;&gt;""), HYPERLINK("#'" &amp; C5551 &amp; "'!" &amp; H5551, H5551), "")</f>
        <v>0</v>
      </c>
    </row>
    <row r="5552" spans="2:2">
      <c r="B5552" s="21">
        <f>IF(AND(C5552&lt;&gt;"", H5552&lt;&gt;""), HYPERLINK("#'" &amp; C5552 &amp; "'!" &amp; H5552, H5552), "")</f>
        <v>0</v>
      </c>
    </row>
    <row r="5553" spans="2:2">
      <c r="B5553" s="21">
        <f>IF(AND(C5553&lt;&gt;"", H5553&lt;&gt;""), HYPERLINK("#'" &amp; C5553 &amp; "'!" &amp; H5553, H5553), "")</f>
        <v>0</v>
      </c>
    </row>
    <row r="5554" spans="2:2">
      <c r="B5554" s="21">
        <f>IF(AND(C5554&lt;&gt;"", H5554&lt;&gt;""), HYPERLINK("#'" &amp; C5554 &amp; "'!" &amp; H5554, H5554), "")</f>
        <v>0</v>
      </c>
    </row>
    <row r="5555" spans="2:2">
      <c r="B5555" s="21">
        <f>IF(AND(C5555&lt;&gt;"", H5555&lt;&gt;""), HYPERLINK("#'" &amp; C5555 &amp; "'!" &amp; H5555, H5555), "")</f>
        <v>0</v>
      </c>
    </row>
    <row r="5556" spans="2:2">
      <c r="B5556" s="21">
        <f>IF(AND(C5556&lt;&gt;"", H5556&lt;&gt;""), HYPERLINK("#'" &amp; C5556 &amp; "'!" &amp; H5556, H5556), "")</f>
        <v>0</v>
      </c>
    </row>
    <row r="5557" spans="2:2">
      <c r="B5557" s="21">
        <f>IF(AND(C5557&lt;&gt;"", H5557&lt;&gt;""), HYPERLINK("#'" &amp; C5557 &amp; "'!" &amp; H5557, H5557), "")</f>
        <v>0</v>
      </c>
    </row>
    <row r="5558" spans="2:2">
      <c r="B5558" s="21">
        <f>IF(AND(C5558&lt;&gt;"", H5558&lt;&gt;""), HYPERLINK("#'" &amp; C5558 &amp; "'!" &amp; H5558, H5558), "")</f>
        <v>0</v>
      </c>
    </row>
    <row r="5559" spans="2:2">
      <c r="B5559" s="21">
        <f>IF(AND(C5559&lt;&gt;"", H5559&lt;&gt;""), HYPERLINK("#'" &amp; C5559 &amp; "'!" &amp; H5559, H5559), "")</f>
        <v>0</v>
      </c>
    </row>
    <row r="5560" spans="2:2">
      <c r="B5560" s="21">
        <f>IF(AND(C5560&lt;&gt;"", H5560&lt;&gt;""), HYPERLINK("#'" &amp; C5560 &amp; "'!" &amp; H5560, H5560), "")</f>
        <v>0</v>
      </c>
    </row>
    <row r="5561" spans="2:2">
      <c r="B5561" s="21">
        <f>IF(AND(C5561&lt;&gt;"", H5561&lt;&gt;""), HYPERLINK("#'" &amp; C5561 &amp; "'!" &amp; H5561, H5561), "")</f>
        <v>0</v>
      </c>
    </row>
    <row r="5562" spans="2:2">
      <c r="B5562" s="21">
        <f>IF(AND(C5562&lt;&gt;"", H5562&lt;&gt;""), HYPERLINK("#'" &amp; C5562 &amp; "'!" &amp; H5562, H5562), "")</f>
        <v>0</v>
      </c>
    </row>
    <row r="5563" spans="2:2">
      <c r="B5563" s="21">
        <f>IF(AND(C5563&lt;&gt;"", H5563&lt;&gt;""), HYPERLINK("#'" &amp; C5563 &amp; "'!" &amp; H5563, H5563), "")</f>
        <v>0</v>
      </c>
    </row>
    <row r="5564" spans="2:2">
      <c r="B5564" s="21">
        <f>IF(AND(C5564&lt;&gt;"", H5564&lt;&gt;""), HYPERLINK("#'" &amp; C5564 &amp; "'!" &amp; H5564, H5564), "")</f>
        <v>0</v>
      </c>
    </row>
    <row r="5565" spans="2:2">
      <c r="B5565" s="21">
        <f>IF(AND(C5565&lt;&gt;"", H5565&lt;&gt;""), HYPERLINK("#'" &amp; C5565 &amp; "'!" &amp; H5565, H5565), "")</f>
        <v>0</v>
      </c>
    </row>
    <row r="5566" spans="2:2">
      <c r="B5566" s="21">
        <f>IF(AND(C5566&lt;&gt;"", H5566&lt;&gt;""), HYPERLINK("#'" &amp; C5566 &amp; "'!" &amp; H5566, H5566), "")</f>
        <v>0</v>
      </c>
    </row>
    <row r="5567" spans="2:2">
      <c r="B5567" s="21">
        <f>IF(AND(C5567&lt;&gt;"", H5567&lt;&gt;""), HYPERLINK("#'" &amp; C5567 &amp; "'!" &amp; H5567, H5567), "")</f>
        <v>0</v>
      </c>
    </row>
    <row r="5568" spans="2:2">
      <c r="B5568" s="21">
        <f>IF(AND(C5568&lt;&gt;"", H5568&lt;&gt;""), HYPERLINK("#'" &amp; C5568 &amp; "'!" &amp; H5568, H5568), "")</f>
        <v>0</v>
      </c>
    </row>
    <row r="5569" spans="2:2">
      <c r="B5569" s="21">
        <f>IF(AND(C5569&lt;&gt;"", H5569&lt;&gt;""), HYPERLINK("#'" &amp; C5569 &amp; "'!" &amp; H5569, H5569), "")</f>
        <v>0</v>
      </c>
    </row>
    <row r="5570" spans="2:2">
      <c r="B5570" s="21">
        <f>IF(AND(C5570&lt;&gt;"", H5570&lt;&gt;""), HYPERLINK("#'" &amp; C5570 &amp; "'!" &amp; H5570, H5570), "")</f>
        <v>0</v>
      </c>
    </row>
    <row r="5571" spans="2:2">
      <c r="B5571" s="21">
        <f>IF(AND(C5571&lt;&gt;"", H5571&lt;&gt;""), HYPERLINK("#'" &amp; C5571 &amp; "'!" &amp; H5571, H5571), "")</f>
        <v>0</v>
      </c>
    </row>
    <row r="5572" spans="2:2">
      <c r="B5572" s="21">
        <f>IF(AND(C5572&lt;&gt;"", H5572&lt;&gt;""), HYPERLINK("#'" &amp; C5572 &amp; "'!" &amp; H5572, H5572), "")</f>
        <v>0</v>
      </c>
    </row>
    <row r="5573" spans="2:2">
      <c r="B5573" s="21">
        <f>IF(AND(C5573&lt;&gt;"", H5573&lt;&gt;""), HYPERLINK("#'" &amp; C5573 &amp; "'!" &amp; H5573, H5573), "")</f>
        <v>0</v>
      </c>
    </row>
    <row r="5574" spans="2:2">
      <c r="B5574" s="21">
        <f>IF(AND(C5574&lt;&gt;"", H5574&lt;&gt;""), HYPERLINK("#'" &amp; C5574 &amp; "'!" &amp; H5574, H5574), "")</f>
        <v>0</v>
      </c>
    </row>
    <row r="5575" spans="2:2">
      <c r="B5575" s="21">
        <f>IF(AND(C5575&lt;&gt;"", H5575&lt;&gt;""), HYPERLINK("#'" &amp; C5575 &amp; "'!" &amp; H5575, H5575), "")</f>
        <v>0</v>
      </c>
    </row>
    <row r="5576" spans="2:2">
      <c r="B5576" s="21">
        <f>IF(AND(C5576&lt;&gt;"", H5576&lt;&gt;""), HYPERLINK("#'" &amp; C5576 &amp; "'!" &amp; H5576, H5576), "")</f>
        <v>0</v>
      </c>
    </row>
    <row r="5577" spans="2:2">
      <c r="B5577" s="21">
        <f>IF(AND(C5577&lt;&gt;"", H5577&lt;&gt;""), HYPERLINK("#'" &amp; C5577 &amp; "'!" &amp; H5577, H5577), "")</f>
        <v>0</v>
      </c>
    </row>
    <row r="5578" spans="2:2">
      <c r="B5578" s="21">
        <f>IF(AND(C5578&lt;&gt;"", H5578&lt;&gt;""), HYPERLINK("#'" &amp; C5578 &amp; "'!" &amp; H5578, H5578), "")</f>
        <v>0</v>
      </c>
    </row>
    <row r="5579" spans="2:2">
      <c r="B5579" s="21">
        <f>IF(AND(C5579&lt;&gt;"", H5579&lt;&gt;""), HYPERLINK("#'" &amp; C5579 &amp; "'!" &amp; H5579, H5579), "")</f>
        <v>0</v>
      </c>
    </row>
    <row r="5580" spans="2:2">
      <c r="B5580" s="21">
        <f>IF(AND(C5580&lt;&gt;"", H5580&lt;&gt;""), HYPERLINK("#'" &amp; C5580 &amp; "'!" &amp; H5580, H5580), "")</f>
        <v>0</v>
      </c>
    </row>
    <row r="5581" spans="2:2">
      <c r="B5581" s="21">
        <f>IF(AND(C5581&lt;&gt;"", H5581&lt;&gt;""), HYPERLINK("#'" &amp; C5581 &amp; "'!" &amp; H5581, H5581), "")</f>
        <v>0</v>
      </c>
    </row>
    <row r="5582" spans="2:2">
      <c r="B5582" s="21">
        <f>IF(AND(C5582&lt;&gt;"", H5582&lt;&gt;""), HYPERLINK("#'" &amp; C5582 &amp; "'!" &amp; H5582, H5582), "")</f>
        <v>0</v>
      </c>
    </row>
    <row r="5583" spans="2:2">
      <c r="B5583" s="21">
        <f>IF(AND(C5583&lt;&gt;"", H5583&lt;&gt;""), HYPERLINK("#'" &amp; C5583 &amp; "'!" &amp; H5583, H5583), "")</f>
        <v>0</v>
      </c>
    </row>
    <row r="5584" spans="2:2">
      <c r="B5584" s="21">
        <f>IF(AND(C5584&lt;&gt;"", H5584&lt;&gt;""), HYPERLINK("#'" &amp; C5584 &amp; "'!" &amp; H5584, H5584), "")</f>
        <v>0</v>
      </c>
    </row>
    <row r="5585" spans="2:2">
      <c r="B5585" s="21">
        <f>IF(AND(C5585&lt;&gt;"", H5585&lt;&gt;""), HYPERLINK("#'" &amp; C5585 &amp; "'!" &amp; H5585, H5585), "")</f>
        <v>0</v>
      </c>
    </row>
    <row r="5586" spans="2:2">
      <c r="B5586" s="21">
        <f>IF(AND(C5586&lt;&gt;"", H5586&lt;&gt;""), HYPERLINK("#'" &amp; C5586 &amp; "'!" &amp; H5586, H5586), "")</f>
        <v>0</v>
      </c>
    </row>
    <row r="5587" spans="2:2">
      <c r="B5587" s="21">
        <f>IF(AND(C5587&lt;&gt;"", H5587&lt;&gt;""), HYPERLINK("#'" &amp; C5587 &amp; "'!" &amp; H5587, H5587), "")</f>
        <v>0</v>
      </c>
    </row>
    <row r="5588" spans="2:2">
      <c r="B5588" s="21">
        <f>IF(AND(C5588&lt;&gt;"", H5588&lt;&gt;""), HYPERLINK("#'" &amp; C5588 &amp; "'!" &amp; H5588, H5588), "")</f>
        <v>0</v>
      </c>
    </row>
    <row r="5589" spans="2:2">
      <c r="B5589" s="21">
        <f>IF(AND(C5589&lt;&gt;"", H5589&lt;&gt;""), HYPERLINK("#'" &amp; C5589 &amp; "'!" &amp; H5589, H5589), "")</f>
        <v>0</v>
      </c>
    </row>
    <row r="5590" spans="2:2">
      <c r="B5590" s="21">
        <f>IF(AND(C5590&lt;&gt;"", H5590&lt;&gt;""), HYPERLINK("#'" &amp; C5590 &amp; "'!" &amp; H5590, H5590), "")</f>
        <v>0</v>
      </c>
    </row>
    <row r="5591" spans="2:2">
      <c r="B5591" s="21">
        <f>IF(AND(C5591&lt;&gt;"", H5591&lt;&gt;""), HYPERLINK("#'" &amp; C5591 &amp; "'!" &amp; H5591, H5591), "")</f>
        <v>0</v>
      </c>
    </row>
    <row r="5592" spans="2:2">
      <c r="B5592" s="21">
        <f>IF(AND(C5592&lt;&gt;"", H5592&lt;&gt;""), HYPERLINK("#'" &amp; C5592 &amp; "'!" &amp; H5592, H5592), "")</f>
        <v>0</v>
      </c>
    </row>
    <row r="5593" spans="2:2">
      <c r="B5593" s="21">
        <f>IF(AND(C5593&lt;&gt;"", H5593&lt;&gt;""), HYPERLINK("#'" &amp; C5593 &amp; "'!" &amp; H5593, H5593), "")</f>
        <v>0</v>
      </c>
    </row>
    <row r="5594" spans="2:2">
      <c r="B5594" s="21">
        <f>IF(AND(C5594&lt;&gt;"", H5594&lt;&gt;""), HYPERLINK("#'" &amp; C5594 &amp; "'!" &amp; H5594, H5594), "")</f>
        <v>0</v>
      </c>
    </row>
    <row r="5595" spans="2:2">
      <c r="B5595" s="21">
        <f>IF(AND(C5595&lt;&gt;"", H5595&lt;&gt;""), HYPERLINK("#'" &amp; C5595 &amp; "'!" &amp; H5595, H5595), "")</f>
        <v>0</v>
      </c>
    </row>
    <row r="5596" spans="2:2">
      <c r="B5596" s="21">
        <f>IF(AND(C5596&lt;&gt;"", H5596&lt;&gt;""), HYPERLINK("#'" &amp; C5596 &amp; "'!" &amp; H5596, H5596), "")</f>
        <v>0</v>
      </c>
    </row>
    <row r="5597" spans="2:2">
      <c r="B5597" s="21">
        <f>IF(AND(C5597&lt;&gt;"", H5597&lt;&gt;""), HYPERLINK("#'" &amp; C5597 &amp; "'!" &amp; H5597, H5597), "")</f>
        <v>0</v>
      </c>
    </row>
    <row r="5598" spans="2:2">
      <c r="B5598" s="21">
        <f>IF(AND(C5598&lt;&gt;"", H5598&lt;&gt;""), HYPERLINK("#'" &amp; C5598 &amp; "'!" &amp; H5598, H5598), "")</f>
        <v>0</v>
      </c>
    </row>
    <row r="5599" spans="2:2">
      <c r="B5599" s="21">
        <f>IF(AND(C5599&lt;&gt;"", H5599&lt;&gt;""), HYPERLINK("#'" &amp; C5599 &amp; "'!" &amp; H5599, H5599), "")</f>
        <v>0</v>
      </c>
    </row>
    <row r="5600" spans="2:2">
      <c r="B5600" s="21">
        <f>IF(AND(C5600&lt;&gt;"", H5600&lt;&gt;""), HYPERLINK("#'" &amp; C5600 &amp; "'!" &amp; H5600, H5600), "")</f>
        <v>0</v>
      </c>
    </row>
    <row r="5601" spans="2:2">
      <c r="B5601" s="21">
        <f>IF(AND(C5601&lt;&gt;"", H5601&lt;&gt;""), HYPERLINK("#'" &amp; C5601 &amp; "'!" &amp; H5601, H5601), "")</f>
        <v>0</v>
      </c>
    </row>
    <row r="5602" spans="2:2">
      <c r="B5602" s="21">
        <f>IF(AND(C5602&lt;&gt;"", H5602&lt;&gt;""), HYPERLINK("#'" &amp; C5602 &amp; "'!" &amp; H5602, H5602), "")</f>
        <v>0</v>
      </c>
    </row>
    <row r="5603" spans="2:2">
      <c r="B5603" s="21">
        <f>IF(AND(C5603&lt;&gt;"", H5603&lt;&gt;""), HYPERLINK("#'" &amp; C5603 &amp; "'!" &amp; H5603, H5603), "")</f>
        <v>0</v>
      </c>
    </row>
    <row r="5604" spans="2:2">
      <c r="B5604" s="21">
        <f>IF(AND(C5604&lt;&gt;"", H5604&lt;&gt;""), HYPERLINK("#'" &amp; C5604 &amp; "'!" &amp; H5604, H5604), "")</f>
        <v>0</v>
      </c>
    </row>
    <row r="5605" spans="2:2">
      <c r="B5605" s="21">
        <f>IF(AND(C5605&lt;&gt;"", H5605&lt;&gt;""), HYPERLINK("#'" &amp; C5605 &amp; "'!" &amp; H5605, H5605), "")</f>
        <v>0</v>
      </c>
    </row>
    <row r="5606" spans="2:2">
      <c r="B5606" s="21">
        <f>IF(AND(C5606&lt;&gt;"", H5606&lt;&gt;""), HYPERLINK("#'" &amp; C5606 &amp; "'!" &amp; H5606, H5606), "")</f>
        <v>0</v>
      </c>
    </row>
    <row r="5607" spans="2:2">
      <c r="B5607" s="21">
        <f>IF(AND(C5607&lt;&gt;"", H5607&lt;&gt;""), HYPERLINK("#'" &amp; C5607 &amp; "'!" &amp; H5607, H5607), "")</f>
        <v>0</v>
      </c>
    </row>
    <row r="5608" spans="2:2">
      <c r="B5608" s="21">
        <f>IF(AND(C5608&lt;&gt;"", H5608&lt;&gt;""), HYPERLINK("#'" &amp; C5608 &amp; "'!" &amp; H5608, H5608), "")</f>
        <v>0</v>
      </c>
    </row>
    <row r="5609" spans="2:2">
      <c r="B5609" s="21">
        <f>IF(AND(C5609&lt;&gt;"", H5609&lt;&gt;""), HYPERLINK("#'" &amp; C5609 &amp; "'!" &amp; H5609, H5609), "")</f>
        <v>0</v>
      </c>
    </row>
    <row r="5610" spans="2:2">
      <c r="B5610" s="21">
        <f>IF(AND(C5610&lt;&gt;"", H5610&lt;&gt;""), HYPERLINK("#'" &amp; C5610 &amp; "'!" &amp; H5610, H5610), "")</f>
        <v>0</v>
      </c>
    </row>
    <row r="5611" spans="2:2">
      <c r="B5611" s="21">
        <f>IF(AND(C5611&lt;&gt;"", H5611&lt;&gt;""), HYPERLINK("#'" &amp; C5611 &amp; "'!" &amp; H5611, H5611), "")</f>
        <v>0</v>
      </c>
    </row>
    <row r="5612" spans="2:2">
      <c r="B5612" s="21">
        <f>IF(AND(C5612&lt;&gt;"", H5612&lt;&gt;""), HYPERLINK("#'" &amp; C5612 &amp; "'!" &amp; H5612, H5612), "")</f>
        <v>0</v>
      </c>
    </row>
    <row r="5613" spans="2:2">
      <c r="B5613" s="21">
        <f>IF(AND(C5613&lt;&gt;"", H5613&lt;&gt;""), HYPERLINK("#'" &amp; C5613 &amp; "'!" &amp; H5613, H5613), "")</f>
        <v>0</v>
      </c>
    </row>
    <row r="5614" spans="2:2">
      <c r="B5614" s="21">
        <f>IF(AND(C5614&lt;&gt;"", H5614&lt;&gt;""), HYPERLINK("#'" &amp; C5614 &amp; "'!" &amp; H5614, H5614), "")</f>
        <v>0</v>
      </c>
    </row>
    <row r="5615" spans="2:2">
      <c r="B5615" s="21">
        <f>IF(AND(C5615&lt;&gt;"", H5615&lt;&gt;""), HYPERLINK("#'" &amp; C5615 &amp; "'!" &amp; H5615, H5615), "")</f>
        <v>0</v>
      </c>
    </row>
    <row r="5616" spans="2:2">
      <c r="B5616" s="21">
        <f>IF(AND(C5616&lt;&gt;"", H5616&lt;&gt;""), HYPERLINK("#'" &amp; C5616 &amp; "'!" &amp; H5616, H5616), "")</f>
        <v>0</v>
      </c>
    </row>
    <row r="5617" spans="2:2">
      <c r="B5617" s="21">
        <f>IF(AND(C5617&lt;&gt;"", H5617&lt;&gt;""), HYPERLINK("#'" &amp; C5617 &amp; "'!" &amp; H5617, H5617), "")</f>
        <v>0</v>
      </c>
    </row>
    <row r="5618" spans="2:2">
      <c r="B5618" s="21">
        <f>IF(AND(C5618&lt;&gt;"", H5618&lt;&gt;""), HYPERLINK("#'" &amp; C5618 &amp; "'!" &amp; H5618, H5618), "")</f>
        <v>0</v>
      </c>
    </row>
    <row r="5619" spans="2:2">
      <c r="B5619" s="21">
        <f>IF(AND(C5619&lt;&gt;"", H5619&lt;&gt;""), HYPERLINK("#'" &amp; C5619 &amp; "'!" &amp; H5619, H5619), "")</f>
        <v>0</v>
      </c>
    </row>
    <row r="5620" spans="2:2">
      <c r="B5620" s="21">
        <f>IF(AND(C5620&lt;&gt;"", H5620&lt;&gt;""), HYPERLINK("#'" &amp; C5620 &amp; "'!" &amp; H5620, H5620), "")</f>
        <v>0</v>
      </c>
    </row>
    <row r="5621" spans="2:2">
      <c r="B5621" s="21">
        <f>IF(AND(C5621&lt;&gt;"", H5621&lt;&gt;""), HYPERLINK("#'" &amp; C5621 &amp; "'!" &amp; H5621, H5621), "")</f>
        <v>0</v>
      </c>
    </row>
    <row r="5622" spans="2:2">
      <c r="B5622" s="21">
        <f>IF(AND(C5622&lt;&gt;"", H5622&lt;&gt;""), HYPERLINK("#'" &amp; C5622 &amp; "'!" &amp; H5622, H5622), "")</f>
        <v>0</v>
      </c>
    </row>
    <row r="5623" spans="2:2">
      <c r="B5623" s="21">
        <f>IF(AND(C5623&lt;&gt;"", H5623&lt;&gt;""), HYPERLINK("#'" &amp; C5623 &amp; "'!" &amp; H5623, H5623), "")</f>
        <v>0</v>
      </c>
    </row>
    <row r="5624" spans="2:2">
      <c r="B5624" s="21">
        <f>IF(AND(C5624&lt;&gt;"", H5624&lt;&gt;""), HYPERLINK("#'" &amp; C5624 &amp; "'!" &amp; H5624, H5624), "")</f>
        <v>0</v>
      </c>
    </row>
    <row r="5625" spans="2:2">
      <c r="B5625" s="21">
        <f>IF(AND(C5625&lt;&gt;"", H5625&lt;&gt;""), HYPERLINK("#'" &amp; C5625 &amp; "'!" &amp; H5625, H5625), "")</f>
        <v>0</v>
      </c>
    </row>
    <row r="5626" spans="2:2">
      <c r="B5626" s="21">
        <f>IF(AND(C5626&lt;&gt;"", H5626&lt;&gt;""), HYPERLINK("#'" &amp; C5626 &amp; "'!" &amp; H5626, H5626), "")</f>
        <v>0</v>
      </c>
    </row>
    <row r="5627" spans="2:2">
      <c r="B5627" s="21">
        <f>IF(AND(C5627&lt;&gt;"", H5627&lt;&gt;""), HYPERLINK("#'" &amp; C5627 &amp; "'!" &amp; H5627, H5627), "")</f>
        <v>0</v>
      </c>
    </row>
    <row r="5628" spans="2:2">
      <c r="B5628" s="21">
        <f>IF(AND(C5628&lt;&gt;"", H5628&lt;&gt;""), HYPERLINK("#'" &amp; C5628 &amp; "'!" &amp; H5628, H5628), "")</f>
        <v>0</v>
      </c>
    </row>
    <row r="5629" spans="2:2">
      <c r="B5629" s="21">
        <f>IF(AND(C5629&lt;&gt;"", H5629&lt;&gt;""), HYPERLINK("#'" &amp; C5629 &amp; "'!" &amp; H5629, H5629), "")</f>
        <v>0</v>
      </c>
    </row>
    <row r="5630" spans="2:2">
      <c r="B5630" s="21">
        <f>IF(AND(C5630&lt;&gt;"", H5630&lt;&gt;""), HYPERLINK("#'" &amp; C5630 &amp; "'!" &amp; H5630, H5630), "")</f>
        <v>0</v>
      </c>
    </row>
    <row r="5631" spans="2:2">
      <c r="B5631" s="21">
        <f>IF(AND(C5631&lt;&gt;"", H5631&lt;&gt;""), HYPERLINK("#'" &amp; C5631 &amp; "'!" &amp; H5631, H5631), "")</f>
        <v>0</v>
      </c>
    </row>
    <row r="5632" spans="2:2">
      <c r="B5632" s="21">
        <f>IF(AND(C5632&lt;&gt;"", H5632&lt;&gt;""), HYPERLINK("#'" &amp; C5632 &amp; "'!" &amp; H5632, H5632), "")</f>
        <v>0</v>
      </c>
    </row>
    <row r="5633" spans="2:2">
      <c r="B5633" s="21">
        <f>IF(AND(C5633&lt;&gt;"", H5633&lt;&gt;""), HYPERLINK("#'" &amp; C5633 &amp; "'!" &amp; H5633, H5633), "")</f>
        <v>0</v>
      </c>
    </row>
    <row r="5634" spans="2:2">
      <c r="B5634" s="21">
        <f>IF(AND(C5634&lt;&gt;"", H5634&lt;&gt;""), HYPERLINK("#'" &amp; C5634 &amp; "'!" &amp; H5634, H5634), "")</f>
        <v>0</v>
      </c>
    </row>
    <row r="5635" spans="2:2">
      <c r="B5635" s="21">
        <f>IF(AND(C5635&lt;&gt;"", H5635&lt;&gt;""), HYPERLINK("#'" &amp; C5635 &amp; "'!" &amp; H5635, H5635), "")</f>
        <v>0</v>
      </c>
    </row>
    <row r="5636" spans="2:2">
      <c r="B5636" s="21">
        <f>IF(AND(C5636&lt;&gt;"", H5636&lt;&gt;""), HYPERLINK("#'" &amp; C5636 &amp; "'!" &amp; H5636, H5636), "")</f>
        <v>0</v>
      </c>
    </row>
    <row r="5637" spans="2:2">
      <c r="B5637" s="21">
        <f>IF(AND(C5637&lt;&gt;"", H5637&lt;&gt;""), HYPERLINK("#'" &amp; C5637 &amp; "'!" &amp; H5637, H5637), "")</f>
        <v>0</v>
      </c>
    </row>
    <row r="5638" spans="2:2">
      <c r="B5638" s="21">
        <f>IF(AND(C5638&lt;&gt;"", H5638&lt;&gt;""), HYPERLINK("#'" &amp; C5638 &amp; "'!" &amp; H5638, H5638), "")</f>
        <v>0</v>
      </c>
    </row>
    <row r="5639" spans="2:2">
      <c r="B5639" s="21">
        <f>IF(AND(C5639&lt;&gt;"", H5639&lt;&gt;""), HYPERLINK("#'" &amp; C5639 &amp; "'!" &amp; H5639, H5639), "")</f>
        <v>0</v>
      </c>
    </row>
    <row r="5640" spans="2:2">
      <c r="B5640" s="21">
        <f>IF(AND(C5640&lt;&gt;"", H5640&lt;&gt;""), HYPERLINK("#'" &amp; C5640 &amp; "'!" &amp; H5640, H5640), "")</f>
        <v>0</v>
      </c>
    </row>
    <row r="5641" spans="2:2">
      <c r="B5641" s="21">
        <f>IF(AND(C5641&lt;&gt;"", H5641&lt;&gt;""), HYPERLINK("#'" &amp; C5641 &amp; "'!" &amp; H5641, H5641), "")</f>
        <v>0</v>
      </c>
    </row>
    <row r="5642" spans="2:2">
      <c r="B5642" s="21">
        <f>IF(AND(C5642&lt;&gt;"", H5642&lt;&gt;""), HYPERLINK("#'" &amp; C5642 &amp; "'!" &amp; H5642, H5642), "")</f>
        <v>0</v>
      </c>
    </row>
    <row r="5643" spans="2:2">
      <c r="B5643" s="21">
        <f>IF(AND(C5643&lt;&gt;"", H5643&lt;&gt;""), HYPERLINK("#'" &amp; C5643 &amp; "'!" &amp; H5643, H5643), "")</f>
        <v>0</v>
      </c>
    </row>
    <row r="5644" spans="2:2">
      <c r="B5644" s="21">
        <f>IF(AND(C5644&lt;&gt;"", H5644&lt;&gt;""), HYPERLINK("#'" &amp; C5644 &amp; "'!" &amp; H5644, H5644), "")</f>
        <v>0</v>
      </c>
    </row>
    <row r="5645" spans="2:2">
      <c r="B5645" s="21">
        <f>IF(AND(C5645&lt;&gt;"", H5645&lt;&gt;""), HYPERLINK("#'" &amp; C5645 &amp; "'!" &amp; H5645, H5645), "")</f>
        <v>0</v>
      </c>
    </row>
    <row r="5646" spans="2:2">
      <c r="B5646" s="21">
        <f>IF(AND(C5646&lt;&gt;"", H5646&lt;&gt;""), HYPERLINK("#'" &amp; C5646 &amp; "'!" &amp; H5646, H5646), "")</f>
        <v>0</v>
      </c>
    </row>
    <row r="5647" spans="2:2">
      <c r="B5647" s="21">
        <f>IF(AND(C5647&lt;&gt;"", H5647&lt;&gt;""), HYPERLINK("#'" &amp; C5647 &amp; "'!" &amp; H5647, H5647), "")</f>
        <v>0</v>
      </c>
    </row>
    <row r="5648" spans="2:2">
      <c r="B5648" s="21">
        <f>IF(AND(C5648&lt;&gt;"", H5648&lt;&gt;""), HYPERLINK("#'" &amp; C5648 &amp; "'!" &amp; H5648, H5648), "")</f>
        <v>0</v>
      </c>
    </row>
    <row r="5649" spans="2:2">
      <c r="B5649" s="21">
        <f>IF(AND(C5649&lt;&gt;"", H5649&lt;&gt;""), HYPERLINK("#'" &amp; C5649 &amp; "'!" &amp; H5649, H5649), "")</f>
        <v>0</v>
      </c>
    </row>
    <row r="5650" spans="2:2">
      <c r="B5650" s="21">
        <f>IF(AND(C5650&lt;&gt;"", H5650&lt;&gt;""), HYPERLINK("#'" &amp; C5650 &amp; "'!" &amp; H5650, H5650), "")</f>
        <v>0</v>
      </c>
    </row>
    <row r="5651" spans="2:2">
      <c r="B5651" s="21">
        <f>IF(AND(C5651&lt;&gt;"", H5651&lt;&gt;""), HYPERLINK("#'" &amp; C5651 &amp; "'!" &amp; H5651, H5651), "")</f>
        <v>0</v>
      </c>
    </row>
    <row r="5652" spans="2:2">
      <c r="B5652" s="21">
        <f>IF(AND(C5652&lt;&gt;"", H5652&lt;&gt;""), HYPERLINK("#'" &amp; C5652 &amp; "'!" &amp; H5652, H5652), "")</f>
        <v>0</v>
      </c>
    </row>
    <row r="5653" spans="2:2">
      <c r="B5653" s="21">
        <f>IF(AND(C5653&lt;&gt;"", H5653&lt;&gt;""), HYPERLINK("#'" &amp; C5653 &amp; "'!" &amp; H5653, H5653), "")</f>
        <v>0</v>
      </c>
    </row>
    <row r="5654" spans="2:2">
      <c r="B5654" s="21">
        <f>IF(AND(C5654&lt;&gt;"", H5654&lt;&gt;""), HYPERLINK("#'" &amp; C5654 &amp; "'!" &amp; H5654, H5654), "")</f>
        <v>0</v>
      </c>
    </row>
    <row r="5655" spans="2:2">
      <c r="B5655" s="21">
        <f>IF(AND(C5655&lt;&gt;"", H5655&lt;&gt;""), HYPERLINK("#'" &amp; C5655 &amp; "'!" &amp; H5655, H5655), "")</f>
        <v>0</v>
      </c>
    </row>
    <row r="5656" spans="2:2">
      <c r="B5656" s="21">
        <f>IF(AND(C5656&lt;&gt;"", H5656&lt;&gt;""), HYPERLINK("#'" &amp; C5656 &amp; "'!" &amp; H5656, H5656), "")</f>
        <v>0</v>
      </c>
    </row>
    <row r="5657" spans="2:2">
      <c r="B5657" s="21">
        <f>IF(AND(C5657&lt;&gt;"", H5657&lt;&gt;""), HYPERLINK("#'" &amp; C5657 &amp; "'!" &amp; H5657, H5657), "")</f>
        <v>0</v>
      </c>
    </row>
    <row r="5658" spans="2:2">
      <c r="B5658" s="21">
        <f>IF(AND(C5658&lt;&gt;"", H5658&lt;&gt;""), HYPERLINK("#'" &amp; C5658 &amp; "'!" &amp; H5658, H5658), "")</f>
        <v>0</v>
      </c>
    </row>
    <row r="5659" spans="2:2">
      <c r="B5659" s="21">
        <f>IF(AND(C5659&lt;&gt;"", H5659&lt;&gt;""), HYPERLINK("#'" &amp; C5659 &amp; "'!" &amp; H5659, H5659), "")</f>
        <v>0</v>
      </c>
    </row>
    <row r="5660" spans="2:2">
      <c r="B5660" s="21">
        <f>IF(AND(C5660&lt;&gt;"", H5660&lt;&gt;""), HYPERLINK("#'" &amp; C5660 &amp; "'!" &amp; H5660, H5660), "")</f>
        <v>0</v>
      </c>
    </row>
    <row r="5661" spans="2:2">
      <c r="B5661" s="21">
        <f>IF(AND(C5661&lt;&gt;"", H5661&lt;&gt;""), HYPERLINK("#'" &amp; C5661 &amp; "'!" &amp; H5661, H5661), "")</f>
        <v>0</v>
      </c>
    </row>
    <row r="5662" spans="2:2">
      <c r="B5662" s="21">
        <f>IF(AND(C5662&lt;&gt;"", H5662&lt;&gt;""), HYPERLINK("#'" &amp; C5662 &amp; "'!" &amp; H5662, H5662), "")</f>
        <v>0</v>
      </c>
    </row>
    <row r="5663" spans="2:2">
      <c r="B5663" s="21">
        <f>IF(AND(C5663&lt;&gt;"", H5663&lt;&gt;""), HYPERLINK("#'" &amp; C5663 &amp; "'!" &amp; H5663, H5663), "")</f>
        <v>0</v>
      </c>
    </row>
    <row r="5664" spans="2:2">
      <c r="B5664" s="21">
        <f>IF(AND(C5664&lt;&gt;"", H5664&lt;&gt;""), HYPERLINK("#'" &amp; C5664 &amp; "'!" &amp; H5664, H5664), "")</f>
        <v>0</v>
      </c>
    </row>
    <row r="5665" spans="2:2">
      <c r="B5665" s="21">
        <f>IF(AND(C5665&lt;&gt;"", H5665&lt;&gt;""), HYPERLINK("#'" &amp; C5665 &amp; "'!" &amp; H5665, H5665), "")</f>
        <v>0</v>
      </c>
    </row>
    <row r="5666" spans="2:2">
      <c r="B5666" s="21">
        <f>IF(AND(C5666&lt;&gt;"", H5666&lt;&gt;""), HYPERLINK("#'" &amp; C5666 &amp; "'!" &amp; H5666, H5666), "")</f>
        <v>0</v>
      </c>
    </row>
    <row r="5667" spans="2:2">
      <c r="B5667" s="21">
        <f>IF(AND(C5667&lt;&gt;"", H5667&lt;&gt;""), HYPERLINK("#'" &amp; C5667 &amp; "'!" &amp; H5667, H5667), "")</f>
        <v>0</v>
      </c>
    </row>
    <row r="5668" spans="2:2">
      <c r="B5668" s="21">
        <f>IF(AND(C5668&lt;&gt;"", H5668&lt;&gt;""), HYPERLINK("#'" &amp; C5668 &amp; "'!" &amp; H5668, H5668), "")</f>
        <v>0</v>
      </c>
    </row>
    <row r="5669" spans="2:2">
      <c r="B5669" s="21">
        <f>IF(AND(C5669&lt;&gt;"", H5669&lt;&gt;""), HYPERLINK("#'" &amp; C5669 &amp; "'!" &amp; H5669, H5669), "")</f>
        <v>0</v>
      </c>
    </row>
    <row r="5670" spans="2:2">
      <c r="B5670" s="21">
        <f>IF(AND(C5670&lt;&gt;"", H5670&lt;&gt;""), HYPERLINK("#'" &amp; C5670 &amp; "'!" &amp; H5670, H5670), "")</f>
        <v>0</v>
      </c>
    </row>
    <row r="5671" spans="2:2">
      <c r="B5671" s="21">
        <f>IF(AND(C5671&lt;&gt;"", H5671&lt;&gt;""), HYPERLINK("#'" &amp; C5671 &amp; "'!" &amp; H5671, H5671), "")</f>
        <v>0</v>
      </c>
    </row>
    <row r="5672" spans="2:2">
      <c r="B5672" s="21">
        <f>IF(AND(C5672&lt;&gt;"", H5672&lt;&gt;""), HYPERLINK("#'" &amp; C5672 &amp; "'!" &amp; H5672, H5672), "")</f>
        <v>0</v>
      </c>
    </row>
    <row r="5673" spans="2:2">
      <c r="B5673" s="21">
        <f>IF(AND(C5673&lt;&gt;"", H5673&lt;&gt;""), HYPERLINK("#'" &amp; C5673 &amp; "'!" &amp; H5673, H5673), "")</f>
        <v>0</v>
      </c>
    </row>
    <row r="5674" spans="2:2">
      <c r="B5674" s="21">
        <f>IF(AND(C5674&lt;&gt;"", H5674&lt;&gt;""), HYPERLINK("#'" &amp; C5674 &amp; "'!" &amp; H5674, H5674), "")</f>
        <v>0</v>
      </c>
    </row>
    <row r="5675" spans="2:2">
      <c r="B5675" s="21">
        <f>IF(AND(C5675&lt;&gt;"", H5675&lt;&gt;""), HYPERLINK("#'" &amp; C5675 &amp; "'!" &amp; H5675, H5675), "")</f>
        <v>0</v>
      </c>
    </row>
    <row r="5676" spans="2:2">
      <c r="B5676" s="21">
        <f>IF(AND(C5676&lt;&gt;"", H5676&lt;&gt;""), HYPERLINK("#'" &amp; C5676 &amp; "'!" &amp; H5676, H5676), "")</f>
        <v>0</v>
      </c>
    </row>
    <row r="5677" spans="2:2">
      <c r="B5677" s="21">
        <f>IF(AND(C5677&lt;&gt;"", H5677&lt;&gt;""), HYPERLINK("#'" &amp; C5677 &amp; "'!" &amp; H5677, H5677), "")</f>
        <v>0</v>
      </c>
    </row>
    <row r="5678" spans="2:2">
      <c r="B5678" s="21">
        <f>IF(AND(C5678&lt;&gt;"", H5678&lt;&gt;""), HYPERLINK("#'" &amp; C5678 &amp; "'!" &amp; H5678, H5678), "")</f>
        <v>0</v>
      </c>
    </row>
    <row r="5679" spans="2:2">
      <c r="B5679" s="21">
        <f>IF(AND(C5679&lt;&gt;"", H5679&lt;&gt;""), HYPERLINK("#'" &amp; C5679 &amp; "'!" &amp; H5679, H5679), "")</f>
        <v>0</v>
      </c>
    </row>
    <row r="5680" spans="2:2">
      <c r="B5680" s="21">
        <f>IF(AND(C5680&lt;&gt;"", H5680&lt;&gt;""), HYPERLINK("#'" &amp; C5680 &amp; "'!" &amp; H5680, H5680), "")</f>
        <v>0</v>
      </c>
    </row>
    <row r="5681" spans="2:2">
      <c r="B5681" s="21">
        <f>IF(AND(C5681&lt;&gt;"", H5681&lt;&gt;""), HYPERLINK("#'" &amp; C5681 &amp; "'!" &amp; H5681, H5681), "")</f>
        <v>0</v>
      </c>
    </row>
    <row r="5682" spans="2:2">
      <c r="B5682" s="21">
        <f>IF(AND(C5682&lt;&gt;"", H5682&lt;&gt;""), HYPERLINK("#'" &amp; C5682 &amp; "'!" &amp; H5682, H5682), "")</f>
        <v>0</v>
      </c>
    </row>
    <row r="5683" spans="2:2">
      <c r="B5683" s="21">
        <f>IF(AND(C5683&lt;&gt;"", H5683&lt;&gt;""), HYPERLINK("#'" &amp; C5683 &amp; "'!" &amp; H5683, H5683), "")</f>
        <v>0</v>
      </c>
    </row>
    <row r="5684" spans="2:2">
      <c r="B5684" s="21">
        <f>IF(AND(C5684&lt;&gt;"", H5684&lt;&gt;""), HYPERLINK("#'" &amp; C5684 &amp; "'!" &amp; H5684, H5684), "")</f>
        <v>0</v>
      </c>
    </row>
    <row r="5685" spans="2:2">
      <c r="B5685" s="21">
        <f>IF(AND(C5685&lt;&gt;"", H5685&lt;&gt;""), HYPERLINK("#'" &amp; C5685 &amp; "'!" &amp; H5685, H5685), "")</f>
        <v>0</v>
      </c>
    </row>
    <row r="5686" spans="2:2">
      <c r="B5686" s="21">
        <f>IF(AND(C5686&lt;&gt;"", H5686&lt;&gt;""), HYPERLINK("#'" &amp; C5686 &amp; "'!" &amp; H5686, H5686), "")</f>
        <v>0</v>
      </c>
    </row>
    <row r="5687" spans="2:2">
      <c r="B5687" s="21">
        <f>IF(AND(C5687&lt;&gt;"", H5687&lt;&gt;""), HYPERLINK("#'" &amp; C5687 &amp; "'!" &amp; H5687, H5687), "")</f>
        <v>0</v>
      </c>
    </row>
    <row r="5688" spans="2:2">
      <c r="B5688" s="21">
        <f>IF(AND(C5688&lt;&gt;"", H5688&lt;&gt;""), HYPERLINK("#'" &amp; C5688 &amp; "'!" &amp; H5688, H5688), "")</f>
        <v>0</v>
      </c>
    </row>
    <row r="5689" spans="2:2">
      <c r="B5689" s="21">
        <f>IF(AND(C5689&lt;&gt;"", H5689&lt;&gt;""), HYPERLINK("#'" &amp; C5689 &amp; "'!" &amp; H5689, H5689), "")</f>
        <v>0</v>
      </c>
    </row>
    <row r="5690" spans="2:2">
      <c r="B5690" s="21">
        <f>IF(AND(C5690&lt;&gt;"", H5690&lt;&gt;""), HYPERLINK("#'" &amp; C5690 &amp; "'!" &amp; H5690, H5690), "")</f>
        <v>0</v>
      </c>
    </row>
    <row r="5691" spans="2:2">
      <c r="B5691" s="21">
        <f>IF(AND(C5691&lt;&gt;"", H5691&lt;&gt;""), HYPERLINK("#'" &amp; C5691 &amp; "'!" &amp; H5691, H5691), "")</f>
        <v>0</v>
      </c>
    </row>
    <row r="5692" spans="2:2">
      <c r="B5692" s="21">
        <f>IF(AND(C5692&lt;&gt;"", H5692&lt;&gt;""), HYPERLINK("#'" &amp; C5692 &amp; "'!" &amp; H5692, H5692), "")</f>
        <v>0</v>
      </c>
    </row>
    <row r="5693" spans="2:2">
      <c r="B5693" s="21">
        <f>IF(AND(C5693&lt;&gt;"", H5693&lt;&gt;""), HYPERLINK("#'" &amp; C5693 &amp; "'!" &amp; H5693, H5693), "")</f>
        <v>0</v>
      </c>
    </row>
    <row r="5694" spans="2:2">
      <c r="B5694" s="21">
        <f>IF(AND(C5694&lt;&gt;"", H5694&lt;&gt;""), HYPERLINK("#'" &amp; C5694 &amp; "'!" &amp; H5694, H5694), "")</f>
        <v>0</v>
      </c>
    </row>
    <row r="5695" spans="2:2">
      <c r="B5695" s="21">
        <f>IF(AND(C5695&lt;&gt;"", H5695&lt;&gt;""), HYPERLINK("#'" &amp; C5695 &amp; "'!" &amp; H5695, H5695), "")</f>
        <v>0</v>
      </c>
    </row>
    <row r="5696" spans="2:2">
      <c r="B5696" s="21">
        <f>IF(AND(C5696&lt;&gt;"", H5696&lt;&gt;""), HYPERLINK("#'" &amp; C5696 &amp; "'!" &amp; H5696, H5696), "")</f>
        <v>0</v>
      </c>
    </row>
    <row r="5697" spans="2:2">
      <c r="B5697" s="21">
        <f>IF(AND(C5697&lt;&gt;"", H5697&lt;&gt;""), HYPERLINK("#'" &amp; C5697 &amp; "'!" &amp; H5697, H5697), "")</f>
        <v>0</v>
      </c>
    </row>
    <row r="5698" spans="2:2">
      <c r="B5698" s="21">
        <f>IF(AND(C5698&lt;&gt;"", H5698&lt;&gt;""), HYPERLINK("#'" &amp; C5698 &amp; "'!" &amp; H5698, H5698), "")</f>
        <v>0</v>
      </c>
    </row>
    <row r="5699" spans="2:2">
      <c r="B5699" s="21">
        <f>IF(AND(C5699&lt;&gt;"", H5699&lt;&gt;""), HYPERLINK("#'" &amp; C5699 &amp; "'!" &amp; H5699, H5699), "")</f>
        <v>0</v>
      </c>
    </row>
    <row r="5700" spans="2:2">
      <c r="B5700" s="21">
        <f>IF(AND(C5700&lt;&gt;"", H5700&lt;&gt;""), HYPERLINK("#'" &amp; C5700 &amp; "'!" &amp; H5700, H5700), "")</f>
        <v>0</v>
      </c>
    </row>
    <row r="5701" spans="2:2">
      <c r="B5701" s="21">
        <f>IF(AND(C5701&lt;&gt;"", H5701&lt;&gt;""), HYPERLINK("#'" &amp; C5701 &amp; "'!" &amp; H5701, H5701), "")</f>
        <v>0</v>
      </c>
    </row>
    <row r="5702" spans="2:2">
      <c r="B5702" s="21">
        <f>IF(AND(C5702&lt;&gt;"", H5702&lt;&gt;""), HYPERLINK("#'" &amp; C5702 &amp; "'!" &amp; H5702, H5702), "")</f>
        <v>0</v>
      </c>
    </row>
    <row r="5703" spans="2:2">
      <c r="B5703" s="21">
        <f>IF(AND(C5703&lt;&gt;"", H5703&lt;&gt;""), HYPERLINK("#'" &amp; C5703 &amp; "'!" &amp; H5703, H5703), "")</f>
        <v>0</v>
      </c>
    </row>
    <row r="5704" spans="2:2">
      <c r="B5704" s="21">
        <f>IF(AND(C5704&lt;&gt;"", H5704&lt;&gt;""), HYPERLINK("#'" &amp; C5704 &amp; "'!" &amp; H5704, H5704), "")</f>
        <v>0</v>
      </c>
    </row>
    <row r="5705" spans="2:2">
      <c r="B5705" s="21">
        <f>IF(AND(C5705&lt;&gt;"", H5705&lt;&gt;""), HYPERLINK("#'" &amp; C5705 &amp; "'!" &amp; H5705, H5705), "")</f>
        <v>0</v>
      </c>
    </row>
    <row r="5706" spans="2:2">
      <c r="B5706" s="21">
        <f>IF(AND(C5706&lt;&gt;"", H5706&lt;&gt;""), HYPERLINK("#'" &amp; C5706 &amp; "'!" &amp; H5706, H5706), "")</f>
        <v>0</v>
      </c>
    </row>
    <row r="5707" spans="2:2">
      <c r="B5707" s="21">
        <f>IF(AND(C5707&lt;&gt;"", H5707&lt;&gt;""), HYPERLINK("#'" &amp; C5707 &amp; "'!" &amp; H5707, H5707), "")</f>
        <v>0</v>
      </c>
    </row>
    <row r="5708" spans="2:2">
      <c r="B5708" s="21">
        <f>IF(AND(C5708&lt;&gt;"", H5708&lt;&gt;""), HYPERLINK("#'" &amp; C5708 &amp; "'!" &amp; H5708, H5708), "")</f>
        <v>0</v>
      </c>
    </row>
    <row r="5709" spans="2:2">
      <c r="B5709" s="21">
        <f>IF(AND(C5709&lt;&gt;"", H5709&lt;&gt;""), HYPERLINK("#'" &amp; C5709 &amp; "'!" &amp; H5709, H5709), "")</f>
        <v>0</v>
      </c>
    </row>
    <row r="5710" spans="2:2">
      <c r="B5710" s="21">
        <f>IF(AND(C5710&lt;&gt;"", H5710&lt;&gt;""), HYPERLINK("#'" &amp; C5710 &amp; "'!" &amp; H5710, H5710), "")</f>
        <v>0</v>
      </c>
    </row>
    <row r="5711" spans="2:2">
      <c r="B5711" s="21">
        <f>IF(AND(C5711&lt;&gt;"", H5711&lt;&gt;""), HYPERLINK("#'" &amp; C5711 &amp; "'!" &amp; H5711, H5711), "")</f>
        <v>0</v>
      </c>
    </row>
    <row r="5712" spans="2:2">
      <c r="B5712" s="21">
        <f>IF(AND(C5712&lt;&gt;"", H5712&lt;&gt;""), HYPERLINK("#'" &amp; C5712 &amp; "'!" &amp; H5712, H5712), "")</f>
        <v>0</v>
      </c>
    </row>
    <row r="5713" spans="2:2">
      <c r="B5713" s="21">
        <f>IF(AND(C5713&lt;&gt;"", H5713&lt;&gt;""), HYPERLINK("#'" &amp; C5713 &amp; "'!" &amp; H5713, H5713), "")</f>
        <v>0</v>
      </c>
    </row>
    <row r="5714" spans="2:2">
      <c r="B5714" s="21">
        <f>IF(AND(C5714&lt;&gt;"", H5714&lt;&gt;""), HYPERLINK("#'" &amp; C5714 &amp; "'!" &amp; H5714, H5714), "")</f>
        <v>0</v>
      </c>
    </row>
    <row r="5715" spans="2:2">
      <c r="B5715" s="21">
        <f>IF(AND(C5715&lt;&gt;"", H5715&lt;&gt;""), HYPERLINK("#'" &amp; C5715 &amp; "'!" &amp; H5715, H5715), "")</f>
        <v>0</v>
      </c>
    </row>
    <row r="5716" spans="2:2">
      <c r="B5716" s="21">
        <f>IF(AND(C5716&lt;&gt;"", H5716&lt;&gt;""), HYPERLINK("#'" &amp; C5716 &amp; "'!" &amp; H5716, H5716), "")</f>
        <v>0</v>
      </c>
    </row>
    <row r="5717" spans="2:2">
      <c r="B5717" s="21">
        <f>IF(AND(C5717&lt;&gt;"", H5717&lt;&gt;""), HYPERLINK("#'" &amp; C5717 &amp; "'!" &amp; H5717, H5717), "")</f>
        <v>0</v>
      </c>
    </row>
    <row r="5718" spans="2:2">
      <c r="B5718" s="21">
        <f>IF(AND(C5718&lt;&gt;"", H5718&lt;&gt;""), HYPERLINK("#'" &amp; C5718 &amp; "'!" &amp; H5718, H5718), "")</f>
        <v>0</v>
      </c>
    </row>
    <row r="5719" spans="2:2">
      <c r="B5719" s="21">
        <f>IF(AND(C5719&lt;&gt;"", H5719&lt;&gt;""), HYPERLINK("#'" &amp; C5719 &amp; "'!" &amp; H5719, H5719), "")</f>
        <v>0</v>
      </c>
    </row>
    <row r="5720" spans="2:2">
      <c r="B5720" s="21">
        <f>IF(AND(C5720&lt;&gt;"", H5720&lt;&gt;""), HYPERLINK("#'" &amp; C5720 &amp; "'!" &amp; H5720, H5720), "")</f>
        <v>0</v>
      </c>
    </row>
    <row r="5721" spans="2:2">
      <c r="B5721" s="21">
        <f>IF(AND(C5721&lt;&gt;"", H5721&lt;&gt;""), HYPERLINK("#'" &amp; C5721 &amp; "'!" &amp; H5721, H5721), "")</f>
        <v>0</v>
      </c>
    </row>
    <row r="5722" spans="2:2">
      <c r="B5722" s="21">
        <f>IF(AND(C5722&lt;&gt;"", H5722&lt;&gt;""), HYPERLINK("#'" &amp; C5722 &amp; "'!" &amp; H5722, H5722), "")</f>
        <v>0</v>
      </c>
    </row>
    <row r="5723" spans="2:2">
      <c r="B5723" s="21">
        <f>IF(AND(C5723&lt;&gt;"", H5723&lt;&gt;""), HYPERLINK("#'" &amp; C5723 &amp; "'!" &amp; H5723, H5723), "")</f>
        <v>0</v>
      </c>
    </row>
    <row r="5724" spans="2:2">
      <c r="B5724" s="21">
        <f>IF(AND(C5724&lt;&gt;"", H5724&lt;&gt;""), HYPERLINK("#'" &amp; C5724 &amp; "'!" &amp; H5724, H5724), "")</f>
        <v>0</v>
      </c>
    </row>
    <row r="5725" spans="2:2">
      <c r="B5725" s="21">
        <f>IF(AND(C5725&lt;&gt;"", H5725&lt;&gt;""), HYPERLINK("#'" &amp; C5725 &amp; "'!" &amp; H5725, H5725), "")</f>
        <v>0</v>
      </c>
    </row>
    <row r="5726" spans="2:2">
      <c r="B5726" s="21">
        <f>IF(AND(C5726&lt;&gt;"", H5726&lt;&gt;""), HYPERLINK("#'" &amp; C5726 &amp; "'!" &amp; H5726, H5726), "")</f>
        <v>0</v>
      </c>
    </row>
    <row r="5727" spans="2:2">
      <c r="B5727" s="21">
        <f>IF(AND(C5727&lt;&gt;"", H5727&lt;&gt;""), HYPERLINK("#'" &amp; C5727 &amp; "'!" &amp; H5727, H5727), "")</f>
        <v>0</v>
      </c>
    </row>
    <row r="5728" spans="2:2">
      <c r="B5728" s="21">
        <f>IF(AND(C5728&lt;&gt;"", H5728&lt;&gt;""), HYPERLINK("#'" &amp; C5728 &amp; "'!" &amp; H5728, H5728), "")</f>
        <v>0</v>
      </c>
    </row>
    <row r="5729" spans="2:2">
      <c r="B5729" s="21">
        <f>IF(AND(C5729&lt;&gt;"", H5729&lt;&gt;""), HYPERLINK("#'" &amp; C5729 &amp; "'!" &amp; H5729, H5729), "")</f>
        <v>0</v>
      </c>
    </row>
    <row r="5730" spans="2:2">
      <c r="B5730" s="21">
        <f>IF(AND(C5730&lt;&gt;"", H5730&lt;&gt;""), HYPERLINK("#'" &amp; C5730 &amp; "'!" &amp; H5730, H5730), "")</f>
        <v>0</v>
      </c>
    </row>
    <row r="5731" spans="2:2">
      <c r="B5731" s="21">
        <f>IF(AND(C5731&lt;&gt;"", H5731&lt;&gt;""), HYPERLINK("#'" &amp; C5731 &amp; "'!" &amp; H5731, H5731), "")</f>
        <v>0</v>
      </c>
    </row>
    <row r="5732" spans="2:2">
      <c r="B5732" s="21">
        <f>IF(AND(C5732&lt;&gt;"", H5732&lt;&gt;""), HYPERLINK("#'" &amp; C5732 &amp; "'!" &amp; H5732, H5732), "")</f>
        <v>0</v>
      </c>
    </row>
    <row r="5733" spans="2:2">
      <c r="B5733" s="21">
        <f>IF(AND(C5733&lt;&gt;"", H5733&lt;&gt;""), HYPERLINK("#'" &amp; C5733 &amp; "'!" &amp; H5733, H5733), "")</f>
        <v>0</v>
      </c>
    </row>
    <row r="5734" spans="2:2">
      <c r="B5734" s="21">
        <f>IF(AND(C5734&lt;&gt;"", H5734&lt;&gt;""), HYPERLINK("#'" &amp; C5734 &amp; "'!" &amp; H5734, H5734), "")</f>
        <v>0</v>
      </c>
    </row>
    <row r="5735" spans="2:2">
      <c r="B5735" s="21">
        <f>IF(AND(C5735&lt;&gt;"", H5735&lt;&gt;""), HYPERLINK("#'" &amp; C5735 &amp; "'!" &amp; H5735, H5735), "")</f>
        <v>0</v>
      </c>
    </row>
    <row r="5736" spans="2:2">
      <c r="B5736" s="21">
        <f>IF(AND(C5736&lt;&gt;"", H5736&lt;&gt;""), HYPERLINK("#'" &amp; C5736 &amp; "'!" &amp; H5736, H5736), "")</f>
        <v>0</v>
      </c>
    </row>
    <row r="5737" spans="2:2">
      <c r="B5737" s="21">
        <f>IF(AND(C5737&lt;&gt;"", H5737&lt;&gt;""), HYPERLINK("#'" &amp; C5737 &amp; "'!" &amp; H5737, H5737), "")</f>
        <v>0</v>
      </c>
    </row>
    <row r="5738" spans="2:2">
      <c r="B5738" s="21">
        <f>IF(AND(C5738&lt;&gt;"", H5738&lt;&gt;""), HYPERLINK("#'" &amp; C5738 &amp; "'!" &amp; H5738, H5738), "")</f>
        <v>0</v>
      </c>
    </row>
    <row r="5739" spans="2:2">
      <c r="B5739" s="21">
        <f>IF(AND(C5739&lt;&gt;"", H5739&lt;&gt;""), HYPERLINK("#'" &amp; C5739 &amp; "'!" &amp; H5739, H5739), "")</f>
        <v>0</v>
      </c>
    </row>
    <row r="5740" spans="2:2">
      <c r="B5740" s="21">
        <f>IF(AND(C5740&lt;&gt;"", H5740&lt;&gt;""), HYPERLINK("#'" &amp; C5740 &amp; "'!" &amp; H5740, H5740), "")</f>
        <v>0</v>
      </c>
    </row>
    <row r="5741" spans="2:2">
      <c r="B5741" s="21">
        <f>IF(AND(C5741&lt;&gt;"", H5741&lt;&gt;""), HYPERLINK("#'" &amp; C5741 &amp; "'!" &amp; H5741, H5741), "")</f>
        <v>0</v>
      </c>
    </row>
    <row r="5742" spans="2:2">
      <c r="B5742" s="21">
        <f>IF(AND(C5742&lt;&gt;"", H5742&lt;&gt;""), HYPERLINK("#'" &amp; C5742 &amp; "'!" &amp; H5742, H5742), "")</f>
        <v>0</v>
      </c>
    </row>
    <row r="5743" spans="2:2">
      <c r="B5743" s="21">
        <f>IF(AND(C5743&lt;&gt;"", H5743&lt;&gt;""), HYPERLINK("#'" &amp; C5743 &amp; "'!" &amp; H5743, H5743), "")</f>
        <v>0</v>
      </c>
    </row>
    <row r="5744" spans="2:2">
      <c r="B5744" s="21">
        <f>IF(AND(C5744&lt;&gt;"", H5744&lt;&gt;""), HYPERLINK("#'" &amp; C5744 &amp; "'!" &amp; H5744, H5744), "")</f>
        <v>0</v>
      </c>
    </row>
    <row r="5745" spans="2:2">
      <c r="B5745" s="21">
        <f>IF(AND(C5745&lt;&gt;"", H5745&lt;&gt;""), HYPERLINK("#'" &amp; C5745 &amp; "'!" &amp; H5745, H5745), "")</f>
        <v>0</v>
      </c>
    </row>
    <row r="5746" spans="2:2">
      <c r="B5746" s="21">
        <f>IF(AND(C5746&lt;&gt;"", H5746&lt;&gt;""), HYPERLINK("#'" &amp; C5746 &amp; "'!" &amp; H5746, H5746), "")</f>
        <v>0</v>
      </c>
    </row>
    <row r="5747" spans="2:2">
      <c r="B5747" s="21">
        <f>IF(AND(C5747&lt;&gt;"", H5747&lt;&gt;""), HYPERLINK("#'" &amp; C5747 &amp; "'!" &amp; H5747, H5747), "")</f>
        <v>0</v>
      </c>
    </row>
    <row r="5748" spans="2:2">
      <c r="B5748" s="21">
        <f>IF(AND(C5748&lt;&gt;"", H5748&lt;&gt;""), HYPERLINK("#'" &amp; C5748 &amp; "'!" &amp; H5748, H5748), "")</f>
        <v>0</v>
      </c>
    </row>
    <row r="5749" spans="2:2">
      <c r="B5749" s="21">
        <f>IF(AND(C5749&lt;&gt;"", H5749&lt;&gt;""), HYPERLINK("#'" &amp; C5749 &amp; "'!" &amp; H5749, H5749), "")</f>
        <v>0</v>
      </c>
    </row>
    <row r="5750" spans="2:2">
      <c r="B5750" s="21">
        <f>IF(AND(C5750&lt;&gt;"", H5750&lt;&gt;""), HYPERLINK("#'" &amp; C5750 &amp; "'!" &amp; H5750, H5750), "")</f>
        <v>0</v>
      </c>
    </row>
    <row r="5751" spans="2:2">
      <c r="B5751" s="21">
        <f>IF(AND(C5751&lt;&gt;"", H5751&lt;&gt;""), HYPERLINK("#'" &amp; C5751 &amp; "'!" &amp; H5751, H5751), "")</f>
        <v>0</v>
      </c>
    </row>
    <row r="5752" spans="2:2">
      <c r="B5752" s="21">
        <f>IF(AND(C5752&lt;&gt;"", H5752&lt;&gt;""), HYPERLINK("#'" &amp; C5752 &amp; "'!" &amp; H5752, H5752), "")</f>
        <v>0</v>
      </c>
    </row>
    <row r="5753" spans="2:2">
      <c r="B5753" s="21">
        <f>IF(AND(C5753&lt;&gt;"", H5753&lt;&gt;""), HYPERLINK("#'" &amp; C5753 &amp; "'!" &amp; H5753, H5753), "")</f>
        <v>0</v>
      </c>
    </row>
    <row r="5754" spans="2:2">
      <c r="B5754" s="21">
        <f>IF(AND(C5754&lt;&gt;"", H5754&lt;&gt;""), HYPERLINK("#'" &amp; C5754 &amp; "'!" &amp; H5754, H5754), "")</f>
        <v>0</v>
      </c>
    </row>
    <row r="5755" spans="2:2">
      <c r="B5755" s="21">
        <f>IF(AND(C5755&lt;&gt;"", H5755&lt;&gt;""), HYPERLINK("#'" &amp; C5755 &amp; "'!" &amp; H5755, H5755), "")</f>
        <v>0</v>
      </c>
    </row>
    <row r="5756" spans="2:2">
      <c r="B5756" s="21">
        <f>IF(AND(C5756&lt;&gt;"", H5756&lt;&gt;""), HYPERLINK("#'" &amp; C5756 &amp; "'!" &amp; H5756, H5756), "")</f>
        <v>0</v>
      </c>
    </row>
    <row r="5757" spans="2:2">
      <c r="B5757" s="21">
        <f>IF(AND(C5757&lt;&gt;"", H5757&lt;&gt;""), HYPERLINK("#'" &amp; C5757 &amp; "'!" &amp; H5757, H5757), "")</f>
        <v>0</v>
      </c>
    </row>
    <row r="5758" spans="2:2">
      <c r="B5758" s="21">
        <f>IF(AND(C5758&lt;&gt;"", H5758&lt;&gt;""), HYPERLINK("#'" &amp; C5758 &amp; "'!" &amp; H5758, H5758), "")</f>
        <v>0</v>
      </c>
    </row>
    <row r="5759" spans="2:2">
      <c r="B5759" s="21">
        <f>IF(AND(C5759&lt;&gt;"", H5759&lt;&gt;""), HYPERLINK("#'" &amp; C5759 &amp; "'!" &amp; H5759, H5759), "")</f>
        <v>0</v>
      </c>
    </row>
    <row r="5760" spans="2:2">
      <c r="B5760" s="21">
        <f>IF(AND(C5760&lt;&gt;"", H5760&lt;&gt;""), HYPERLINK("#'" &amp; C5760 &amp; "'!" &amp; H5760, H5760), "")</f>
        <v>0</v>
      </c>
    </row>
    <row r="5761" spans="2:2">
      <c r="B5761" s="21">
        <f>IF(AND(C5761&lt;&gt;"", H5761&lt;&gt;""), HYPERLINK("#'" &amp; C5761 &amp; "'!" &amp; H5761, H5761), "")</f>
        <v>0</v>
      </c>
    </row>
    <row r="5762" spans="2:2">
      <c r="B5762" s="21">
        <f>IF(AND(C5762&lt;&gt;"", H5762&lt;&gt;""), HYPERLINK("#'" &amp; C5762 &amp; "'!" &amp; H5762, H5762), "")</f>
        <v>0</v>
      </c>
    </row>
    <row r="5763" spans="2:2">
      <c r="B5763" s="21">
        <f>IF(AND(C5763&lt;&gt;"", H5763&lt;&gt;""), HYPERLINK("#'" &amp; C5763 &amp; "'!" &amp; H5763, H5763), "")</f>
        <v>0</v>
      </c>
    </row>
    <row r="5764" spans="2:2">
      <c r="B5764" s="21">
        <f>IF(AND(C5764&lt;&gt;"", H5764&lt;&gt;""), HYPERLINK("#'" &amp; C5764 &amp; "'!" &amp; H5764, H5764), "")</f>
        <v>0</v>
      </c>
    </row>
    <row r="5765" spans="2:2">
      <c r="B5765" s="21">
        <f>IF(AND(C5765&lt;&gt;"", H5765&lt;&gt;""), HYPERLINK("#'" &amp; C5765 &amp; "'!" &amp; H5765, H5765), "")</f>
        <v>0</v>
      </c>
    </row>
    <row r="5766" spans="2:2">
      <c r="B5766" s="21">
        <f>IF(AND(C5766&lt;&gt;"", H5766&lt;&gt;""), HYPERLINK("#'" &amp; C5766 &amp; "'!" &amp; H5766, H5766), "")</f>
        <v>0</v>
      </c>
    </row>
    <row r="5767" spans="2:2">
      <c r="B5767" s="21">
        <f>IF(AND(C5767&lt;&gt;"", H5767&lt;&gt;""), HYPERLINK("#'" &amp; C5767 &amp; "'!" &amp; H5767, H5767), "")</f>
        <v>0</v>
      </c>
    </row>
    <row r="5768" spans="2:2">
      <c r="B5768" s="21">
        <f>IF(AND(C5768&lt;&gt;"", H5768&lt;&gt;""), HYPERLINK("#'" &amp; C5768 &amp; "'!" &amp; H5768, H5768), "")</f>
        <v>0</v>
      </c>
    </row>
    <row r="5769" spans="2:2">
      <c r="B5769" s="21">
        <f>IF(AND(C5769&lt;&gt;"", H5769&lt;&gt;""), HYPERLINK("#'" &amp; C5769 &amp; "'!" &amp; H5769, H5769), "")</f>
        <v>0</v>
      </c>
    </row>
    <row r="5770" spans="2:2">
      <c r="B5770" s="21">
        <f>IF(AND(C5770&lt;&gt;"", H5770&lt;&gt;""), HYPERLINK("#'" &amp; C5770 &amp; "'!" &amp; H5770, H5770), "")</f>
        <v>0</v>
      </c>
    </row>
    <row r="5771" spans="2:2">
      <c r="B5771" s="21">
        <f>IF(AND(C5771&lt;&gt;"", H5771&lt;&gt;""), HYPERLINK("#'" &amp; C5771 &amp; "'!" &amp; H5771, H5771), "")</f>
        <v>0</v>
      </c>
    </row>
    <row r="5772" spans="2:2">
      <c r="B5772" s="21">
        <f>IF(AND(C5772&lt;&gt;"", H5772&lt;&gt;""), HYPERLINK("#'" &amp; C5772 &amp; "'!" &amp; H5772, H5772), "")</f>
        <v>0</v>
      </c>
    </row>
    <row r="5773" spans="2:2">
      <c r="B5773" s="21">
        <f>IF(AND(C5773&lt;&gt;"", H5773&lt;&gt;""), HYPERLINK("#'" &amp; C5773 &amp; "'!" &amp; H5773, H5773), "")</f>
        <v>0</v>
      </c>
    </row>
    <row r="5774" spans="2:2">
      <c r="B5774" s="21">
        <f>IF(AND(C5774&lt;&gt;"", H5774&lt;&gt;""), HYPERLINK("#'" &amp; C5774 &amp; "'!" &amp; H5774, H5774), "")</f>
        <v>0</v>
      </c>
    </row>
    <row r="5775" spans="2:2">
      <c r="B5775" s="21">
        <f>IF(AND(C5775&lt;&gt;"", H5775&lt;&gt;""), HYPERLINK("#'" &amp; C5775 &amp; "'!" &amp; H5775, H5775), "")</f>
        <v>0</v>
      </c>
    </row>
    <row r="5776" spans="2:2">
      <c r="B5776" s="21">
        <f>IF(AND(C5776&lt;&gt;"", H5776&lt;&gt;""), HYPERLINK("#'" &amp; C5776 &amp; "'!" &amp; H5776, H5776), "")</f>
        <v>0</v>
      </c>
    </row>
    <row r="5777" spans="2:2">
      <c r="B5777" s="21">
        <f>IF(AND(C5777&lt;&gt;"", H5777&lt;&gt;""), HYPERLINK("#'" &amp; C5777 &amp; "'!" &amp; H5777, H5777), "")</f>
        <v>0</v>
      </c>
    </row>
    <row r="5778" spans="2:2">
      <c r="B5778" s="21">
        <f>IF(AND(C5778&lt;&gt;"", H5778&lt;&gt;""), HYPERLINK("#'" &amp; C5778 &amp; "'!" &amp; H5778, H5778), "")</f>
        <v>0</v>
      </c>
    </row>
    <row r="5779" spans="2:2">
      <c r="B5779" s="21">
        <f>IF(AND(C5779&lt;&gt;"", H5779&lt;&gt;""), HYPERLINK("#'" &amp; C5779 &amp; "'!" &amp; H5779, H5779), "")</f>
        <v>0</v>
      </c>
    </row>
    <row r="5780" spans="2:2">
      <c r="B5780" s="21">
        <f>IF(AND(C5780&lt;&gt;"", H5780&lt;&gt;""), HYPERLINK("#'" &amp; C5780 &amp; "'!" &amp; H5780, H5780), "")</f>
        <v>0</v>
      </c>
    </row>
    <row r="5781" spans="2:2">
      <c r="B5781" s="21">
        <f>IF(AND(C5781&lt;&gt;"", H5781&lt;&gt;""), HYPERLINK("#'" &amp; C5781 &amp; "'!" &amp; H5781, H5781), "")</f>
        <v>0</v>
      </c>
    </row>
    <row r="5782" spans="2:2">
      <c r="B5782" s="21">
        <f>IF(AND(C5782&lt;&gt;"", H5782&lt;&gt;""), HYPERLINK("#'" &amp; C5782 &amp; "'!" &amp; H5782, H5782), "")</f>
        <v>0</v>
      </c>
    </row>
    <row r="5783" spans="2:2">
      <c r="B5783" s="21">
        <f>IF(AND(C5783&lt;&gt;"", H5783&lt;&gt;""), HYPERLINK("#'" &amp; C5783 &amp; "'!" &amp; H5783, H5783), "")</f>
        <v>0</v>
      </c>
    </row>
    <row r="5784" spans="2:2">
      <c r="B5784" s="21">
        <f>IF(AND(C5784&lt;&gt;"", H5784&lt;&gt;""), HYPERLINK("#'" &amp; C5784 &amp; "'!" &amp; H5784, H5784), "")</f>
        <v>0</v>
      </c>
    </row>
    <row r="5785" spans="2:2">
      <c r="B5785" s="21">
        <f>IF(AND(C5785&lt;&gt;"", H5785&lt;&gt;""), HYPERLINK("#'" &amp; C5785 &amp; "'!" &amp; H5785, H5785), "")</f>
        <v>0</v>
      </c>
    </row>
    <row r="5786" spans="2:2">
      <c r="B5786" s="21">
        <f>IF(AND(C5786&lt;&gt;"", H5786&lt;&gt;""), HYPERLINK("#'" &amp; C5786 &amp; "'!" &amp; H5786, H5786), "")</f>
        <v>0</v>
      </c>
    </row>
    <row r="5787" spans="2:2">
      <c r="B5787" s="21">
        <f>IF(AND(C5787&lt;&gt;"", H5787&lt;&gt;""), HYPERLINK("#'" &amp; C5787 &amp; "'!" &amp; H5787, H5787), "")</f>
        <v>0</v>
      </c>
    </row>
    <row r="5788" spans="2:2">
      <c r="B5788" s="21">
        <f>IF(AND(C5788&lt;&gt;"", H5788&lt;&gt;""), HYPERLINK("#'" &amp; C5788 &amp; "'!" &amp; H5788, H5788), "")</f>
        <v>0</v>
      </c>
    </row>
    <row r="5789" spans="2:2">
      <c r="B5789" s="21">
        <f>IF(AND(C5789&lt;&gt;"", H5789&lt;&gt;""), HYPERLINK("#'" &amp; C5789 &amp; "'!" &amp; H5789, H5789), "")</f>
        <v>0</v>
      </c>
    </row>
    <row r="5790" spans="2:2">
      <c r="B5790" s="21">
        <f>IF(AND(C5790&lt;&gt;"", H5790&lt;&gt;""), HYPERLINK("#'" &amp; C5790 &amp; "'!" &amp; H5790, H5790), "")</f>
        <v>0</v>
      </c>
    </row>
    <row r="5791" spans="2:2">
      <c r="B5791" s="21">
        <f>IF(AND(C5791&lt;&gt;"", H5791&lt;&gt;""), HYPERLINK("#'" &amp; C5791 &amp; "'!" &amp; H5791, H5791), "")</f>
        <v>0</v>
      </c>
    </row>
    <row r="5792" spans="2:2">
      <c r="B5792" s="21">
        <f>IF(AND(C5792&lt;&gt;"", H5792&lt;&gt;""), HYPERLINK("#'" &amp; C5792 &amp; "'!" &amp; H5792, H5792), "")</f>
        <v>0</v>
      </c>
    </row>
    <row r="5793" spans="2:2">
      <c r="B5793" s="21">
        <f>IF(AND(C5793&lt;&gt;"", H5793&lt;&gt;""), HYPERLINK("#'" &amp; C5793 &amp; "'!" &amp; H5793, H5793), "")</f>
        <v>0</v>
      </c>
    </row>
    <row r="5794" spans="2:2">
      <c r="B5794" s="21">
        <f>IF(AND(C5794&lt;&gt;"", H5794&lt;&gt;""), HYPERLINK("#'" &amp; C5794 &amp; "'!" &amp; H5794, H5794), "")</f>
        <v>0</v>
      </c>
    </row>
    <row r="5795" spans="2:2">
      <c r="B5795" s="21">
        <f>IF(AND(C5795&lt;&gt;"", H5795&lt;&gt;""), HYPERLINK("#'" &amp; C5795 &amp; "'!" &amp; H5795, H5795), "")</f>
        <v>0</v>
      </c>
    </row>
    <row r="5796" spans="2:2">
      <c r="B5796" s="21">
        <f>IF(AND(C5796&lt;&gt;"", H5796&lt;&gt;""), HYPERLINK("#'" &amp; C5796 &amp; "'!" &amp; H5796, H5796), "")</f>
        <v>0</v>
      </c>
    </row>
    <row r="5797" spans="2:2">
      <c r="B5797" s="21">
        <f>IF(AND(C5797&lt;&gt;"", H5797&lt;&gt;""), HYPERLINK("#'" &amp; C5797 &amp; "'!" &amp; H5797, H5797), "")</f>
        <v>0</v>
      </c>
    </row>
    <row r="5798" spans="2:2">
      <c r="B5798" s="21">
        <f>IF(AND(C5798&lt;&gt;"", H5798&lt;&gt;""), HYPERLINK("#'" &amp; C5798 &amp; "'!" &amp; H5798, H5798), "")</f>
        <v>0</v>
      </c>
    </row>
    <row r="5799" spans="2:2">
      <c r="B5799" s="21">
        <f>IF(AND(C5799&lt;&gt;"", H5799&lt;&gt;""), HYPERLINK("#'" &amp; C5799 &amp; "'!" &amp; H5799, H5799), "")</f>
        <v>0</v>
      </c>
    </row>
    <row r="5800" spans="2:2">
      <c r="B5800" s="21">
        <f>IF(AND(C5800&lt;&gt;"", H5800&lt;&gt;""), HYPERLINK("#'" &amp; C5800 &amp; "'!" &amp; H5800, H5800), "")</f>
        <v>0</v>
      </c>
    </row>
    <row r="5801" spans="2:2">
      <c r="B5801" s="21">
        <f>IF(AND(C5801&lt;&gt;"", H5801&lt;&gt;""), HYPERLINK("#'" &amp; C5801 &amp; "'!" &amp; H5801, H5801), "")</f>
        <v>0</v>
      </c>
    </row>
    <row r="5802" spans="2:2">
      <c r="B5802" s="21">
        <f>IF(AND(C5802&lt;&gt;"", H5802&lt;&gt;""), HYPERLINK("#'" &amp; C5802 &amp; "'!" &amp; H5802, H5802), "")</f>
        <v>0</v>
      </c>
    </row>
    <row r="5803" spans="2:2">
      <c r="B5803" s="21">
        <f>IF(AND(C5803&lt;&gt;"", H5803&lt;&gt;""), HYPERLINK("#'" &amp; C5803 &amp; "'!" &amp; H5803, H5803), "")</f>
        <v>0</v>
      </c>
    </row>
    <row r="5804" spans="2:2">
      <c r="B5804" s="21">
        <f>IF(AND(C5804&lt;&gt;"", H5804&lt;&gt;""), HYPERLINK("#'" &amp; C5804 &amp; "'!" &amp; H5804, H5804), "")</f>
        <v>0</v>
      </c>
    </row>
    <row r="5805" spans="2:2">
      <c r="B5805" s="21">
        <f>IF(AND(C5805&lt;&gt;"", H5805&lt;&gt;""), HYPERLINK("#'" &amp; C5805 &amp; "'!" &amp; H5805, H5805), "")</f>
        <v>0</v>
      </c>
    </row>
    <row r="5806" spans="2:2">
      <c r="B5806" s="21">
        <f>IF(AND(C5806&lt;&gt;"", H5806&lt;&gt;""), HYPERLINK("#'" &amp; C5806 &amp; "'!" &amp; H5806, H5806), "")</f>
        <v>0</v>
      </c>
    </row>
    <row r="5807" spans="2:2">
      <c r="B5807" s="21">
        <f>IF(AND(C5807&lt;&gt;"", H5807&lt;&gt;""), HYPERLINK("#'" &amp; C5807 &amp; "'!" &amp; H5807, H5807), "")</f>
        <v>0</v>
      </c>
    </row>
    <row r="5808" spans="2:2">
      <c r="B5808" s="21">
        <f>IF(AND(C5808&lt;&gt;"", H5808&lt;&gt;""), HYPERLINK("#'" &amp; C5808 &amp; "'!" &amp; H5808, H5808), "")</f>
        <v>0</v>
      </c>
    </row>
    <row r="5809" spans="2:2">
      <c r="B5809" s="21">
        <f>IF(AND(C5809&lt;&gt;"", H5809&lt;&gt;""), HYPERLINK("#'" &amp; C5809 &amp; "'!" &amp; H5809, H5809), "")</f>
        <v>0</v>
      </c>
    </row>
    <row r="5810" spans="2:2">
      <c r="B5810" s="21">
        <f>IF(AND(C5810&lt;&gt;"", H5810&lt;&gt;""), HYPERLINK("#'" &amp; C5810 &amp; "'!" &amp; H5810, H5810), "")</f>
        <v>0</v>
      </c>
    </row>
    <row r="5811" spans="2:2">
      <c r="B5811" s="21">
        <f>IF(AND(C5811&lt;&gt;"", H5811&lt;&gt;""), HYPERLINK("#'" &amp; C5811 &amp; "'!" &amp; H5811, H5811), "")</f>
        <v>0</v>
      </c>
    </row>
    <row r="5812" spans="2:2">
      <c r="B5812" s="21">
        <f>IF(AND(C5812&lt;&gt;"", H5812&lt;&gt;""), HYPERLINK("#'" &amp; C5812 &amp; "'!" &amp; H5812, H5812), "")</f>
        <v>0</v>
      </c>
    </row>
    <row r="5813" spans="2:2">
      <c r="B5813" s="21">
        <f>IF(AND(C5813&lt;&gt;"", H5813&lt;&gt;""), HYPERLINK("#'" &amp; C5813 &amp; "'!" &amp; H5813, H5813), "")</f>
        <v>0</v>
      </c>
    </row>
    <row r="5814" spans="2:2">
      <c r="B5814" s="21">
        <f>IF(AND(C5814&lt;&gt;"", H5814&lt;&gt;""), HYPERLINK("#'" &amp; C5814 &amp; "'!" &amp; H5814, H5814), "")</f>
        <v>0</v>
      </c>
    </row>
    <row r="5815" spans="2:2">
      <c r="B5815" s="21">
        <f>IF(AND(C5815&lt;&gt;"", H5815&lt;&gt;""), HYPERLINK("#'" &amp; C5815 &amp; "'!" &amp; H5815, H5815), "")</f>
        <v>0</v>
      </c>
    </row>
    <row r="5816" spans="2:2">
      <c r="B5816" s="21">
        <f>IF(AND(C5816&lt;&gt;"", H5816&lt;&gt;""), HYPERLINK("#'" &amp; C5816 &amp; "'!" &amp; H5816, H5816), "")</f>
        <v>0</v>
      </c>
    </row>
    <row r="5817" spans="2:2">
      <c r="B5817" s="21">
        <f>IF(AND(C5817&lt;&gt;"", H5817&lt;&gt;""), HYPERLINK("#'" &amp; C5817 &amp; "'!" &amp; H5817, H5817), "")</f>
        <v>0</v>
      </c>
    </row>
    <row r="5818" spans="2:2">
      <c r="B5818" s="21">
        <f>IF(AND(C5818&lt;&gt;"", H5818&lt;&gt;""), HYPERLINK("#'" &amp; C5818 &amp; "'!" &amp; H5818, H5818), "")</f>
        <v>0</v>
      </c>
    </row>
    <row r="5819" spans="2:2">
      <c r="B5819" s="21">
        <f>IF(AND(C5819&lt;&gt;"", H5819&lt;&gt;""), HYPERLINK("#'" &amp; C5819 &amp; "'!" &amp; H5819, H5819), "")</f>
        <v>0</v>
      </c>
    </row>
    <row r="5820" spans="2:2">
      <c r="B5820" s="21">
        <f>IF(AND(C5820&lt;&gt;"", H5820&lt;&gt;""), HYPERLINK("#'" &amp; C5820 &amp; "'!" &amp; H5820, H5820), "")</f>
        <v>0</v>
      </c>
    </row>
    <row r="5821" spans="2:2">
      <c r="B5821" s="21">
        <f>IF(AND(C5821&lt;&gt;"", H5821&lt;&gt;""), HYPERLINK("#'" &amp; C5821 &amp; "'!" &amp; H5821, H5821), "")</f>
        <v>0</v>
      </c>
    </row>
    <row r="5822" spans="2:2">
      <c r="B5822" s="21">
        <f>IF(AND(C5822&lt;&gt;"", H5822&lt;&gt;""), HYPERLINK("#'" &amp; C5822 &amp; "'!" &amp; H5822, H5822), "")</f>
        <v>0</v>
      </c>
    </row>
    <row r="5823" spans="2:2">
      <c r="B5823" s="21">
        <f>IF(AND(C5823&lt;&gt;"", H5823&lt;&gt;""), HYPERLINK("#'" &amp; C5823 &amp; "'!" &amp; H5823, H5823), "")</f>
        <v>0</v>
      </c>
    </row>
    <row r="5824" spans="2:2">
      <c r="B5824" s="21">
        <f>IF(AND(C5824&lt;&gt;"", H5824&lt;&gt;""), HYPERLINK("#'" &amp; C5824 &amp; "'!" &amp; H5824, H5824), "")</f>
        <v>0</v>
      </c>
    </row>
    <row r="5825" spans="2:2">
      <c r="B5825" s="21">
        <f>IF(AND(C5825&lt;&gt;"", H5825&lt;&gt;""), HYPERLINK("#'" &amp; C5825 &amp; "'!" &amp; H5825, H5825), "")</f>
        <v>0</v>
      </c>
    </row>
    <row r="5826" spans="2:2">
      <c r="B5826" s="21">
        <f>IF(AND(C5826&lt;&gt;"", H5826&lt;&gt;""), HYPERLINK("#'" &amp; C5826 &amp; "'!" &amp; H5826, H5826), "")</f>
        <v>0</v>
      </c>
    </row>
    <row r="5827" spans="2:2">
      <c r="B5827" s="21">
        <f>IF(AND(C5827&lt;&gt;"", H5827&lt;&gt;""), HYPERLINK("#'" &amp; C5827 &amp; "'!" &amp; H5827, H5827), "")</f>
        <v>0</v>
      </c>
    </row>
    <row r="5828" spans="2:2">
      <c r="B5828" s="21">
        <f>IF(AND(C5828&lt;&gt;"", H5828&lt;&gt;""), HYPERLINK("#'" &amp; C5828 &amp; "'!" &amp; H5828, H5828), "")</f>
        <v>0</v>
      </c>
    </row>
    <row r="5829" spans="2:2">
      <c r="B5829" s="21">
        <f>IF(AND(C5829&lt;&gt;"", H5829&lt;&gt;""), HYPERLINK("#'" &amp; C5829 &amp; "'!" &amp; H5829, H5829), "")</f>
        <v>0</v>
      </c>
    </row>
    <row r="5830" spans="2:2">
      <c r="B5830" s="21">
        <f>IF(AND(C5830&lt;&gt;"", H5830&lt;&gt;""), HYPERLINK("#'" &amp; C5830 &amp; "'!" &amp; H5830, H5830), "")</f>
        <v>0</v>
      </c>
    </row>
    <row r="5831" spans="2:2">
      <c r="B5831" s="21">
        <f>IF(AND(C5831&lt;&gt;"", H5831&lt;&gt;""), HYPERLINK("#'" &amp; C5831 &amp; "'!" &amp; H5831, H5831), "")</f>
        <v>0</v>
      </c>
    </row>
    <row r="5832" spans="2:2">
      <c r="B5832" s="21">
        <f>IF(AND(C5832&lt;&gt;"", H5832&lt;&gt;""), HYPERLINK("#'" &amp; C5832 &amp; "'!" &amp; H5832, H5832), "")</f>
        <v>0</v>
      </c>
    </row>
    <row r="5833" spans="2:2">
      <c r="B5833" s="21">
        <f>IF(AND(C5833&lt;&gt;"", H5833&lt;&gt;""), HYPERLINK("#'" &amp; C5833 &amp; "'!" &amp; H5833, H5833), "")</f>
        <v>0</v>
      </c>
    </row>
    <row r="5834" spans="2:2">
      <c r="B5834" s="21">
        <f>IF(AND(C5834&lt;&gt;"", H5834&lt;&gt;""), HYPERLINK("#'" &amp; C5834 &amp; "'!" &amp; H5834, H5834), "")</f>
        <v>0</v>
      </c>
    </row>
    <row r="5835" spans="2:2">
      <c r="B5835" s="21">
        <f>IF(AND(C5835&lt;&gt;"", H5835&lt;&gt;""), HYPERLINK("#'" &amp; C5835 &amp; "'!" &amp; H5835, H5835), "")</f>
        <v>0</v>
      </c>
    </row>
    <row r="5836" spans="2:2">
      <c r="B5836" s="21">
        <f>IF(AND(C5836&lt;&gt;"", H5836&lt;&gt;""), HYPERLINK("#'" &amp; C5836 &amp; "'!" &amp; H5836, H5836), "")</f>
        <v>0</v>
      </c>
    </row>
    <row r="5837" spans="2:2">
      <c r="B5837" s="21">
        <f>IF(AND(C5837&lt;&gt;"", H5837&lt;&gt;""), HYPERLINK("#'" &amp; C5837 &amp; "'!" &amp; H5837, H5837), "")</f>
        <v>0</v>
      </c>
    </row>
    <row r="5838" spans="2:2">
      <c r="B5838" s="21">
        <f>IF(AND(C5838&lt;&gt;"", H5838&lt;&gt;""), HYPERLINK("#'" &amp; C5838 &amp; "'!" &amp; H5838, H5838), "")</f>
        <v>0</v>
      </c>
    </row>
    <row r="5839" spans="2:2">
      <c r="B5839" s="21">
        <f>IF(AND(C5839&lt;&gt;"", H5839&lt;&gt;""), HYPERLINK("#'" &amp; C5839 &amp; "'!" &amp; H5839, H5839), "")</f>
        <v>0</v>
      </c>
    </row>
    <row r="5840" spans="2:2">
      <c r="B5840" s="21">
        <f>IF(AND(C5840&lt;&gt;"", H5840&lt;&gt;""), HYPERLINK("#'" &amp; C5840 &amp; "'!" &amp; H5840, H5840), "")</f>
        <v>0</v>
      </c>
    </row>
    <row r="5841" spans="2:2">
      <c r="B5841" s="21">
        <f>IF(AND(C5841&lt;&gt;"", H5841&lt;&gt;""), HYPERLINK("#'" &amp; C5841 &amp; "'!" &amp; H5841, H5841), "")</f>
        <v>0</v>
      </c>
    </row>
    <row r="5842" spans="2:2">
      <c r="B5842" s="21">
        <f>IF(AND(C5842&lt;&gt;"", H5842&lt;&gt;""), HYPERLINK("#'" &amp; C5842 &amp; "'!" &amp; H5842, H5842), "")</f>
        <v>0</v>
      </c>
    </row>
    <row r="5843" spans="2:2">
      <c r="B5843" s="21">
        <f>IF(AND(C5843&lt;&gt;"", H5843&lt;&gt;""), HYPERLINK("#'" &amp; C5843 &amp; "'!" &amp; H5843, H5843), "")</f>
        <v>0</v>
      </c>
    </row>
    <row r="5844" spans="2:2">
      <c r="B5844" s="21">
        <f>IF(AND(C5844&lt;&gt;"", H5844&lt;&gt;""), HYPERLINK("#'" &amp; C5844 &amp; "'!" &amp; H5844, H5844), "")</f>
        <v>0</v>
      </c>
    </row>
    <row r="5845" spans="2:2">
      <c r="B5845" s="21">
        <f>IF(AND(C5845&lt;&gt;"", H5845&lt;&gt;""), HYPERLINK("#'" &amp; C5845 &amp; "'!" &amp; H5845, H5845), "")</f>
        <v>0</v>
      </c>
    </row>
    <row r="5846" spans="2:2">
      <c r="B5846" s="21">
        <f>IF(AND(C5846&lt;&gt;"", H5846&lt;&gt;""), HYPERLINK("#'" &amp; C5846 &amp; "'!" &amp; H5846, H5846), "")</f>
        <v>0</v>
      </c>
    </row>
    <row r="5847" spans="2:2">
      <c r="B5847" s="21">
        <f>IF(AND(C5847&lt;&gt;"", H5847&lt;&gt;""), HYPERLINK("#'" &amp; C5847 &amp; "'!" &amp; H5847, H5847), "")</f>
        <v>0</v>
      </c>
    </row>
    <row r="5848" spans="2:2">
      <c r="B5848" s="21">
        <f>IF(AND(C5848&lt;&gt;"", H5848&lt;&gt;""), HYPERLINK("#'" &amp; C5848 &amp; "'!" &amp; H5848, H5848), "")</f>
        <v>0</v>
      </c>
    </row>
    <row r="5849" spans="2:2">
      <c r="B5849" s="21">
        <f>IF(AND(C5849&lt;&gt;"", H5849&lt;&gt;""), HYPERLINK("#'" &amp; C5849 &amp; "'!" &amp; H5849, H5849), "")</f>
        <v>0</v>
      </c>
    </row>
    <row r="5850" spans="2:2">
      <c r="B5850" s="21">
        <f>IF(AND(C5850&lt;&gt;"", H5850&lt;&gt;""), HYPERLINK("#'" &amp; C5850 &amp; "'!" &amp; H5850, H5850), "")</f>
        <v>0</v>
      </c>
    </row>
    <row r="5851" spans="2:2">
      <c r="B5851" s="21">
        <f>IF(AND(C5851&lt;&gt;"", H5851&lt;&gt;""), HYPERLINK("#'" &amp; C5851 &amp; "'!" &amp; H5851, H5851), "")</f>
        <v>0</v>
      </c>
    </row>
    <row r="5852" spans="2:2">
      <c r="B5852" s="21">
        <f>IF(AND(C5852&lt;&gt;"", H5852&lt;&gt;""), HYPERLINK("#'" &amp; C5852 &amp; "'!" &amp; H5852, H5852), "")</f>
        <v>0</v>
      </c>
    </row>
    <row r="5853" spans="2:2">
      <c r="B5853" s="21">
        <f>IF(AND(C5853&lt;&gt;"", H5853&lt;&gt;""), HYPERLINK("#'" &amp; C5853 &amp; "'!" &amp; H5853, H5853), "")</f>
        <v>0</v>
      </c>
    </row>
    <row r="5854" spans="2:2">
      <c r="B5854" s="21">
        <f>IF(AND(C5854&lt;&gt;"", H5854&lt;&gt;""), HYPERLINK("#'" &amp; C5854 &amp; "'!" &amp; H5854, H5854), "")</f>
        <v>0</v>
      </c>
    </row>
    <row r="5855" spans="2:2">
      <c r="B5855" s="21">
        <f>IF(AND(C5855&lt;&gt;"", H5855&lt;&gt;""), HYPERLINK("#'" &amp; C5855 &amp; "'!" &amp; H5855, H5855), "")</f>
        <v>0</v>
      </c>
    </row>
    <row r="5856" spans="2:2">
      <c r="B5856" s="21">
        <f>IF(AND(C5856&lt;&gt;"", H5856&lt;&gt;""), HYPERLINK("#'" &amp; C5856 &amp; "'!" &amp; H5856, H5856), "")</f>
        <v>0</v>
      </c>
    </row>
    <row r="5857" spans="2:2">
      <c r="B5857" s="21">
        <f>IF(AND(C5857&lt;&gt;"", H5857&lt;&gt;""), HYPERLINK("#'" &amp; C5857 &amp; "'!" &amp; H5857, H5857), "")</f>
        <v>0</v>
      </c>
    </row>
    <row r="5858" spans="2:2">
      <c r="B5858" s="21">
        <f>IF(AND(C5858&lt;&gt;"", H5858&lt;&gt;""), HYPERLINK("#'" &amp; C5858 &amp; "'!" &amp; H5858, H5858), "")</f>
        <v>0</v>
      </c>
    </row>
    <row r="5859" spans="2:2">
      <c r="B5859" s="21">
        <f>IF(AND(C5859&lt;&gt;"", H5859&lt;&gt;""), HYPERLINK("#'" &amp; C5859 &amp; "'!" &amp; H5859, H5859), "")</f>
        <v>0</v>
      </c>
    </row>
    <row r="5860" spans="2:2">
      <c r="B5860" s="21">
        <f>IF(AND(C5860&lt;&gt;"", H5860&lt;&gt;""), HYPERLINK("#'" &amp; C5860 &amp; "'!" &amp; H5860, H5860), "")</f>
        <v>0</v>
      </c>
    </row>
    <row r="5861" spans="2:2">
      <c r="B5861" s="21">
        <f>IF(AND(C5861&lt;&gt;"", H5861&lt;&gt;""), HYPERLINK("#'" &amp; C5861 &amp; "'!" &amp; H5861, H5861), "")</f>
        <v>0</v>
      </c>
    </row>
    <row r="5862" spans="2:2">
      <c r="B5862" s="21">
        <f>IF(AND(C5862&lt;&gt;"", H5862&lt;&gt;""), HYPERLINK("#'" &amp; C5862 &amp; "'!" &amp; H5862, H5862), "")</f>
        <v>0</v>
      </c>
    </row>
    <row r="5863" spans="2:2">
      <c r="B5863" s="21">
        <f>IF(AND(C5863&lt;&gt;"", H5863&lt;&gt;""), HYPERLINK("#'" &amp; C5863 &amp; "'!" &amp; H5863, H5863), "")</f>
        <v>0</v>
      </c>
    </row>
    <row r="5864" spans="2:2">
      <c r="B5864" s="21">
        <f>IF(AND(C5864&lt;&gt;"", H5864&lt;&gt;""), HYPERLINK("#'" &amp; C5864 &amp; "'!" &amp; H5864, H5864), "")</f>
        <v>0</v>
      </c>
    </row>
    <row r="5865" spans="2:2">
      <c r="B5865" s="21">
        <f>IF(AND(C5865&lt;&gt;"", H5865&lt;&gt;""), HYPERLINK("#'" &amp; C5865 &amp; "'!" &amp; H5865, H5865), "")</f>
        <v>0</v>
      </c>
    </row>
    <row r="5866" spans="2:2">
      <c r="B5866" s="21">
        <f>IF(AND(C5866&lt;&gt;"", H5866&lt;&gt;""), HYPERLINK("#'" &amp; C5866 &amp; "'!" &amp; H5866, H5866), "")</f>
        <v>0</v>
      </c>
    </row>
    <row r="5867" spans="2:2">
      <c r="B5867" s="21">
        <f>IF(AND(C5867&lt;&gt;"", H5867&lt;&gt;""), HYPERLINK("#'" &amp; C5867 &amp; "'!" &amp; H5867, H5867), "")</f>
        <v>0</v>
      </c>
    </row>
    <row r="5868" spans="2:2">
      <c r="B5868" s="21">
        <f>IF(AND(C5868&lt;&gt;"", H5868&lt;&gt;""), HYPERLINK("#'" &amp; C5868 &amp; "'!" &amp; H5868, H5868), "")</f>
        <v>0</v>
      </c>
    </row>
    <row r="5869" spans="2:2">
      <c r="B5869" s="21">
        <f>IF(AND(C5869&lt;&gt;"", H5869&lt;&gt;""), HYPERLINK("#'" &amp; C5869 &amp; "'!" &amp; H5869, H5869), "")</f>
        <v>0</v>
      </c>
    </row>
    <row r="5870" spans="2:2">
      <c r="B5870" s="21">
        <f>IF(AND(C5870&lt;&gt;"", H5870&lt;&gt;""), HYPERLINK("#'" &amp; C5870 &amp; "'!" &amp; H5870, H5870), "")</f>
        <v>0</v>
      </c>
    </row>
    <row r="5871" spans="2:2">
      <c r="B5871" s="21">
        <f>IF(AND(C5871&lt;&gt;"", H5871&lt;&gt;""), HYPERLINK("#'" &amp; C5871 &amp; "'!" &amp; H5871, H5871), "")</f>
        <v>0</v>
      </c>
    </row>
    <row r="5872" spans="2:2">
      <c r="B5872" s="21">
        <f>IF(AND(C5872&lt;&gt;"", H5872&lt;&gt;""), HYPERLINK("#'" &amp; C5872 &amp; "'!" &amp; H5872, H5872), "")</f>
        <v>0</v>
      </c>
    </row>
    <row r="5873" spans="2:2">
      <c r="B5873" s="21">
        <f>IF(AND(C5873&lt;&gt;"", H5873&lt;&gt;""), HYPERLINK("#'" &amp; C5873 &amp; "'!" &amp; H5873, H5873), "")</f>
        <v>0</v>
      </c>
    </row>
    <row r="5874" spans="2:2">
      <c r="B5874" s="21">
        <f>IF(AND(C5874&lt;&gt;"", H5874&lt;&gt;""), HYPERLINK("#'" &amp; C5874 &amp; "'!" &amp; H5874, H5874), "")</f>
        <v>0</v>
      </c>
    </row>
    <row r="5875" spans="2:2">
      <c r="B5875" s="21">
        <f>IF(AND(C5875&lt;&gt;"", H5875&lt;&gt;""), HYPERLINK("#'" &amp; C5875 &amp; "'!" &amp; H5875, H5875), "")</f>
        <v>0</v>
      </c>
    </row>
    <row r="5876" spans="2:2">
      <c r="B5876" s="21">
        <f>IF(AND(C5876&lt;&gt;"", H5876&lt;&gt;""), HYPERLINK("#'" &amp; C5876 &amp; "'!" &amp; H5876, H5876), "")</f>
        <v>0</v>
      </c>
    </row>
    <row r="5877" spans="2:2">
      <c r="B5877" s="21">
        <f>IF(AND(C5877&lt;&gt;"", H5877&lt;&gt;""), HYPERLINK("#'" &amp; C5877 &amp; "'!" &amp; H5877, H5877), "")</f>
        <v>0</v>
      </c>
    </row>
    <row r="5878" spans="2:2">
      <c r="B5878" s="21">
        <f>IF(AND(C5878&lt;&gt;"", H5878&lt;&gt;""), HYPERLINK("#'" &amp; C5878 &amp; "'!" &amp; H5878, H5878), "")</f>
        <v>0</v>
      </c>
    </row>
    <row r="5879" spans="2:2">
      <c r="B5879" s="21">
        <f>IF(AND(C5879&lt;&gt;"", H5879&lt;&gt;""), HYPERLINK("#'" &amp; C5879 &amp; "'!" &amp; H5879, H5879), "")</f>
        <v>0</v>
      </c>
    </row>
    <row r="5880" spans="2:2">
      <c r="B5880" s="21">
        <f>IF(AND(C5880&lt;&gt;"", H5880&lt;&gt;""), HYPERLINK("#'" &amp; C5880 &amp; "'!" &amp; H5880, H5880), "")</f>
        <v>0</v>
      </c>
    </row>
    <row r="5881" spans="2:2">
      <c r="B5881" s="21">
        <f>IF(AND(C5881&lt;&gt;"", H5881&lt;&gt;""), HYPERLINK("#'" &amp; C5881 &amp; "'!" &amp; H5881, H5881), "")</f>
        <v>0</v>
      </c>
    </row>
    <row r="5882" spans="2:2">
      <c r="B5882" s="21">
        <f>IF(AND(C5882&lt;&gt;"", H5882&lt;&gt;""), HYPERLINK("#'" &amp; C5882 &amp; "'!" &amp; H5882, H5882), "")</f>
        <v>0</v>
      </c>
    </row>
    <row r="5883" spans="2:2">
      <c r="B5883" s="21">
        <f>IF(AND(C5883&lt;&gt;"", H5883&lt;&gt;""), HYPERLINK("#'" &amp; C5883 &amp; "'!" &amp; H5883, H5883), "")</f>
        <v>0</v>
      </c>
    </row>
    <row r="5884" spans="2:2">
      <c r="B5884" s="21">
        <f>IF(AND(C5884&lt;&gt;"", H5884&lt;&gt;""), HYPERLINK("#'" &amp; C5884 &amp; "'!" &amp; H5884, H5884), "")</f>
        <v>0</v>
      </c>
    </row>
    <row r="5885" spans="2:2">
      <c r="B5885" s="21">
        <f>IF(AND(C5885&lt;&gt;"", H5885&lt;&gt;""), HYPERLINK("#'" &amp; C5885 &amp; "'!" &amp; H5885, H5885), "")</f>
        <v>0</v>
      </c>
    </row>
    <row r="5886" spans="2:2">
      <c r="B5886" s="21">
        <f>IF(AND(C5886&lt;&gt;"", H5886&lt;&gt;""), HYPERLINK("#'" &amp; C5886 &amp; "'!" &amp; H5886, H5886), "")</f>
        <v>0</v>
      </c>
    </row>
    <row r="5887" spans="2:2">
      <c r="B5887" s="21">
        <f>IF(AND(C5887&lt;&gt;"", H5887&lt;&gt;""), HYPERLINK("#'" &amp; C5887 &amp; "'!" &amp; H5887, H5887), "")</f>
        <v>0</v>
      </c>
    </row>
    <row r="5888" spans="2:2">
      <c r="B5888" s="21">
        <f>IF(AND(C5888&lt;&gt;"", H5888&lt;&gt;""), HYPERLINK("#'" &amp; C5888 &amp; "'!" &amp; H5888, H5888), "")</f>
        <v>0</v>
      </c>
    </row>
    <row r="5889" spans="2:2">
      <c r="B5889" s="21">
        <f>IF(AND(C5889&lt;&gt;"", H5889&lt;&gt;""), HYPERLINK("#'" &amp; C5889 &amp; "'!" &amp; H5889, H5889), "")</f>
        <v>0</v>
      </c>
    </row>
    <row r="5890" spans="2:2">
      <c r="B5890" s="21">
        <f>IF(AND(C5890&lt;&gt;"", H5890&lt;&gt;""), HYPERLINK("#'" &amp; C5890 &amp; "'!" &amp; H5890, H5890), "")</f>
        <v>0</v>
      </c>
    </row>
    <row r="5891" spans="2:2">
      <c r="B5891" s="21">
        <f>IF(AND(C5891&lt;&gt;"", H5891&lt;&gt;""), HYPERLINK("#'" &amp; C5891 &amp; "'!" &amp; H5891, H5891), "")</f>
        <v>0</v>
      </c>
    </row>
    <row r="5892" spans="2:2">
      <c r="B5892" s="21">
        <f>IF(AND(C5892&lt;&gt;"", H5892&lt;&gt;""), HYPERLINK("#'" &amp; C5892 &amp; "'!" &amp; H5892, H5892), "")</f>
        <v>0</v>
      </c>
    </row>
    <row r="5893" spans="2:2">
      <c r="B5893" s="21">
        <f>IF(AND(C5893&lt;&gt;"", H5893&lt;&gt;""), HYPERLINK("#'" &amp; C5893 &amp; "'!" &amp; H5893, H5893), "")</f>
        <v>0</v>
      </c>
    </row>
    <row r="5894" spans="2:2">
      <c r="B5894" s="21">
        <f>IF(AND(C5894&lt;&gt;"", H5894&lt;&gt;""), HYPERLINK("#'" &amp; C5894 &amp; "'!" &amp; H5894, H5894), "")</f>
        <v>0</v>
      </c>
    </row>
    <row r="5895" spans="2:2">
      <c r="B5895" s="21">
        <f>IF(AND(C5895&lt;&gt;"", H5895&lt;&gt;""), HYPERLINK("#'" &amp; C5895 &amp; "'!" &amp; H5895, H5895), "")</f>
        <v>0</v>
      </c>
    </row>
    <row r="5896" spans="2:2">
      <c r="B5896" s="21">
        <f>IF(AND(C5896&lt;&gt;"", H5896&lt;&gt;""), HYPERLINK("#'" &amp; C5896 &amp; "'!" &amp; H5896, H5896), "")</f>
        <v>0</v>
      </c>
    </row>
    <row r="5897" spans="2:2">
      <c r="B5897" s="21">
        <f>IF(AND(C5897&lt;&gt;"", H5897&lt;&gt;""), HYPERLINK("#'" &amp; C5897 &amp; "'!" &amp; H5897, H5897), "")</f>
        <v>0</v>
      </c>
    </row>
    <row r="5898" spans="2:2">
      <c r="B5898" s="21">
        <f>IF(AND(C5898&lt;&gt;"", H5898&lt;&gt;""), HYPERLINK("#'" &amp; C5898 &amp; "'!" &amp; H5898, H5898), "")</f>
        <v>0</v>
      </c>
    </row>
    <row r="5899" spans="2:2">
      <c r="B5899" s="21">
        <f>IF(AND(C5899&lt;&gt;"", H5899&lt;&gt;""), HYPERLINK("#'" &amp; C5899 &amp; "'!" &amp; H5899, H5899), "")</f>
        <v>0</v>
      </c>
    </row>
    <row r="5900" spans="2:2">
      <c r="B5900" s="21">
        <f>IF(AND(C5900&lt;&gt;"", H5900&lt;&gt;""), HYPERLINK("#'" &amp; C5900 &amp; "'!" &amp; H5900, H5900), "")</f>
        <v>0</v>
      </c>
    </row>
    <row r="5901" spans="2:2">
      <c r="B5901" s="21">
        <f>IF(AND(C5901&lt;&gt;"", H5901&lt;&gt;""), HYPERLINK("#'" &amp; C5901 &amp; "'!" &amp; H5901, H5901), "")</f>
        <v>0</v>
      </c>
    </row>
    <row r="5902" spans="2:2">
      <c r="B5902" s="21">
        <f>IF(AND(C5902&lt;&gt;"", H5902&lt;&gt;""), HYPERLINK("#'" &amp; C5902 &amp; "'!" &amp; H5902, H5902), "")</f>
        <v>0</v>
      </c>
    </row>
    <row r="5903" spans="2:2">
      <c r="B5903" s="21">
        <f>IF(AND(C5903&lt;&gt;"", H5903&lt;&gt;""), HYPERLINK("#'" &amp; C5903 &amp; "'!" &amp; H5903, H5903), "")</f>
        <v>0</v>
      </c>
    </row>
    <row r="5904" spans="2:2">
      <c r="B5904" s="21">
        <f>IF(AND(C5904&lt;&gt;"", H5904&lt;&gt;""), HYPERLINK("#'" &amp; C5904 &amp; "'!" &amp; H5904, H5904), "")</f>
        <v>0</v>
      </c>
    </row>
    <row r="5905" spans="2:2">
      <c r="B5905" s="21">
        <f>IF(AND(C5905&lt;&gt;"", H5905&lt;&gt;""), HYPERLINK("#'" &amp; C5905 &amp; "'!" &amp; H5905, H5905), "")</f>
        <v>0</v>
      </c>
    </row>
    <row r="5906" spans="2:2">
      <c r="B5906" s="21">
        <f>IF(AND(C5906&lt;&gt;"", H5906&lt;&gt;""), HYPERLINK("#'" &amp; C5906 &amp; "'!" &amp; H5906, H5906), "")</f>
        <v>0</v>
      </c>
    </row>
    <row r="5907" spans="2:2">
      <c r="B5907" s="21">
        <f>IF(AND(C5907&lt;&gt;"", H5907&lt;&gt;""), HYPERLINK("#'" &amp; C5907 &amp; "'!" &amp; H5907, H5907), "")</f>
        <v>0</v>
      </c>
    </row>
    <row r="5908" spans="2:2">
      <c r="B5908" s="21">
        <f>IF(AND(C5908&lt;&gt;"", H5908&lt;&gt;""), HYPERLINK("#'" &amp; C5908 &amp; "'!" &amp; H5908, H5908), "")</f>
        <v>0</v>
      </c>
    </row>
    <row r="5909" spans="2:2">
      <c r="B5909" s="21">
        <f>IF(AND(C5909&lt;&gt;"", H5909&lt;&gt;""), HYPERLINK("#'" &amp; C5909 &amp; "'!" &amp; H5909, H5909), "")</f>
        <v>0</v>
      </c>
    </row>
    <row r="5910" spans="2:2">
      <c r="B5910" s="21">
        <f>IF(AND(C5910&lt;&gt;"", H5910&lt;&gt;""), HYPERLINK("#'" &amp; C5910 &amp; "'!" &amp; H5910, H5910), "")</f>
        <v>0</v>
      </c>
    </row>
    <row r="5911" spans="2:2">
      <c r="B5911" s="21">
        <f>IF(AND(C5911&lt;&gt;"", H5911&lt;&gt;""), HYPERLINK("#'" &amp; C5911 &amp; "'!" &amp; H5911, H5911), "")</f>
        <v>0</v>
      </c>
    </row>
    <row r="5912" spans="2:2">
      <c r="B5912" s="21">
        <f>IF(AND(C5912&lt;&gt;"", H5912&lt;&gt;""), HYPERLINK("#'" &amp; C5912 &amp; "'!" &amp; H5912, H5912), "")</f>
        <v>0</v>
      </c>
    </row>
    <row r="5913" spans="2:2">
      <c r="B5913" s="21">
        <f>IF(AND(C5913&lt;&gt;"", H5913&lt;&gt;""), HYPERLINK("#'" &amp; C5913 &amp; "'!" &amp; H5913, H5913), "")</f>
        <v>0</v>
      </c>
    </row>
    <row r="5914" spans="2:2">
      <c r="B5914" s="21">
        <f>IF(AND(C5914&lt;&gt;"", H5914&lt;&gt;""), HYPERLINK("#'" &amp; C5914 &amp; "'!" &amp; H5914, H5914), "")</f>
        <v>0</v>
      </c>
    </row>
    <row r="5915" spans="2:2">
      <c r="B5915" s="21">
        <f>IF(AND(C5915&lt;&gt;"", H5915&lt;&gt;""), HYPERLINK("#'" &amp; C5915 &amp; "'!" &amp; H5915, H5915), "")</f>
        <v>0</v>
      </c>
    </row>
    <row r="5916" spans="2:2">
      <c r="B5916" s="21">
        <f>IF(AND(C5916&lt;&gt;"", H5916&lt;&gt;""), HYPERLINK("#'" &amp; C5916 &amp; "'!" &amp; H5916, H5916), "")</f>
        <v>0</v>
      </c>
    </row>
    <row r="5917" spans="2:2">
      <c r="B5917" s="21">
        <f>IF(AND(C5917&lt;&gt;"", H5917&lt;&gt;""), HYPERLINK("#'" &amp; C5917 &amp; "'!" &amp; H5917, H5917), "")</f>
        <v>0</v>
      </c>
    </row>
    <row r="5918" spans="2:2">
      <c r="B5918" s="21">
        <f>IF(AND(C5918&lt;&gt;"", H5918&lt;&gt;""), HYPERLINK("#'" &amp; C5918 &amp; "'!" &amp; H5918, H5918), "")</f>
        <v>0</v>
      </c>
    </row>
    <row r="5919" spans="2:2">
      <c r="B5919" s="21">
        <f>IF(AND(C5919&lt;&gt;"", H5919&lt;&gt;""), HYPERLINK("#'" &amp; C5919 &amp; "'!" &amp; H5919, H5919), "")</f>
        <v>0</v>
      </c>
    </row>
    <row r="5920" spans="2:2">
      <c r="B5920" s="21">
        <f>IF(AND(C5920&lt;&gt;"", H5920&lt;&gt;""), HYPERLINK("#'" &amp; C5920 &amp; "'!" &amp; H5920, H5920), "")</f>
        <v>0</v>
      </c>
    </row>
    <row r="5921" spans="2:2">
      <c r="B5921" s="21">
        <f>IF(AND(C5921&lt;&gt;"", H5921&lt;&gt;""), HYPERLINK("#'" &amp; C5921 &amp; "'!" &amp; H5921, H5921), "")</f>
        <v>0</v>
      </c>
    </row>
    <row r="5922" spans="2:2">
      <c r="B5922" s="21">
        <f>IF(AND(C5922&lt;&gt;"", H5922&lt;&gt;""), HYPERLINK("#'" &amp; C5922 &amp; "'!" &amp; H5922, H5922), "")</f>
        <v>0</v>
      </c>
    </row>
    <row r="5923" spans="2:2">
      <c r="B5923" s="21">
        <f>IF(AND(C5923&lt;&gt;"", H5923&lt;&gt;""), HYPERLINK("#'" &amp; C5923 &amp; "'!" &amp; H5923, H5923), "")</f>
        <v>0</v>
      </c>
    </row>
    <row r="5924" spans="2:2">
      <c r="B5924" s="21">
        <f>IF(AND(C5924&lt;&gt;"", H5924&lt;&gt;""), HYPERLINK("#'" &amp; C5924 &amp; "'!" &amp; H5924, H5924), "")</f>
        <v>0</v>
      </c>
    </row>
    <row r="5925" spans="2:2">
      <c r="B5925" s="21">
        <f>IF(AND(C5925&lt;&gt;"", H5925&lt;&gt;""), HYPERLINK("#'" &amp; C5925 &amp; "'!" &amp; H5925, H5925), "")</f>
        <v>0</v>
      </c>
    </row>
    <row r="5926" spans="2:2">
      <c r="B5926" s="21">
        <f>IF(AND(C5926&lt;&gt;"", H5926&lt;&gt;""), HYPERLINK("#'" &amp; C5926 &amp; "'!" &amp; H5926, H5926), "")</f>
        <v>0</v>
      </c>
    </row>
    <row r="5927" spans="2:2">
      <c r="B5927" s="21">
        <f>IF(AND(C5927&lt;&gt;"", H5927&lt;&gt;""), HYPERLINK("#'" &amp; C5927 &amp; "'!" &amp; H5927, H5927), "")</f>
        <v>0</v>
      </c>
    </row>
    <row r="5928" spans="2:2">
      <c r="B5928" s="21">
        <f>IF(AND(C5928&lt;&gt;"", H5928&lt;&gt;""), HYPERLINK("#'" &amp; C5928 &amp; "'!" &amp; H5928, H5928), "")</f>
        <v>0</v>
      </c>
    </row>
    <row r="5929" spans="2:2">
      <c r="B5929" s="21">
        <f>IF(AND(C5929&lt;&gt;"", H5929&lt;&gt;""), HYPERLINK("#'" &amp; C5929 &amp; "'!" &amp; H5929, H5929), "")</f>
        <v>0</v>
      </c>
    </row>
    <row r="5930" spans="2:2">
      <c r="B5930" s="21">
        <f>IF(AND(C5930&lt;&gt;"", H5930&lt;&gt;""), HYPERLINK("#'" &amp; C5930 &amp; "'!" &amp; H5930, H5930), "")</f>
        <v>0</v>
      </c>
    </row>
    <row r="5931" spans="2:2">
      <c r="B5931" s="21">
        <f>IF(AND(C5931&lt;&gt;"", H5931&lt;&gt;""), HYPERLINK("#'" &amp; C5931 &amp; "'!" &amp; H5931, H5931), "")</f>
        <v>0</v>
      </c>
    </row>
    <row r="5932" spans="2:2">
      <c r="B5932" s="21">
        <f>IF(AND(C5932&lt;&gt;"", H5932&lt;&gt;""), HYPERLINK("#'" &amp; C5932 &amp; "'!" &amp; H5932, H5932), "")</f>
        <v>0</v>
      </c>
    </row>
    <row r="5933" spans="2:2">
      <c r="B5933" s="21">
        <f>IF(AND(C5933&lt;&gt;"", H5933&lt;&gt;""), HYPERLINK("#'" &amp; C5933 &amp; "'!" &amp; H5933, H5933), "")</f>
        <v>0</v>
      </c>
    </row>
    <row r="5934" spans="2:2">
      <c r="B5934" s="21">
        <f>IF(AND(C5934&lt;&gt;"", H5934&lt;&gt;""), HYPERLINK("#'" &amp; C5934 &amp; "'!" &amp; H5934, H5934), "")</f>
        <v>0</v>
      </c>
    </row>
    <row r="5935" spans="2:2">
      <c r="B5935" s="21">
        <f>IF(AND(C5935&lt;&gt;"", H5935&lt;&gt;""), HYPERLINK("#'" &amp; C5935 &amp; "'!" &amp; H5935, H5935), "")</f>
        <v>0</v>
      </c>
    </row>
    <row r="5936" spans="2:2">
      <c r="B5936" s="21">
        <f>IF(AND(C5936&lt;&gt;"", H5936&lt;&gt;""), HYPERLINK("#'" &amp; C5936 &amp; "'!" &amp; H5936, H5936), "")</f>
        <v>0</v>
      </c>
    </row>
    <row r="5937" spans="2:2">
      <c r="B5937" s="21">
        <f>IF(AND(C5937&lt;&gt;"", H5937&lt;&gt;""), HYPERLINK("#'" &amp; C5937 &amp; "'!" &amp; H5937, H5937), "")</f>
        <v>0</v>
      </c>
    </row>
    <row r="5938" spans="2:2">
      <c r="B5938" s="21">
        <f>IF(AND(C5938&lt;&gt;"", H5938&lt;&gt;""), HYPERLINK("#'" &amp; C5938 &amp; "'!" &amp; H5938, H5938), "")</f>
        <v>0</v>
      </c>
    </row>
    <row r="5939" spans="2:2">
      <c r="B5939" s="21">
        <f>IF(AND(C5939&lt;&gt;"", H5939&lt;&gt;""), HYPERLINK("#'" &amp; C5939 &amp; "'!" &amp; H5939, H5939), "")</f>
        <v>0</v>
      </c>
    </row>
    <row r="5940" spans="2:2">
      <c r="B5940" s="21">
        <f>IF(AND(C5940&lt;&gt;"", H5940&lt;&gt;""), HYPERLINK("#'" &amp; C5940 &amp; "'!" &amp; H5940, H5940), "")</f>
        <v>0</v>
      </c>
    </row>
    <row r="5941" spans="2:2">
      <c r="B5941" s="21">
        <f>IF(AND(C5941&lt;&gt;"", H5941&lt;&gt;""), HYPERLINK("#'" &amp; C5941 &amp; "'!" &amp; H5941, H5941), "")</f>
        <v>0</v>
      </c>
    </row>
    <row r="5942" spans="2:2">
      <c r="B5942" s="21">
        <f>IF(AND(C5942&lt;&gt;"", H5942&lt;&gt;""), HYPERLINK("#'" &amp; C5942 &amp; "'!" &amp; H5942, H5942), "")</f>
        <v>0</v>
      </c>
    </row>
    <row r="5943" spans="2:2">
      <c r="B5943" s="21">
        <f>IF(AND(C5943&lt;&gt;"", H5943&lt;&gt;""), HYPERLINK("#'" &amp; C5943 &amp; "'!" &amp; H5943, H5943), "")</f>
        <v>0</v>
      </c>
    </row>
    <row r="5944" spans="2:2">
      <c r="B5944" s="21">
        <f>IF(AND(C5944&lt;&gt;"", H5944&lt;&gt;""), HYPERLINK("#'" &amp; C5944 &amp; "'!" &amp; H5944, H5944), "")</f>
        <v>0</v>
      </c>
    </row>
    <row r="5945" spans="2:2">
      <c r="B5945" s="21">
        <f>IF(AND(C5945&lt;&gt;"", H5945&lt;&gt;""), HYPERLINK("#'" &amp; C5945 &amp; "'!" &amp; H5945, H5945), "")</f>
        <v>0</v>
      </c>
    </row>
    <row r="5946" spans="2:2">
      <c r="B5946" s="21">
        <f>IF(AND(C5946&lt;&gt;"", H5946&lt;&gt;""), HYPERLINK("#'" &amp; C5946 &amp; "'!" &amp; H5946, H5946), "")</f>
        <v>0</v>
      </c>
    </row>
    <row r="5947" spans="2:2">
      <c r="B5947" s="21">
        <f>IF(AND(C5947&lt;&gt;"", H5947&lt;&gt;""), HYPERLINK("#'" &amp; C5947 &amp; "'!" &amp; H5947, H5947), "")</f>
        <v>0</v>
      </c>
    </row>
    <row r="5948" spans="2:2">
      <c r="B5948" s="21">
        <f>IF(AND(C5948&lt;&gt;"", H5948&lt;&gt;""), HYPERLINK("#'" &amp; C5948 &amp; "'!" &amp; H5948, H5948), "")</f>
        <v>0</v>
      </c>
    </row>
    <row r="5949" spans="2:2">
      <c r="B5949" s="21">
        <f>IF(AND(C5949&lt;&gt;"", H5949&lt;&gt;""), HYPERLINK("#'" &amp; C5949 &amp; "'!" &amp; H5949, H5949), "")</f>
        <v>0</v>
      </c>
    </row>
    <row r="5950" spans="2:2">
      <c r="B5950" s="21">
        <f>IF(AND(C5950&lt;&gt;"", H5950&lt;&gt;""), HYPERLINK("#'" &amp; C5950 &amp; "'!" &amp; H5950, H5950), "")</f>
        <v>0</v>
      </c>
    </row>
    <row r="5951" spans="2:2">
      <c r="B5951" s="21">
        <f>IF(AND(C5951&lt;&gt;"", H5951&lt;&gt;""), HYPERLINK("#'" &amp; C5951 &amp; "'!" &amp; H5951, H5951), "")</f>
        <v>0</v>
      </c>
    </row>
    <row r="5952" spans="2:2">
      <c r="B5952" s="21">
        <f>IF(AND(C5952&lt;&gt;"", H5952&lt;&gt;""), HYPERLINK("#'" &amp; C5952 &amp; "'!" &amp; H5952, H5952), "")</f>
        <v>0</v>
      </c>
    </row>
    <row r="5953" spans="2:2">
      <c r="B5953" s="21">
        <f>IF(AND(C5953&lt;&gt;"", H5953&lt;&gt;""), HYPERLINK("#'" &amp; C5953 &amp; "'!" &amp; H5953, H5953), "")</f>
        <v>0</v>
      </c>
    </row>
    <row r="5954" spans="2:2">
      <c r="B5954" s="21">
        <f>IF(AND(C5954&lt;&gt;"", H5954&lt;&gt;""), HYPERLINK("#'" &amp; C5954 &amp; "'!" &amp; H5954, H5954), "")</f>
        <v>0</v>
      </c>
    </row>
    <row r="5955" spans="2:2">
      <c r="B5955" s="21">
        <f>IF(AND(C5955&lt;&gt;"", H5955&lt;&gt;""), HYPERLINK("#'" &amp; C5955 &amp; "'!" &amp; H5955, H5955), "")</f>
        <v>0</v>
      </c>
    </row>
    <row r="5956" spans="2:2">
      <c r="B5956" s="21">
        <f>IF(AND(C5956&lt;&gt;"", H5956&lt;&gt;""), HYPERLINK("#'" &amp; C5956 &amp; "'!" &amp; H5956, H5956), "")</f>
        <v>0</v>
      </c>
    </row>
    <row r="5957" spans="2:2">
      <c r="B5957" s="21">
        <f>IF(AND(C5957&lt;&gt;"", H5957&lt;&gt;""), HYPERLINK("#'" &amp; C5957 &amp; "'!" &amp; H5957, H5957), "")</f>
        <v>0</v>
      </c>
    </row>
    <row r="5958" spans="2:2">
      <c r="B5958" s="21">
        <f>IF(AND(C5958&lt;&gt;"", H5958&lt;&gt;""), HYPERLINK("#'" &amp; C5958 &amp; "'!" &amp; H5958, H5958), "")</f>
        <v>0</v>
      </c>
    </row>
    <row r="5959" spans="2:2">
      <c r="B5959" s="21">
        <f>IF(AND(C5959&lt;&gt;"", H5959&lt;&gt;""), HYPERLINK("#'" &amp; C5959 &amp; "'!" &amp; H5959, H5959), "")</f>
        <v>0</v>
      </c>
    </row>
    <row r="5960" spans="2:2">
      <c r="B5960" s="21">
        <f>IF(AND(C5960&lt;&gt;"", H5960&lt;&gt;""), HYPERLINK("#'" &amp; C5960 &amp; "'!" &amp; H5960, H5960), "")</f>
        <v>0</v>
      </c>
    </row>
    <row r="5961" spans="2:2">
      <c r="B5961" s="21">
        <f>IF(AND(C5961&lt;&gt;"", H5961&lt;&gt;""), HYPERLINK("#'" &amp; C5961 &amp; "'!" &amp; H5961, H5961), "")</f>
        <v>0</v>
      </c>
    </row>
    <row r="5962" spans="2:2">
      <c r="B5962" s="21">
        <f>IF(AND(C5962&lt;&gt;"", H5962&lt;&gt;""), HYPERLINK("#'" &amp; C5962 &amp; "'!" &amp; H5962, H5962), "")</f>
        <v>0</v>
      </c>
    </row>
    <row r="5963" spans="2:2">
      <c r="B5963" s="21">
        <f>IF(AND(C5963&lt;&gt;"", H5963&lt;&gt;""), HYPERLINK("#'" &amp; C5963 &amp; "'!" &amp; H5963, H5963), "")</f>
        <v>0</v>
      </c>
    </row>
    <row r="5964" spans="2:2">
      <c r="B5964" s="21">
        <f>IF(AND(C5964&lt;&gt;"", H5964&lt;&gt;""), HYPERLINK("#'" &amp; C5964 &amp; "'!" &amp; H5964, H5964), "")</f>
        <v>0</v>
      </c>
    </row>
    <row r="5965" spans="2:2">
      <c r="B5965" s="21">
        <f>IF(AND(C5965&lt;&gt;"", H5965&lt;&gt;""), HYPERLINK("#'" &amp; C5965 &amp; "'!" &amp; H5965, H5965), "")</f>
        <v>0</v>
      </c>
    </row>
    <row r="5966" spans="2:2">
      <c r="B5966" s="21">
        <f>IF(AND(C5966&lt;&gt;"", H5966&lt;&gt;""), HYPERLINK("#'" &amp; C5966 &amp; "'!" &amp; H5966, H5966), "")</f>
        <v>0</v>
      </c>
    </row>
    <row r="5967" spans="2:2">
      <c r="B5967" s="21">
        <f>IF(AND(C5967&lt;&gt;"", H5967&lt;&gt;""), HYPERLINK("#'" &amp; C5967 &amp; "'!" &amp; H5967, H5967), "")</f>
        <v>0</v>
      </c>
    </row>
    <row r="5968" spans="2:2">
      <c r="B5968" s="21">
        <f>IF(AND(C5968&lt;&gt;"", H5968&lt;&gt;""), HYPERLINK("#'" &amp; C5968 &amp; "'!" &amp; H5968, H5968), "")</f>
        <v>0</v>
      </c>
    </row>
    <row r="5969" spans="2:2">
      <c r="B5969" s="21">
        <f>IF(AND(C5969&lt;&gt;"", H5969&lt;&gt;""), HYPERLINK("#'" &amp; C5969 &amp; "'!" &amp; H5969, H5969), "")</f>
        <v>0</v>
      </c>
    </row>
    <row r="5970" spans="2:2">
      <c r="B5970" s="21">
        <f>IF(AND(C5970&lt;&gt;"", H5970&lt;&gt;""), HYPERLINK("#'" &amp; C5970 &amp; "'!" &amp; H5970, H5970), "")</f>
        <v>0</v>
      </c>
    </row>
    <row r="5971" spans="2:2">
      <c r="B5971" s="21">
        <f>IF(AND(C5971&lt;&gt;"", H5971&lt;&gt;""), HYPERLINK("#'" &amp; C5971 &amp; "'!" &amp; H5971, H5971), "")</f>
        <v>0</v>
      </c>
    </row>
    <row r="5972" spans="2:2">
      <c r="B5972" s="21">
        <f>IF(AND(C5972&lt;&gt;"", H5972&lt;&gt;""), HYPERLINK("#'" &amp; C5972 &amp; "'!" &amp; H5972, H5972), "")</f>
        <v>0</v>
      </c>
    </row>
    <row r="5973" spans="2:2">
      <c r="B5973" s="21">
        <f>IF(AND(C5973&lt;&gt;"", H5973&lt;&gt;""), HYPERLINK("#'" &amp; C5973 &amp; "'!" &amp; H5973, H5973), "")</f>
        <v>0</v>
      </c>
    </row>
    <row r="5974" spans="2:2">
      <c r="B5974" s="21">
        <f>IF(AND(C5974&lt;&gt;"", H5974&lt;&gt;""), HYPERLINK("#'" &amp; C5974 &amp; "'!" &amp; H5974, H5974), "")</f>
        <v>0</v>
      </c>
    </row>
    <row r="5975" spans="2:2">
      <c r="B5975" s="21">
        <f>IF(AND(C5975&lt;&gt;"", H5975&lt;&gt;""), HYPERLINK("#'" &amp; C5975 &amp; "'!" &amp; H5975, H5975), "")</f>
        <v>0</v>
      </c>
    </row>
    <row r="5976" spans="2:2">
      <c r="B5976" s="21">
        <f>IF(AND(C5976&lt;&gt;"", H5976&lt;&gt;""), HYPERLINK("#'" &amp; C5976 &amp; "'!" &amp; H5976, H5976), "")</f>
        <v>0</v>
      </c>
    </row>
    <row r="5977" spans="2:2">
      <c r="B5977" s="21">
        <f>IF(AND(C5977&lt;&gt;"", H5977&lt;&gt;""), HYPERLINK("#'" &amp; C5977 &amp; "'!" &amp; H5977, H5977), "")</f>
        <v>0</v>
      </c>
    </row>
    <row r="5978" spans="2:2">
      <c r="B5978" s="21">
        <f>IF(AND(C5978&lt;&gt;"", H5978&lt;&gt;""), HYPERLINK("#'" &amp; C5978 &amp; "'!" &amp; H5978, H5978), "")</f>
        <v>0</v>
      </c>
    </row>
    <row r="5979" spans="2:2">
      <c r="B5979" s="21">
        <f>IF(AND(C5979&lt;&gt;"", H5979&lt;&gt;""), HYPERLINK("#'" &amp; C5979 &amp; "'!" &amp; H5979, H5979), "")</f>
        <v>0</v>
      </c>
    </row>
    <row r="5980" spans="2:2">
      <c r="B5980" s="21">
        <f>IF(AND(C5980&lt;&gt;"", H5980&lt;&gt;""), HYPERLINK("#'" &amp; C5980 &amp; "'!" &amp; H5980, H5980), "")</f>
        <v>0</v>
      </c>
    </row>
    <row r="5981" spans="2:2">
      <c r="B5981" s="21">
        <f>IF(AND(C5981&lt;&gt;"", H5981&lt;&gt;""), HYPERLINK("#'" &amp; C5981 &amp; "'!" &amp; H5981, H5981), "")</f>
        <v>0</v>
      </c>
    </row>
    <row r="5982" spans="2:2">
      <c r="B5982" s="21">
        <f>IF(AND(C5982&lt;&gt;"", H5982&lt;&gt;""), HYPERLINK("#'" &amp; C5982 &amp; "'!" &amp; H5982, H5982), "")</f>
        <v>0</v>
      </c>
    </row>
    <row r="5983" spans="2:2">
      <c r="B5983" s="21">
        <f>IF(AND(C5983&lt;&gt;"", H5983&lt;&gt;""), HYPERLINK("#'" &amp; C5983 &amp; "'!" &amp; H5983, H5983), "")</f>
        <v>0</v>
      </c>
    </row>
    <row r="5984" spans="2:2">
      <c r="B5984" s="21">
        <f>IF(AND(C5984&lt;&gt;"", H5984&lt;&gt;""), HYPERLINK("#'" &amp; C5984 &amp; "'!" &amp; H5984, H5984), "")</f>
        <v>0</v>
      </c>
    </row>
    <row r="5985" spans="2:2">
      <c r="B5985" s="21">
        <f>IF(AND(C5985&lt;&gt;"", H5985&lt;&gt;""), HYPERLINK("#'" &amp; C5985 &amp; "'!" &amp; H5985, H5985), "")</f>
        <v>0</v>
      </c>
    </row>
    <row r="5986" spans="2:2">
      <c r="B5986" s="21">
        <f>IF(AND(C5986&lt;&gt;"", H5986&lt;&gt;""), HYPERLINK("#'" &amp; C5986 &amp; "'!" &amp; H5986, H5986), "")</f>
        <v>0</v>
      </c>
    </row>
    <row r="5987" spans="2:2">
      <c r="B5987" s="21">
        <f>IF(AND(C5987&lt;&gt;"", H5987&lt;&gt;""), HYPERLINK("#'" &amp; C5987 &amp; "'!" &amp; H5987, H5987), "")</f>
        <v>0</v>
      </c>
    </row>
    <row r="5988" spans="2:2">
      <c r="B5988" s="21">
        <f>IF(AND(C5988&lt;&gt;"", H5988&lt;&gt;""), HYPERLINK("#'" &amp; C5988 &amp; "'!" &amp; H5988, H5988), "")</f>
        <v>0</v>
      </c>
    </row>
    <row r="5989" spans="2:2">
      <c r="B5989" s="21">
        <f>IF(AND(C5989&lt;&gt;"", H5989&lt;&gt;""), HYPERLINK("#'" &amp; C5989 &amp; "'!" &amp; H5989, H5989), "")</f>
        <v>0</v>
      </c>
    </row>
    <row r="5990" spans="2:2">
      <c r="B5990" s="21">
        <f>IF(AND(C5990&lt;&gt;"", H5990&lt;&gt;""), HYPERLINK("#'" &amp; C5990 &amp; "'!" &amp; H5990, H5990), "")</f>
        <v>0</v>
      </c>
    </row>
    <row r="5991" spans="2:2">
      <c r="B5991" s="21">
        <f>IF(AND(C5991&lt;&gt;"", H5991&lt;&gt;""), HYPERLINK("#'" &amp; C5991 &amp; "'!" &amp; H5991, H5991), "")</f>
        <v>0</v>
      </c>
    </row>
    <row r="5992" spans="2:2">
      <c r="B5992" s="21">
        <f>IF(AND(C5992&lt;&gt;"", H5992&lt;&gt;""), HYPERLINK("#'" &amp; C5992 &amp; "'!" &amp; H5992, H5992), "")</f>
        <v>0</v>
      </c>
    </row>
    <row r="5993" spans="2:2">
      <c r="B5993" s="21">
        <f>IF(AND(C5993&lt;&gt;"", H5993&lt;&gt;""), HYPERLINK("#'" &amp; C5993 &amp; "'!" &amp; H5993, H5993), "")</f>
        <v>0</v>
      </c>
    </row>
    <row r="5994" spans="2:2">
      <c r="B5994" s="21">
        <f>IF(AND(C5994&lt;&gt;"", H5994&lt;&gt;""), HYPERLINK("#'" &amp; C5994 &amp; "'!" &amp; H5994, H5994), "")</f>
        <v>0</v>
      </c>
    </row>
    <row r="5995" spans="2:2">
      <c r="B5995" s="21">
        <f>IF(AND(C5995&lt;&gt;"", H5995&lt;&gt;""), HYPERLINK("#'" &amp; C5995 &amp; "'!" &amp; H5995, H5995), "")</f>
        <v>0</v>
      </c>
    </row>
    <row r="5996" spans="2:2">
      <c r="B5996" s="21">
        <f>IF(AND(C5996&lt;&gt;"", H5996&lt;&gt;""), HYPERLINK("#'" &amp; C5996 &amp; "'!" &amp; H5996, H5996), "")</f>
        <v>0</v>
      </c>
    </row>
    <row r="5997" spans="2:2">
      <c r="B5997" s="21">
        <f>IF(AND(C5997&lt;&gt;"", H5997&lt;&gt;""), HYPERLINK("#'" &amp; C5997 &amp; "'!" &amp; H5997, H5997), "")</f>
        <v>0</v>
      </c>
    </row>
    <row r="5998" spans="2:2">
      <c r="B5998" s="21">
        <f>IF(AND(C5998&lt;&gt;"", H5998&lt;&gt;""), HYPERLINK("#'" &amp; C5998 &amp; "'!" &amp; H5998, H5998), "")</f>
        <v>0</v>
      </c>
    </row>
    <row r="5999" spans="2:2">
      <c r="B5999" s="21">
        <f>IF(AND(C5999&lt;&gt;"", H5999&lt;&gt;""), HYPERLINK("#'" &amp; C5999 &amp; "'!" &amp; H5999, H5999), "")</f>
        <v>0</v>
      </c>
    </row>
    <row r="6000" spans="2:2">
      <c r="B6000" s="21">
        <f>IF(AND(C6000&lt;&gt;"", H6000&lt;&gt;""), HYPERLINK("#'" &amp; C6000 &amp; "'!" &amp; H6000, H6000), "")</f>
        <v>0</v>
      </c>
    </row>
    <row r="6001" spans="2:2">
      <c r="B6001" s="21">
        <f>IF(AND(C6001&lt;&gt;"", H6001&lt;&gt;""), HYPERLINK("#'" &amp; C6001 &amp; "'!" &amp; H6001, H6001), "")</f>
        <v>0</v>
      </c>
    </row>
    <row r="6002" spans="2:2">
      <c r="B6002" s="21">
        <f>IF(AND(C6002&lt;&gt;"", H6002&lt;&gt;""), HYPERLINK("#'" &amp; C6002 &amp; "'!" &amp; H6002, H6002), "")</f>
        <v>0</v>
      </c>
    </row>
  </sheetData>
  <sheetProtection password="F6B0" sheet="1" objects="1" scenarios="1" sort="0" autoFilter="0"/>
  <mergeCells count="1">
    <mergeCell ref="A1:H1"/>
  </mergeCells>
  <conditionalFormatting sqref="A3:A6002">
    <cfRule type="cellIs" dxfId="0" priority="1" operator="equal">
      <formula>"Error"</formula>
    </cfRule>
    <cfRule type="cellIs" dxfId="1" priority="2" operator="equal">
      <formula>"Warning"</formula>
    </cfRule>
    <cfRule type="cellIs" dxfId="2" priority="3" operator="equal">
      <formula>"Required"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outlinePr summaryRight="0"/>
  </sheetPr>
  <dimension ref="A1:LA508"/>
  <sheetViews>
    <sheetView workbookViewId="0">
      <pane xSplit="2" topLeftCell="C1" activePane="topRight" state="frozen"/>
      <selection pane="topRight"/>
    </sheetView>
  </sheetViews>
  <sheetFormatPr defaultRowHeight="15" outlineLevelCol="7"/>
  <cols>
    <col min="1" max="1" width="35.7109375" customWidth="1"/>
    <col min="2" max="2" width="25.7109375" style="22" customWidth="1"/>
    <col min="3" max="3" width="29.7109375" style="22" customWidth="1"/>
    <col min="4" max="4" width="27.7109375" style="22" customWidth="1"/>
    <col min="5" max="5" width="17.7109375" style="22" customWidth="1"/>
    <col min="6" max="6" width="10.7109375" style="22" customWidth="1"/>
    <col min="7" max="7" width="20.7109375" style="22" customWidth="1"/>
    <col min="8" max="8" width="17.7109375" style="22" customWidth="1"/>
    <col min="9" max="10" width="23.7109375" style="22" customWidth="1"/>
    <col min="11" max="11" width="37.7109375" style="22" customWidth="1" collapsed="1"/>
    <col min="12" max="12" width="23.7109375" style="22" hidden="1" customWidth="1" outlineLevel="1"/>
    <col min="13" max="13" width="37.7109375" style="22" hidden="1" customWidth="1" outlineLevel="1"/>
    <col min="14" max="14" width="23.7109375" style="22" hidden="1" customWidth="1" outlineLevel="1"/>
    <col min="15" max="15" width="37.7109375" style="22" hidden="1" customWidth="1" outlineLevel="1"/>
    <col min="16" max="16" width="14.7109375" style="22" customWidth="1"/>
    <col min="17" max="17" width="31.7109375" style="22" customWidth="1"/>
    <col min="18" max="18" width="29.7109375" style="22" customWidth="1"/>
    <col min="19" max="19" width="40.7109375" style="22" customWidth="1"/>
    <col min="20" max="20" width="19.7109375" style="22" customWidth="1"/>
    <col min="21" max="22" width="21.7109375" style="22" customWidth="1"/>
    <col min="23" max="23" width="21.7109375" style="22" customWidth="1" collapsed="1"/>
    <col min="24" max="27" width="21.7109375" style="22" hidden="1" customWidth="1" outlineLevel="1"/>
    <col min="28" max="28" width="21.7109375" style="22" hidden="1" customWidth="1" outlineLevel="1" collapsed="1"/>
    <col min="29" max="29" width="22.7109375" style="22" customWidth="1"/>
    <col min="30" max="30" width="27.7109375" style="22" customWidth="1"/>
    <col min="31" max="31" width="30.7109375" style="22" customWidth="1"/>
    <col min="32" max="32" width="25.7109375" style="22" customWidth="1"/>
    <col min="33" max="33" width="19.7109375" style="22" customWidth="1"/>
    <col min="34" max="34" width="14.7109375" style="22" customWidth="1"/>
    <col min="35" max="35" width="18.7109375" style="22" customWidth="1"/>
    <col min="36" max="36" width="14.7109375" style="22" customWidth="1"/>
    <col min="37" max="37" width="26.7109375" style="22" customWidth="1"/>
    <col min="38" max="38" width="33.7109375" style="22" customWidth="1"/>
    <col min="39" max="39" width="14.7109375" style="22" customWidth="1"/>
    <col min="40" max="42" width="20.7109375" style="22" customWidth="1"/>
    <col min="43" max="44" width="19.7109375" style="22" customWidth="1"/>
    <col min="45" max="46" width="20.7109375" style="22" customWidth="1"/>
    <col min="47" max="48" width="19.7109375" style="22" customWidth="1"/>
    <col min="49" max="50" width="20.7109375" style="22" customWidth="1"/>
    <col min="51" max="51" width="19.7109375" style="22" customWidth="1"/>
    <col min="52" max="52" width="19.7109375" style="22" customWidth="1" collapsed="1"/>
    <col min="53" max="54" width="20.7109375" style="22" hidden="1" customWidth="1" outlineLevel="1"/>
    <col min="55" max="56" width="19.7109375" style="22" hidden="1" customWidth="1" outlineLevel="1"/>
    <col min="57" max="58" width="20.7109375" style="22" hidden="1" customWidth="1" outlineLevel="1"/>
    <col min="59" max="60" width="19.7109375" style="22" hidden="1" customWidth="1" outlineLevel="1"/>
    <col min="61" max="62" width="20.7109375" style="22" hidden="1" customWidth="1" outlineLevel="1"/>
    <col min="63" max="64" width="19.7109375" style="22" hidden="1" customWidth="1" outlineLevel="1"/>
    <col min="65" max="66" width="20.7109375" style="22" hidden="1" customWidth="1" outlineLevel="1"/>
    <col min="67" max="68" width="19.7109375" style="22" hidden="1" customWidth="1" outlineLevel="1"/>
    <col min="69" max="70" width="20.7109375" style="22" hidden="1" customWidth="1" outlineLevel="1"/>
    <col min="71" max="71" width="19.7109375" style="22" hidden="1" customWidth="1" outlineLevel="1"/>
    <col min="72" max="72" width="19.7109375" style="22" hidden="1" customWidth="1" outlineLevel="1" collapsed="1"/>
    <col min="73" max="74" width="20.7109375" style="22" hidden="1" customWidth="1" outlineLevel="2"/>
    <col min="75" max="76" width="19.7109375" style="22" hidden="1" customWidth="1" outlineLevel="2"/>
    <col min="77" max="78" width="21.7109375" style="22" hidden="1" customWidth="1" outlineLevel="2"/>
    <col min="79" max="80" width="20.7109375" style="22" hidden="1" customWidth="1" outlineLevel="2"/>
    <col min="81" max="82" width="21.7109375" style="22" hidden="1" customWidth="1" outlineLevel="2"/>
    <col min="83" max="84" width="20.7109375" style="22" hidden="1" customWidth="1" outlineLevel="2"/>
    <col min="85" max="86" width="21.7109375" style="22" hidden="1" customWidth="1" outlineLevel="2"/>
    <col min="87" max="88" width="20.7109375" style="22" hidden="1" customWidth="1" outlineLevel="2"/>
    <col min="89" max="90" width="21.7109375" style="22" hidden="1" customWidth="1" outlineLevel="2"/>
    <col min="91" max="91" width="20.7109375" style="22" hidden="1" customWidth="1" outlineLevel="2"/>
    <col min="92" max="92" width="20.7109375" style="22" hidden="1" customWidth="1" outlineLevel="2" collapsed="1"/>
    <col min="93" max="94" width="21.7109375" style="22" hidden="1" customWidth="1" outlineLevel="3"/>
    <col min="95" max="96" width="20.7109375" style="22" hidden="1" customWidth="1" outlineLevel="3"/>
    <col min="97" max="98" width="21.7109375" style="22" hidden="1" customWidth="1" outlineLevel="3"/>
    <col min="99" max="100" width="20.7109375" style="22" hidden="1" customWidth="1" outlineLevel="3"/>
    <col min="101" max="102" width="21.7109375" style="22" hidden="1" customWidth="1" outlineLevel="3"/>
    <col min="103" max="104" width="20.7109375" style="22" hidden="1" customWidth="1" outlineLevel="3"/>
    <col min="105" max="106" width="21.7109375" style="22" hidden="1" customWidth="1" outlineLevel="3"/>
    <col min="107" max="108" width="20.7109375" style="22" hidden="1" customWidth="1" outlineLevel="3"/>
    <col min="109" max="110" width="21.7109375" style="22" hidden="1" customWidth="1" outlineLevel="3"/>
    <col min="111" max="111" width="20.7109375" style="22" hidden="1" customWidth="1" outlineLevel="3"/>
    <col min="112" max="112" width="20.7109375" style="22" hidden="1" customWidth="1" outlineLevel="3" collapsed="1"/>
    <col min="113" max="114" width="21.7109375" style="22" hidden="1" customWidth="1" outlineLevel="4"/>
    <col min="115" max="116" width="20.7109375" style="22" hidden="1" customWidth="1" outlineLevel="4"/>
    <col min="117" max="118" width="21.7109375" style="22" hidden="1" customWidth="1" outlineLevel="4"/>
    <col min="119" max="120" width="20.7109375" style="22" hidden="1" customWidth="1" outlineLevel="4"/>
    <col min="121" max="122" width="21.7109375" style="22" hidden="1" customWidth="1" outlineLevel="4"/>
    <col min="123" max="124" width="20.7109375" style="22" hidden="1" customWidth="1" outlineLevel="4"/>
    <col min="125" max="126" width="21.7109375" style="22" hidden="1" customWidth="1" outlineLevel="4"/>
    <col min="127" max="128" width="20.7109375" style="22" hidden="1" customWidth="1" outlineLevel="4"/>
    <col min="129" max="130" width="21.7109375" style="22" hidden="1" customWidth="1" outlineLevel="4"/>
    <col min="131" max="131" width="20.7109375" style="22" hidden="1" customWidth="1" outlineLevel="4"/>
    <col min="132" max="132" width="20.7109375" style="22" hidden="1" customWidth="1" outlineLevel="4" collapsed="1"/>
    <col min="133" max="134" width="21.7109375" style="22" hidden="1" customWidth="1" outlineLevel="5"/>
    <col min="135" max="136" width="20.7109375" style="22" hidden="1" customWidth="1" outlineLevel="5"/>
    <col min="137" max="138" width="21.7109375" style="22" hidden="1" customWidth="1" outlineLevel="5"/>
    <col min="139" max="140" width="20.7109375" style="22" hidden="1" customWidth="1" outlineLevel="5"/>
    <col min="141" max="142" width="21.7109375" style="22" hidden="1" customWidth="1" outlineLevel="5"/>
    <col min="143" max="144" width="20.7109375" style="22" hidden="1" customWidth="1" outlineLevel="5"/>
    <col min="145" max="146" width="21.7109375" style="22" hidden="1" customWidth="1" outlineLevel="5"/>
    <col min="147" max="148" width="20.7109375" style="22" hidden="1" customWidth="1" outlineLevel="5"/>
    <col min="149" max="150" width="21.7109375" style="22" hidden="1" customWidth="1" outlineLevel="5"/>
    <col min="151" max="151" width="20.7109375" style="22" hidden="1" customWidth="1" outlineLevel="5"/>
    <col min="152" max="152" width="20.7109375" style="22" hidden="1" customWidth="1" outlineLevel="5" collapsed="1"/>
    <col min="153" max="154" width="21.7109375" style="22" hidden="1" customWidth="1" outlineLevel="6"/>
    <col min="155" max="156" width="20.7109375" style="22" hidden="1" customWidth="1" outlineLevel="6"/>
    <col min="157" max="158" width="21.7109375" style="22" hidden="1" customWidth="1" outlineLevel="6"/>
    <col min="159" max="160" width="20.7109375" style="22" hidden="1" customWidth="1" outlineLevel="6"/>
    <col min="161" max="162" width="21.7109375" style="22" hidden="1" customWidth="1" outlineLevel="6"/>
    <col min="163" max="164" width="20.7109375" style="22" hidden="1" customWidth="1" outlineLevel="6"/>
    <col min="165" max="166" width="21.7109375" style="22" hidden="1" customWidth="1" outlineLevel="6"/>
    <col min="167" max="168" width="20.7109375" style="22" hidden="1" customWidth="1" outlineLevel="6"/>
    <col min="169" max="170" width="21.7109375" style="22" hidden="1" customWidth="1" outlineLevel="6"/>
    <col min="171" max="171" width="20.7109375" style="22" hidden="1" customWidth="1" outlineLevel="6"/>
    <col min="172" max="172" width="20.7109375" style="22" hidden="1" customWidth="1" outlineLevel="6" collapsed="1"/>
    <col min="173" max="174" width="21.7109375" style="22" hidden="1" customWidth="1" outlineLevel="7"/>
    <col min="175" max="176" width="20.7109375" style="22" hidden="1" customWidth="1" outlineLevel="7"/>
    <col min="177" max="178" width="21.7109375" style="22" hidden="1" customWidth="1" outlineLevel="7"/>
    <col min="179" max="180" width="20.7109375" style="22" hidden="1" customWidth="1" outlineLevel="7"/>
    <col min="181" max="182" width="21.7109375" style="22" hidden="1" customWidth="1" outlineLevel="7"/>
    <col min="183" max="184" width="20.7109375" style="22" hidden="1" customWidth="1" outlineLevel="7"/>
    <col min="185" max="186" width="21.7109375" style="22" hidden="1" customWidth="1" outlineLevel="7"/>
    <col min="187" max="188" width="20.7109375" style="22" hidden="1" customWidth="1" outlineLevel="7"/>
    <col min="189" max="190" width="21.7109375" style="22" hidden="1" customWidth="1" outlineLevel="7"/>
    <col min="191" max="191" width="20.7109375" style="22" hidden="1" customWidth="1" outlineLevel="7"/>
    <col min="192" max="192" width="20.7109375" style="22" hidden="1" customWidth="1" outlineLevel="7" collapsed="1"/>
    <col min="193" max="194" width="21.7109375" style="22" hidden="1" customWidth="1" outlineLevel="7"/>
    <col min="195" max="196" width="20.7109375" style="22" hidden="1" customWidth="1" outlineLevel="7"/>
    <col min="197" max="198" width="21.7109375" style="22" hidden="1" customWidth="1" outlineLevel="7"/>
    <col min="199" max="200" width="20.7109375" style="22" hidden="1" customWidth="1" outlineLevel="7"/>
    <col min="201" max="201" width="22.7109375" style="22" customWidth="1"/>
    <col min="202" max="202" width="21.7109375" style="22" customWidth="1"/>
    <col min="203" max="203" width="15.7109375" style="22" customWidth="1"/>
    <col min="204" max="204" width="15.7109375" style="22" customWidth="1" collapsed="1"/>
    <col min="205" max="212" width="15.7109375" style="22" hidden="1" customWidth="1" outlineLevel="1"/>
    <col min="213" max="217" width="29.7109375" style="22" customWidth="1"/>
    <col min="218" max="218" width="29.7109375" style="22" customWidth="1" collapsed="1"/>
    <col min="219" max="221" width="29.7109375" style="22" hidden="1" customWidth="1" outlineLevel="1"/>
    <col min="222" max="222" width="30.7109375" style="22" hidden="1" customWidth="1" outlineLevel="1"/>
    <col min="223" max="223" width="30.7109375" style="22" hidden="1" customWidth="1" outlineLevel="1" collapsed="1"/>
    <col min="224" max="227" width="30.7109375" style="22" hidden="1" customWidth="1" outlineLevel="2"/>
    <col min="228" max="228" width="30.7109375" style="22" hidden="1" customWidth="1" outlineLevel="2" collapsed="1"/>
    <col min="229" max="232" width="30.7109375" style="22" hidden="1" customWidth="1" outlineLevel="3"/>
    <col min="233" max="233" width="30.7109375" style="22" hidden="1" customWidth="1" outlineLevel="3" collapsed="1"/>
    <col min="234" max="237" width="30.7109375" style="22" hidden="1" customWidth="1" outlineLevel="4"/>
    <col min="238" max="238" width="30.7109375" style="22" hidden="1" customWidth="1" outlineLevel="4" collapsed="1"/>
    <col min="239" max="242" width="30.7109375" style="22" hidden="1" customWidth="1" outlineLevel="5"/>
    <col min="243" max="243" width="29.7109375" style="22" customWidth="1" collapsed="1"/>
    <col min="244" max="244" width="29.7109375" style="22" hidden="1" customWidth="1" outlineLevel="1"/>
    <col min="245" max="245" width="32.7109375" style="22" customWidth="1"/>
    <col min="246" max="246" width="20.7109375" style="22" customWidth="1"/>
    <col min="247" max="247" width="26.7109375" style="22" customWidth="1"/>
    <col min="248" max="248" width="22.7109375" style="22" customWidth="1" collapsed="1"/>
    <col min="249" max="249" width="32.7109375" style="22" hidden="1" customWidth="1" outlineLevel="1"/>
    <col min="250" max="250" width="20.7109375" style="22" hidden="1" customWidth="1" outlineLevel="1"/>
    <col min="251" max="251" width="26.7109375" style="22" hidden="1" customWidth="1" outlineLevel="1"/>
    <col min="252" max="252" width="22.7109375" style="22" hidden="1" customWidth="1" outlineLevel="1"/>
    <col min="253" max="253" width="32.7109375" style="22" hidden="1" customWidth="1" outlineLevel="1"/>
    <col min="254" max="254" width="20.7109375" style="22" hidden="1" customWidth="1" outlineLevel="1"/>
    <col min="255" max="255" width="26.7109375" style="22" hidden="1" customWidth="1" outlineLevel="1"/>
    <col min="256" max="256" width="22.7109375" style="22" hidden="1" customWidth="1" outlineLevel="1"/>
    <col min="257" max="257" width="32.7109375" style="22" hidden="1" customWidth="1" outlineLevel="1"/>
    <col min="258" max="258" width="20.7109375" style="22" hidden="1" customWidth="1" outlineLevel="1"/>
    <col min="259" max="259" width="26.7109375" style="22" hidden="1" customWidth="1" outlineLevel="1"/>
    <col min="260" max="260" width="22.7109375" style="22" hidden="1" customWidth="1" outlineLevel="1"/>
    <col min="261" max="261" width="32.7109375" style="22" hidden="1" customWidth="1" outlineLevel="1"/>
    <col min="262" max="262" width="20.7109375" style="22" hidden="1" customWidth="1" outlineLevel="1"/>
    <col min="263" max="263" width="26.7109375" style="22" hidden="1" customWidth="1" outlineLevel="1"/>
    <col min="264" max="264" width="22.7109375" style="22" hidden="1" customWidth="1" outlineLevel="1"/>
    <col min="265" max="265" width="32.7109375" style="22" hidden="1" customWidth="1" outlineLevel="1"/>
    <col min="266" max="266" width="20.7109375" style="22" hidden="1" customWidth="1" outlineLevel="1"/>
    <col min="267" max="267" width="26.7109375" style="22" hidden="1" customWidth="1" outlineLevel="1"/>
    <col min="268" max="268" width="22.7109375" style="22" hidden="1" customWidth="1" outlineLevel="1" collapsed="1"/>
    <col min="269" max="269" width="32.7109375" style="22" hidden="1" customWidth="1" outlineLevel="2"/>
    <col min="270" max="270" width="20.7109375" style="22" hidden="1" customWidth="1" outlineLevel="2"/>
    <col min="271" max="271" width="26.7109375" style="22" hidden="1" customWidth="1" outlineLevel="2"/>
    <col min="272" max="272" width="22.7109375" style="22" hidden="1" customWidth="1" outlineLevel="2"/>
    <col min="273" max="273" width="32.7109375" style="22" hidden="1" customWidth="1" outlineLevel="2"/>
    <col min="274" max="274" width="20.7109375" style="22" hidden="1" customWidth="1" outlineLevel="2"/>
    <col min="275" max="275" width="26.7109375" style="22" hidden="1" customWidth="1" outlineLevel="2"/>
    <col min="276" max="276" width="22.7109375" style="22" hidden="1" customWidth="1" outlineLevel="2"/>
    <col min="277" max="277" width="32.7109375" style="22" hidden="1" customWidth="1" outlineLevel="2"/>
    <col min="278" max="278" width="20.7109375" style="22" hidden="1" customWidth="1" outlineLevel="2"/>
    <col min="279" max="279" width="26.7109375" style="22" hidden="1" customWidth="1" outlineLevel="2"/>
    <col min="280" max="280" width="22.7109375" style="22" hidden="1" customWidth="1" outlineLevel="2"/>
    <col min="281" max="281" width="33.7109375" style="22" hidden="1" customWidth="1" outlineLevel="2"/>
    <col min="282" max="282" width="21.7109375" style="22" hidden="1" customWidth="1" outlineLevel="2"/>
    <col min="283" max="283" width="27.7109375" style="22" hidden="1" customWidth="1" outlineLevel="2"/>
    <col min="284" max="284" width="23.7109375" style="22" hidden="1" customWidth="1" outlineLevel="2"/>
    <col min="285" max="285" width="17.7109375" style="22" customWidth="1"/>
    <col min="286" max="286" width="12.7109375" style="22" customWidth="1"/>
    <col min="287" max="287" width="17.7109375" style="22" customWidth="1"/>
    <col min="288" max="288" width="13.7109375" style="22" customWidth="1"/>
    <col min="289" max="289" width="24.7109375" style="22" customWidth="1"/>
    <col min="290" max="290" width="36.7109375" style="22" customWidth="1"/>
    <col min="291" max="291" width="13.7109375" style="22" customWidth="1"/>
    <col min="292" max="292" width="23.7109375" style="22" customWidth="1"/>
    <col min="293" max="293" width="43.7109375" style="22" customWidth="1"/>
    <col min="294" max="294" width="13.7109375" style="22" customWidth="1"/>
    <col min="295" max="295" width="30.7109375" style="22" customWidth="1"/>
    <col min="296" max="296" width="15.7109375" style="22" customWidth="1"/>
    <col min="297" max="297" width="27.7109375" style="22" customWidth="1"/>
    <col min="298" max="298" width="10.7109375" style="22" customWidth="1"/>
    <col min="299" max="299" width="36.7109375" style="22" customWidth="1"/>
    <col min="300" max="300" width="20.7109375" style="22" customWidth="1"/>
    <col min="301" max="301" width="29.7109375" style="22" customWidth="1"/>
    <col min="302" max="302" width="21.7109375" style="22" customWidth="1"/>
    <col min="303" max="303" width="14.7109375" style="22" customWidth="1"/>
    <col min="304" max="304" width="35.7109375" style="22" customWidth="1"/>
    <col min="305" max="305" width="33.7109375" style="22" customWidth="1"/>
    <col min="306" max="306" width="27.7109375" style="22" customWidth="1"/>
    <col min="307" max="307" width="24.7109375" style="22" customWidth="1"/>
    <col min="308" max="308" width="31.7109375" style="22" customWidth="1"/>
    <col min="309" max="309" width="107.7109375" style="22" customWidth="1"/>
    <col min="310" max="310" width="64.7109375" style="22" customWidth="1"/>
    <col min="311" max="311" width="31.7109375" style="22" customWidth="1"/>
    <col min="312" max="312" width="19.7109375" style="22" customWidth="1"/>
    <col min="313" max="313" width="79.7109375" style="22" customWidth="1"/>
  </cols>
  <sheetData>
    <row r="1" spans="1:313" hidden="1">
      <c r="B1" s="22" t="s">
        <v>100</v>
      </c>
      <c r="C1" s="22" t="s">
        <v>101</v>
      </c>
      <c r="D1" s="22" t="s">
        <v>102</v>
      </c>
      <c r="E1" s="22" t="s">
        <v>103</v>
      </c>
      <c r="F1" s="22" t="s">
        <v>104</v>
      </c>
      <c r="G1" s="22" t="s">
        <v>105</v>
      </c>
      <c r="H1" s="22" t="s">
        <v>106</v>
      </c>
      <c r="I1" s="22" t="s">
        <v>107</v>
      </c>
      <c r="J1" s="22" t="s">
        <v>108</v>
      </c>
      <c r="K1" s="22" t="s">
        <v>109</v>
      </c>
      <c r="L1" s="22" t="s">
        <v>108</v>
      </c>
      <c r="M1" s="22" t="s">
        <v>109</v>
      </c>
      <c r="N1" s="22" t="s">
        <v>108</v>
      </c>
      <c r="O1" s="22" t="s">
        <v>109</v>
      </c>
      <c r="P1" s="22" t="s">
        <v>110</v>
      </c>
      <c r="Q1" s="22" t="s">
        <v>111</v>
      </c>
      <c r="R1" s="22" t="s">
        <v>112</v>
      </c>
      <c r="S1" s="22" t="s">
        <v>113</v>
      </c>
      <c r="T1" s="22" t="s">
        <v>114</v>
      </c>
      <c r="U1" s="22" t="s">
        <v>115</v>
      </c>
      <c r="V1" s="22" t="s">
        <v>115</v>
      </c>
      <c r="W1" s="22" t="s">
        <v>115</v>
      </c>
      <c r="X1" s="22" t="s">
        <v>115</v>
      </c>
      <c r="Y1" s="22" t="s">
        <v>115</v>
      </c>
      <c r="Z1" s="22" t="s">
        <v>115</v>
      </c>
      <c r="AA1" s="22" t="s">
        <v>115</v>
      </c>
      <c r="AB1" s="22" t="s">
        <v>115</v>
      </c>
      <c r="AC1" s="22" t="s">
        <v>116</v>
      </c>
      <c r="AD1" s="22" t="s">
        <v>117</v>
      </c>
      <c r="AE1" s="22" t="s">
        <v>118</v>
      </c>
      <c r="AF1" s="22" t="s">
        <v>119</v>
      </c>
      <c r="AG1" s="22" t="s">
        <v>120</v>
      </c>
      <c r="AH1" s="22" t="s">
        <v>121</v>
      </c>
      <c r="AI1" s="22" t="s">
        <v>122</v>
      </c>
      <c r="AJ1" s="22" t="s">
        <v>123</v>
      </c>
      <c r="AK1" s="22" t="s">
        <v>124</v>
      </c>
      <c r="AL1" s="22" t="s">
        <v>125</v>
      </c>
      <c r="AM1" s="22" t="s">
        <v>126</v>
      </c>
      <c r="AN1" s="22" t="s">
        <v>127</v>
      </c>
      <c r="AO1" s="22" t="s">
        <v>128</v>
      </c>
      <c r="AP1" s="22" t="s">
        <v>129</v>
      </c>
      <c r="AQ1" s="22" t="s">
        <v>130</v>
      </c>
      <c r="AR1" s="22" t="s">
        <v>131</v>
      </c>
      <c r="AS1" s="22" t="s">
        <v>128</v>
      </c>
      <c r="AT1" s="22" t="s">
        <v>129</v>
      </c>
      <c r="AU1" s="22" t="s">
        <v>130</v>
      </c>
      <c r="AV1" s="22" t="s">
        <v>131</v>
      </c>
      <c r="AW1" s="22" t="s">
        <v>128</v>
      </c>
      <c r="AX1" s="22" t="s">
        <v>129</v>
      </c>
      <c r="AY1" s="22" t="s">
        <v>130</v>
      </c>
      <c r="AZ1" s="22" t="s">
        <v>131</v>
      </c>
      <c r="BA1" s="22" t="s">
        <v>128</v>
      </c>
      <c r="BB1" s="22" t="s">
        <v>129</v>
      </c>
      <c r="BC1" s="22" t="s">
        <v>130</v>
      </c>
      <c r="BD1" s="22" t="s">
        <v>131</v>
      </c>
      <c r="BE1" s="22" t="s">
        <v>128</v>
      </c>
      <c r="BF1" s="22" t="s">
        <v>129</v>
      </c>
      <c r="BG1" s="22" t="s">
        <v>130</v>
      </c>
      <c r="BH1" s="22" t="s">
        <v>131</v>
      </c>
      <c r="BI1" s="22" t="s">
        <v>128</v>
      </c>
      <c r="BJ1" s="22" t="s">
        <v>129</v>
      </c>
      <c r="BK1" s="22" t="s">
        <v>130</v>
      </c>
      <c r="BL1" s="22" t="s">
        <v>131</v>
      </c>
      <c r="BM1" s="22" t="s">
        <v>128</v>
      </c>
      <c r="BN1" s="22" t="s">
        <v>129</v>
      </c>
      <c r="BO1" s="22" t="s">
        <v>130</v>
      </c>
      <c r="BP1" s="22" t="s">
        <v>131</v>
      </c>
      <c r="BQ1" s="22" t="s">
        <v>128</v>
      </c>
      <c r="BR1" s="22" t="s">
        <v>129</v>
      </c>
      <c r="BS1" s="22" t="s">
        <v>130</v>
      </c>
      <c r="BT1" s="22" t="s">
        <v>131</v>
      </c>
      <c r="BU1" s="22" t="s">
        <v>128</v>
      </c>
      <c r="BV1" s="22" t="s">
        <v>129</v>
      </c>
      <c r="BW1" s="22" t="s">
        <v>130</v>
      </c>
      <c r="BX1" s="22" t="s">
        <v>131</v>
      </c>
      <c r="BY1" s="22" t="s">
        <v>128</v>
      </c>
      <c r="BZ1" s="22" t="s">
        <v>129</v>
      </c>
      <c r="CA1" s="22" t="s">
        <v>130</v>
      </c>
      <c r="CB1" s="22" t="s">
        <v>131</v>
      </c>
      <c r="CC1" s="22" t="s">
        <v>128</v>
      </c>
      <c r="CD1" s="22" t="s">
        <v>129</v>
      </c>
      <c r="CE1" s="22" t="s">
        <v>130</v>
      </c>
      <c r="CF1" s="22" t="s">
        <v>131</v>
      </c>
      <c r="CG1" s="22" t="s">
        <v>128</v>
      </c>
      <c r="CH1" s="22" t="s">
        <v>129</v>
      </c>
      <c r="CI1" s="22" t="s">
        <v>130</v>
      </c>
      <c r="CJ1" s="22" t="s">
        <v>131</v>
      </c>
      <c r="CK1" s="22" t="s">
        <v>128</v>
      </c>
      <c r="CL1" s="22" t="s">
        <v>129</v>
      </c>
      <c r="CM1" s="22" t="s">
        <v>130</v>
      </c>
      <c r="CN1" s="22" t="s">
        <v>131</v>
      </c>
      <c r="CO1" s="22" t="s">
        <v>128</v>
      </c>
      <c r="CP1" s="22" t="s">
        <v>129</v>
      </c>
      <c r="CQ1" s="22" t="s">
        <v>130</v>
      </c>
      <c r="CR1" s="22" t="s">
        <v>131</v>
      </c>
      <c r="CS1" s="22" t="s">
        <v>128</v>
      </c>
      <c r="CT1" s="22" t="s">
        <v>129</v>
      </c>
      <c r="CU1" s="22" t="s">
        <v>130</v>
      </c>
      <c r="CV1" s="22" t="s">
        <v>131</v>
      </c>
      <c r="CW1" s="22" t="s">
        <v>128</v>
      </c>
      <c r="CX1" s="22" t="s">
        <v>129</v>
      </c>
      <c r="CY1" s="22" t="s">
        <v>130</v>
      </c>
      <c r="CZ1" s="22" t="s">
        <v>131</v>
      </c>
      <c r="DA1" s="22" t="s">
        <v>128</v>
      </c>
      <c r="DB1" s="22" t="s">
        <v>129</v>
      </c>
      <c r="DC1" s="22" t="s">
        <v>130</v>
      </c>
      <c r="DD1" s="22" t="s">
        <v>131</v>
      </c>
      <c r="DE1" s="22" t="s">
        <v>128</v>
      </c>
      <c r="DF1" s="22" t="s">
        <v>129</v>
      </c>
      <c r="DG1" s="22" t="s">
        <v>130</v>
      </c>
      <c r="DH1" s="22" t="s">
        <v>131</v>
      </c>
      <c r="DI1" s="22" t="s">
        <v>128</v>
      </c>
      <c r="DJ1" s="22" t="s">
        <v>129</v>
      </c>
      <c r="DK1" s="22" t="s">
        <v>130</v>
      </c>
      <c r="DL1" s="22" t="s">
        <v>131</v>
      </c>
      <c r="DM1" s="22" t="s">
        <v>128</v>
      </c>
      <c r="DN1" s="22" t="s">
        <v>129</v>
      </c>
      <c r="DO1" s="22" t="s">
        <v>130</v>
      </c>
      <c r="DP1" s="22" t="s">
        <v>131</v>
      </c>
      <c r="DQ1" s="22" t="s">
        <v>128</v>
      </c>
      <c r="DR1" s="22" t="s">
        <v>129</v>
      </c>
      <c r="DS1" s="22" t="s">
        <v>130</v>
      </c>
      <c r="DT1" s="22" t="s">
        <v>131</v>
      </c>
      <c r="DU1" s="22" t="s">
        <v>128</v>
      </c>
      <c r="DV1" s="22" t="s">
        <v>129</v>
      </c>
      <c r="DW1" s="22" t="s">
        <v>130</v>
      </c>
      <c r="DX1" s="22" t="s">
        <v>131</v>
      </c>
      <c r="DY1" s="22" t="s">
        <v>128</v>
      </c>
      <c r="DZ1" s="22" t="s">
        <v>129</v>
      </c>
      <c r="EA1" s="22" t="s">
        <v>130</v>
      </c>
      <c r="EB1" s="22" t="s">
        <v>131</v>
      </c>
      <c r="EC1" s="22" t="s">
        <v>128</v>
      </c>
      <c r="ED1" s="22" t="s">
        <v>129</v>
      </c>
      <c r="EE1" s="22" t="s">
        <v>130</v>
      </c>
      <c r="EF1" s="22" t="s">
        <v>131</v>
      </c>
      <c r="EG1" s="22" t="s">
        <v>128</v>
      </c>
      <c r="EH1" s="22" t="s">
        <v>129</v>
      </c>
      <c r="EI1" s="22" t="s">
        <v>130</v>
      </c>
      <c r="EJ1" s="22" t="s">
        <v>131</v>
      </c>
      <c r="EK1" s="22" t="s">
        <v>128</v>
      </c>
      <c r="EL1" s="22" t="s">
        <v>129</v>
      </c>
      <c r="EM1" s="22" t="s">
        <v>130</v>
      </c>
      <c r="EN1" s="22" t="s">
        <v>131</v>
      </c>
      <c r="EO1" s="22" t="s">
        <v>128</v>
      </c>
      <c r="EP1" s="22" t="s">
        <v>129</v>
      </c>
      <c r="EQ1" s="22" t="s">
        <v>130</v>
      </c>
      <c r="ER1" s="22" t="s">
        <v>131</v>
      </c>
      <c r="ES1" s="22" t="s">
        <v>128</v>
      </c>
      <c r="ET1" s="22" t="s">
        <v>129</v>
      </c>
      <c r="EU1" s="22" t="s">
        <v>130</v>
      </c>
      <c r="EV1" s="22" t="s">
        <v>131</v>
      </c>
      <c r="EW1" s="22" t="s">
        <v>128</v>
      </c>
      <c r="EX1" s="22" t="s">
        <v>129</v>
      </c>
      <c r="EY1" s="22" t="s">
        <v>130</v>
      </c>
      <c r="EZ1" s="22" t="s">
        <v>131</v>
      </c>
      <c r="FA1" s="22" t="s">
        <v>128</v>
      </c>
      <c r="FB1" s="22" t="s">
        <v>129</v>
      </c>
      <c r="FC1" s="22" t="s">
        <v>130</v>
      </c>
      <c r="FD1" s="22" t="s">
        <v>131</v>
      </c>
      <c r="FE1" s="22" t="s">
        <v>128</v>
      </c>
      <c r="FF1" s="22" t="s">
        <v>129</v>
      </c>
      <c r="FG1" s="22" t="s">
        <v>130</v>
      </c>
      <c r="FH1" s="22" t="s">
        <v>131</v>
      </c>
      <c r="FI1" s="22" t="s">
        <v>128</v>
      </c>
      <c r="FJ1" s="22" t="s">
        <v>129</v>
      </c>
      <c r="FK1" s="22" t="s">
        <v>130</v>
      </c>
      <c r="FL1" s="22" t="s">
        <v>131</v>
      </c>
      <c r="FM1" s="22" t="s">
        <v>128</v>
      </c>
      <c r="FN1" s="22" t="s">
        <v>129</v>
      </c>
      <c r="FO1" s="22" t="s">
        <v>130</v>
      </c>
      <c r="FP1" s="22" t="s">
        <v>131</v>
      </c>
      <c r="FQ1" s="22" t="s">
        <v>128</v>
      </c>
      <c r="FR1" s="22" t="s">
        <v>129</v>
      </c>
      <c r="FS1" s="22" t="s">
        <v>130</v>
      </c>
      <c r="FT1" s="22" t="s">
        <v>131</v>
      </c>
      <c r="FU1" s="22" t="s">
        <v>128</v>
      </c>
      <c r="FV1" s="22" t="s">
        <v>129</v>
      </c>
      <c r="FW1" s="22" t="s">
        <v>130</v>
      </c>
      <c r="FX1" s="22" t="s">
        <v>131</v>
      </c>
      <c r="FY1" s="22" t="s">
        <v>128</v>
      </c>
      <c r="FZ1" s="22" t="s">
        <v>129</v>
      </c>
      <c r="GA1" s="22" t="s">
        <v>130</v>
      </c>
      <c r="GB1" s="22" t="s">
        <v>131</v>
      </c>
      <c r="GC1" s="22" t="s">
        <v>128</v>
      </c>
      <c r="GD1" s="22" t="s">
        <v>129</v>
      </c>
      <c r="GE1" s="22" t="s">
        <v>130</v>
      </c>
      <c r="GF1" s="22" t="s">
        <v>131</v>
      </c>
      <c r="GG1" s="22" t="s">
        <v>128</v>
      </c>
      <c r="GH1" s="22" t="s">
        <v>129</v>
      </c>
      <c r="GI1" s="22" t="s">
        <v>130</v>
      </c>
      <c r="GJ1" s="22" t="s">
        <v>131</v>
      </c>
      <c r="GK1" s="22" t="s">
        <v>128</v>
      </c>
      <c r="GL1" s="22" t="s">
        <v>129</v>
      </c>
      <c r="GM1" s="22" t="s">
        <v>130</v>
      </c>
      <c r="GN1" s="22" t="s">
        <v>131</v>
      </c>
      <c r="GO1" s="22" t="s">
        <v>128</v>
      </c>
      <c r="GP1" s="22" t="s">
        <v>129</v>
      </c>
      <c r="GQ1" s="22" t="s">
        <v>130</v>
      </c>
      <c r="GR1" s="22" t="s">
        <v>131</v>
      </c>
      <c r="GS1" s="22" t="s">
        <v>132</v>
      </c>
      <c r="GT1" s="22" t="s">
        <v>133</v>
      </c>
      <c r="GU1" s="22" t="s">
        <v>134</v>
      </c>
      <c r="GV1" s="22" t="s">
        <v>135</v>
      </c>
      <c r="GW1" s="22" t="s">
        <v>134</v>
      </c>
      <c r="GX1" s="22" t="s">
        <v>135</v>
      </c>
      <c r="GY1" s="22" t="s">
        <v>134</v>
      </c>
      <c r="GZ1" s="22" t="s">
        <v>135</v>
      </c>
      <c r="HA1" s="22" t="s">
        <v>134</v>
      </c>
      <c r="HB1" s="22" t="s">
        <v>135</v>
      </c>
      <c r="HC1" s="22" t="s">
        <v>134</v>
      </c>
      <c r="HD1" s="22" t="s">
        <v>135</v>
      </c>
      <c r="HE1" s="22" t="s">
        <v>136</v>
      </c>
      <c r="HF1" s="22" t="s">
        <v>136</v>
      </c>
      <c r="HG1" s="22" t="s">
        <v>136</v>
      </c>
      <c r="HH1" s="22" t="s">
        <v>136</v>
      </c>
      <c r="HI1" s="22" t="s">
        <v>136</v>
      </c>
      <c r="HJ1" s="22" t="s">
        <v>136</v>
      </c>
      <c r="HK1" s="22" t="s">
        <v>136</v>
      </c>
      <c r="HL1" s="22" t="s">
        <v>136</v>
      </c>
      <c r="HM1" s="22" t="s">
        <v>136</v>
      </c>
      <c r="HN1" s="22" t="s">
        <v>136</v>
      </c>
      <c r="HO1" s="22" t="s">
        <v>136</v>
      </c>
      <c r="HP1" s="22" t="s">
        <v>136</v>
      </c>
      <c r="HQ1" s="22" t="s">
        <v>136</v>
      </c>
      <c r="HR1" s="22" t="s">
        <v>136</v>
      </c>
      <c r="HS1" s="22" t="s">
        <v>136</v>
      </c>
      <c r="HT1" s="22" t="s">
        <v>136</v>
      </c>
      <c r="HU1" s="22" t="s">
        <v>136</v>
      </c>
      <c r="HV1" s="22" t="s">
        <v>136</v>
      </c>
      <c r="HW1" s="22" t="s">
        <v>136</v>
      </c>
      <c r="HX1" s="22" t="s">
        <v>136</v>
      </c>
      <c r="HY1" s="22" t="s">
        <v>136</v>
      </c>
      <c r="HZ1" s="22" t="s">
        <v>136</v>
      </c>
      <c r="IA1" s="22" t="s">
        <v>136</v>
      </c>
      <c r="IB1" s="22" t="s">
        <v>136</v>
      </c>
      <c r="IC1" s="22" t="s">
        <v>136</v>
      </c>
      <c r="ID1" s="22" t="s">
        <v>136</v>
      </c>
      <c r="IE1" s="22" t="s">
        <v>136</v>
      </c>
      <c r="IF1" s="22" t="s">
        <v>136</v>
      </c>
      <c r="IG1" s="22" t="s">
        <v>136</v>
      </c>
      <c r="IH1" s="22" t="s">
        <v>136</v>
      </c>
      <c r="II1" s="22" t="s">
        <v>137</v>
      </c>
      <c r="IJ1" s="22" t="s">
        <v>137</v>
      </c>
      <c r="IK1" s="22" t="s">
        <v>138</v>
      </c>
      <c r="IL1" s="22" t="s">
        <v>139</v>
      </c>
      <c r="IM1" s="22" t="s">
        <v>140</v>
      </c>
      <c r="IN1" s="22" t="s">
        <v>141</v>
      </c>
      <c r="IO1" s="22" t="s">
        <v>138</v>
      </c>
      <c r="IP1" s="22" t="s">
        <v>139</v>
      </c>
      <c r="IQ1" s="22" t="s">
        <v>140</v>
      </c>
      <c r="IR1" s="22" t="s">
        <v>141</v>
      </c>
      <c r="IS1" s="22" t="s">
        <v>138</v>
      </c>
      <c r="IT1" s="22" t="s">
        <v>139</v>
      </c>
      <c r="IU1" s="22" t="s">
        <v>140</v>
      </c>
      <c r="IV1" s="22" t="s">
        <v>141</v>
      </c>
      <c r="IW1" s="22" t="s">
        <v>138</v>
      </c>
      <c r="IX1" s="22" t="s">
        <v>139</v>
      </c>
      <c r="IY1" s="22" t="s">
        <v>140</v>
      </c>
      <c r="IZ1" s="22" t="s">
        <v>141</v>
      </c>
      <c r="JA1" s="22" t="s">
        <v>138</v>
      </c>
      <c r="JB1" s="22" t="s">
        <v>139</v>
      </c>
      <c r="JC1" s="22" t="s">
        <v>140</v>
      </c>
      <c r="JD1" s="22" t="s">
        <v>141</v>
      </c>
      <c r="JE1" s="22" t="s">
        <v>138</v>
      </c>
      <c r="JF1" s="22" t="s">
        <v>139</v>
      </c>
      <c r="JG1" s="22" t="s">
        <v>140</v>
      </c>
      <c r="JH1" s="22" t="s">
        <v>141</v>
      </c>
      <c r="JI1" s="22" t="s">
        <v>138</v>
      </c>
      <c r="JJ1" s="22" t="s">
        <v>139</v>
      </c>
      <c r="JK1" s="22" t="s">
        <v>140</v>
      </c>
      <c r="JL1" s="22" t="s">
        <v>141</v>
      </c>
      <c r="JM1" s="22" t="s">
        <v>138</v>
      </c>
      <c r="JN1" s="22" t="s">
        <v>139</v>
      </c>
      <c r="JO1" s="22" t="s">
        <v>140</v>
      </c>
      <c r="JP1" s="22" t="s">
        <v>141</v>
      </c>
      <c r="JQ1" s="22" t="s">
        <v>138</v>
      </c>
      <c r="JR1" s="22" t="s">
        <v>139</v>
      </c>
      <c r="JS1" s="22" t="s">
        <v>140</v>
      </c>
      <c r="JT1" s="22" t="s">
        <v>141</v>
      </c>
      <c r="JU1" s="22" t="s">
        <v>138</v>
      </c>
      <c r="JV1" s="22" t="s">
        <v>139</v>
      </c>
      <c r="JW1" s="22" t="s">
        <v>140</v>
      </c>
      <c r="JX1" s="22" t="s">
        <v>141</v>
      </c>
      <c r="JY1" s="22" t="s">
        <v>142</v>
      </c>
      <c r="JZ1" s="22" t="s">
        <v>143</v>
      </c>
      <c r="KA1" s="22" t="s">
        <v>144</v>
      </c>
      <c r="KB1" s="22" t="s">
        <v>145</v>
      </c>
      <c r="KC1" s="22" t="s">
        <v>146</v>
      </c>
      <c r="KD1" s="22" t="s">
        <v>147</v>
      </c>
      <c r="KE1" s="22" t="s">
        <v>148</v>
      </c>
      <c r="KF1" s="22" t="s">
        <v>149</v>
      </c>
      <c r="KG1" s="22" t="s">
        <v>150</v>
      </c>
      <c r="KH1" s="22" t="s">
        <v>151</v>
      </c>
      <c r="KI1" s="22" t="s">
        <v>152</v>
      </c>
      <c r="KJ1" s="22" t="s">
        <v>153</v>
      </c>
      <c r="KK1" s="22" t="s">
        <v>154</v>
      </c>
      <c r="KL1" s="22" t="s">
        <v>155</v>
      </c>
      <c r="KM1" s="22" t="s">
        <v>156</v>
      </c>
      <c r="KN1" s="22" t="s">
        <v>157</v>
      </c>
      <c r="KO1" s="22" t="s">
        <v>158</v>
      </c>
      <c r="KP1" s="22" t="s">
        <v>159</v>
      </c>
      <c r="KQ1" s="22" t="s">
        <v>160</v>
      </c>
      <c r="KR1" s="22" t="s">
        <v>161</v>
      </c>
      <c r="KS1" s="22" t="s">
        <v>162</v>
      </c>
      <c r="KT1" s="22" t="s">
        <v>163</v>
      </c>
      <c r="KU1" s="22" t="s">
        <v>164</v>
      </c>
      <c r="KV1" s="22" t="s">
        <v>165</v>
      </c>
      <c r="KW1" s="22" t="s">
        <v>166</v>
      </c>
      <c r="KX1" s="22" t="s">
        <v>167</v>
      </c>
      <c r="KY1" s="22" t="s">
        <v>168</v>
      </c>
      <c r="KZ1" s="22" t="s">
        <v>169</v>
      </c>
      <c r="LA1" s="22" t="s">
        <v>170</v>
      </c>
    </row>
    <row r="2" spans="1:313" hidden="1">
      <c r="J2" s="22" t="s">
        <v>171</v>
      </c>
      <c r="K2" s="22" t="s">
        <v>171</v>
      </c>
      <c r="L2" s="22" t="s">
        <v>172</v>
      </c>
      <c r="M2" s="22" t="s">
        <v>172</v>
      </c>
      <c r="N2" s="22" t="s">
        <v>173</v>
      </c>
      <c r="O2" s="22" t="s">
        <v>173</v>
      </c>
      <c r="U2" s="22" t="s">
        <v>171</v>
      </c>
      <c r="V2" s="22" t="s">
        <v>172</v>
      </c>
      <c r="W2" s="22" t="s">
        <v>173</v>
      </c>
      <c r="X2" s="22" t="s">
        <v>174</v>
      </c>
      <c r="Y2" s="22" t="s">
        <v>175</v>
      </c>
      <c r="Z2" s="22" t="s">
        <v>176</v>
      </c>
      <c r="AA2" s="22" t="s">
        <v>177</v>
      </c>
      <c r="AB2" s="22" t="s">
        <v>178</v>
      </c>
      <c r="AO2" s="22" t="s">
        <v>171</v>
      </c>
      <c r="AP2" s="22" t="s">
        <v>171</v>
      </c>
      <c r="AQ2" s="22" t="s">
        <v>171</v>
      </c>
      <c r="AR2" s="22" t="s">
        <v>171</v>
      </c>
      <c r="AS2" s="22" t="s">
        <v>172</v>
      </c>
      <c r="AT2" s="22" t="s">
        <v>172</v>
      </c>
      <c r="AU2" s="22" t="s">
        <v>172</v>
      </c>
      <c r="AV2" s="22" t="s">
        <v>172</v>
      </c>
      <c r="AW2" s="22" t="s">
        <v>173</v>
      </c>
      <c r="AX2" s="22" t="s">
        <v>173</v>
      </c>
      <c r="AY2" s="22" t="s">
        <v>173</v>
      </c>
      <c r="AZ2" s="22" t="s">
        <v>173</v>
      </c>
      <c r="BA2" s="22" t="s">
        <v>174</v>
      </c>
      <c r="BB2" s="22" t="s">
        <v>174</v>
      </c>
      <c r="BC2" s="22" t="s">
        <v>174</v>
      </c>
      <c r="BD2" s="22" t="s">
        <v>174</v>
      </c>
      <c r="BE2" s="22" t="s">
        <v>175</v>
      </c>
      <c r="BF2" s="22" t="s">
        <v>175</v>
      </c>
      <c r="BG2" s="22" t="s">
        <v>175</v>
      </c>
      <c r="BH2" s="22" t="s">
        <v>175</v>
      </c>
      <c r="BI2" s="22" t="s">
        <v>176</v>
      </c>
      <c r="BJ2" s="22" t="s">
        <v>176</v>
      </c>
      <c r="BK2" s="22" t="s">
        <v>176</v>
      </c>
      <c r="BL2" s="22" t="s">
        <v>176</v>
      </c>
      <c r="BM2" s="22" t="s">
        <v>177</v>
      </c>
      <c r="BN2" s="22" t="s">
        <v>177</v>
      </c>
      <c r="BO2" s="22" t="s">
        <v>177</v>
      </c>
      <c r="BP2" s="22" t="s">
        <v>177</v>
      </c>
      <c r="BQ2" s="22" t="s">
        <v>178</v>
      </c>
      <c r="BR2" s="22" t="s">
        <v>178</v>
      </c>
      <c r="BS2" s="22" t="s">
        <v>178</v>
      </c>
      <c r="BT2" s="22" t="s">
        <v>178</v>
      </c>
      <c r="BU2" s="22" t="s">
        <v>179</v>
      </c>
      <c r="BV2" s="22" t="s">
        <v>179</v>
      </c>
      <c r="BW2" s="22" t="s">
        <v>179</v>
      </c>
      <c r="BX2" s="22" t="s">
        <v>179</v>
      </c>
      <c r="BY2" s="22" t="s">
        <v>180</v>
      </c>
      <c r="BZ2" s="22" t="s">
        <v>180</v>
      </c>
      <c r="CA2" s="22" t="s">
        <v>180</v>
      </c>
      <c r="CB2" s="22" t="s">
        <v>180</v>
      </c>
      <c r="CC2" s="22" t="s">
        <v>181</v>
      </c>
      <c r="CD2" s="22" t="s">
        <v>181</v>
      </c>
      <c r="CE2" s="22" t="s">
        <v>181</v>
      </c>
      <c r="CF2" s="22" t="s">
        <v>181</v>
      </c>
      <c r="CG2" s="22" t="s">
        <v>182</v>
      </c>
      <c r="CH2" s="22" t="s">
        <v>182</v>
      </c>
      <c r="CI2" s="22" t="s">
        <v>182</v>
      </c>
      <c r="CJ2" s="22" t="s">
        <v>182</v>
      </c>
      <c r="CK2" s="22" t="s">
        <v>183</v>
      </c>
      <c r="CL2" s="22" t="s">
        <v>183</v>
      </c>
      <c r="CM2" s="22" t="s">
        <v>183</v>
      </c>
      <c r="CN2" s="22" t="s">
        <v>183</v>
      </c>
      <c r="CO2" s="22" t="s">
        <v>184</v>
      </c>
      <c r="CP2" s="22" t="s">
        <v>184</v>
      </c>
      <c r="CQ2" s="22" t="s">
        <v>184</v>
      </c>
      <c r="CR2" s="22" t="s">
        <v>184</v>
      </c>
      <c r="CS2" s="22" t="s">
        <v>185</v>
      </c>
      <c r="CT2" s="22" t="s">
        <v>185</v>
      </c>
      <c r="CU2" s="22" t="s">
        <v>185</v>
      </c>
      <c r="CV2" s="22" t="s">
        <v>185</v>
      </c>
      <c r="CW2" s="22" t="s">
        <v>186</v>
      </c>
      <c r="CX2" s="22" t="s">
        <v>186</v>
      </c>
      <c r="CY2" s="22" t="s">
        <v>186</v>
      </c>
      <c r="CZ2" s="22" t="s">
        <v>186</v>
      </c>
      <c r="DA2" s="22" t="s">
        <v>187</v>
      </c>
      <c r="DB2" s="22" t="s">
        <v>187</v>
      </c>
      <c r="DC2" s="22" t="s">
        <v>187</v>
      </c>
      <c r="DD2" s="22" t="s">
        <v>187</v>
      </c>
      <c r="DE2" s="22" t="s">
        <v>188</v>
      </c>
      <c r="DF2" s="22" t="s">
        <v>188</v>
      </c>
      <c r="DG2" s="22" t="s">
        <v>188</v>
      </c>
      <c r="DH2" s="22" t="s">
        <v>188</v>
      </c>
      <c r="DI2" s="22" t="s">
        <v>189</v>
      </c>
      <c r="DJ2" s="22" t="s">
        <v>189</v>
      </c>
      <c r="DK2" s="22" t="s">
        <v>189</v>
      </c>
      <c r="DL2" s="22" t="s">
        <v>189</v>
      </c>
      <c r="DM2" s="22" t="s">
        <v>190</v>
      </c>
      <c r="DN2" s="22" t="s">
        <v>190</v>
      </c>
      <c r="DO2" s="22" t="s">
        <v>190</v>
      </c>
      <c r="DP2" s="22" t="s">
        <v>190</v>
      </c>
      <c r="DQ2" s="22" t="s">
        <v>191</v>
      </c>
      <c r="DR2" s="22" t="s">
        <v>191</v>
      </c>
      <c r="DS2" s="22" t="s">
        <v>191</v>
      </c>
      <c r="DT2" s="22" t="s">
        <v>191</v>
      </c>
      <c r="DU2" s="22" t="s">
        <v>192</v>
      </c>
      <c r="DV2" s="22" t="s">
        <v>192</v>
      </c>
      <c r="DW2" s="22" t="s">
        <v>192</v>
      </c>
      <c r="DX2" s="22" t="s">
        <v>192</v>
      </c>
      <c r="DY2" s="22" t="s">
        <v>193</v>
      </c>
      <c r="DZ2" s="22" t="s">
        <v>193</v>
      </c>
      <c r="EA2" s="22" t="s">
        <v>193</v>
      </c>
      <c r="EB2" s="22" t="s">
        <v>193</v>
      </c>
      <c r="EC2" s="22" t="s">
        <v>194</v>
      </c>
      <c r="ED2" s="22" t="s">
        <v>194</v>
      </c>
      <c r="EE2" s="22" t="s">
        <v>194</v>
      </c>
      <c r="EF2" s="22" t="s">
        <v>194</v>
      </c>
      <c r="EG2" s="22" t="s">
        <v>195</v>
      </c>
      <c r="EH2" s="22" t="s">
        <v>195</v>
      </c>
      <c r="EI2" s="22" t="s">
        <v>195</v>
      </c>
      <c r="EJ2" s="22" t="s">
        <v>195</v>
      </c>
      <c r="EK2" s="22" t="s">
        <v>196</v>
      </c>
      <c r="EL2" s="22" t="s">
        <v>196</v>
      </c>
      <c r="EM2" s="22" t="s">
        <v>196</v>
      </c>
      <c r="EN2" s="22" t="s">
        <v>196</v>
      </c>
      <c r="EO2" s="22" t="s">
        <v>197</v>
      </c>
      <c r="EP2" s="22" t="s">
        <v>197</v>
      </c>
      <c r="EQ2" s="22" t="s">
        <v>197</v>
      </c>
      <c r="ER2" s="22" t="s">
        <v>197</v>
      </c>
      <c r="ES2" s="22" t="s">
        <v>164</v>
      </c>
      <c r="ET2" s="22" t="s">
        <v>164</v>
      </c>
      <c r="EU2" s="22" t="s">
        <v>164</v>
      </c>
      <c r="EV2" s="22" t="s">
        <v>164</v>
      </c>
      <c r="EW2" s="22" t="s">
        <v>198</v>
      </c>
      <c r="EX2" s="22" t="s">
        <v>198</v>
      </c>
      <c r="EY2" s="22" t="s">
        <v>198</v>
      </c>
      <c r="EZ2" s="22" t="s">
        <v>198</v>
      </c>
      <c r="FA2" s="22" t="s">
        <v>199</v>
      </c>
      <c r="FB2" s="22" t="s">
        <v>199</v>
      </c>
      <c r="FC2" s="22" t="s">
        <v>199</v>
      </c>
      <c r="FD2" s="22" t="s">
        <v>199</v>
      </c>
      <c r="FE2" s="22" t="s">
        <v>167</v>
      </c>
      <c r="FF2" s="22" t="s">
        <v>167</v>
      </c>
      <c r="FG2" s="22" t="s">
        <v>167</v>
      </c>
      <c r="FH2" s="22" t="s">
        <v>167</v>
      </c>
      <c r="FI2" s="22" t="s">
        <v>200</v>
      </c>
      <c r="FJ2" s="22" t="s">
        <v>200</v>
      </c>
      <c r="FK2" s="22" t="s">
        <v>200</v>
      </c>
      <c r="FL2" s="22" t="s">
        <v>200</v>
      </c>
      <c r="FM2" s="22" t="s">
        <v>201</v>
      </c>
      <c r="FN2" s="22" t="s">
        <v>201</v>
      </c>
      <c r="FO2" s="22" t="s">
        <v>201</v>
      </c>
      <c r="FP2" s="22" t="s">
        <v>201</v>
      </c>
      <c r="FQ2" s="22" t="s">
        <v>202</v>
      </c>
      <c r="FR2" s="22" t="s">
        <v>202</v>
      </c>
      <c r="FS2" s="22" t="s">
        <v>202</v>
      </c>
      <c r="FT2" s="22" t="s">
        <v>202</v>
      </c>
      <c r="FU2" s="22" t="s">
        <v>203</v>
      </c>
      <c r="FV2" s="22" t="s">
        <v>203</v>
      </c>
      <c r="FW2" s="22" t="s">
        <v>203</v>
      </c>
      <c r="FX2" s="22" t="s">
        <v>203</v>
      </c>
      <c r="FY2" s="22" t="s">
        <v>204</v>
      </c>
      <c r="FZ2" s="22" t="s">
        <v>204</v>
      </c>
      <c r="GA2" s="22" t="s">
        <v>204</v>
      </c>
      <c r="GB2" s="22" t="s">
        <v>204</v>
      </c>
      <c r="GC2" s="22" t="s">
        <v>205</v>
      </c>
      <c r="GD2" s="22" t="s">
        <v>205</v>
      </c>
      <c r="GE2" s="22" t="s">
        <v>205</v>
      </c>
      <c r="GF2" s="22" t="s">
        <v>205</v>
      </c>
      <c r="GG2" s="22" t="s">
        <v>206</v>
      </c>
      <c r="GH2" s="22" t="s">
        <v>206</v>
      </c>
      <c r="GI2" s="22" t="s">
        <v>206</v>
      </c>
      <c r="GJ2" s="22" t="s">
        <v>206</v>
      </c>
      <c r="GK2" s="22" t="s">
        <v>207</v>
      </c>
      <c r="GL2" s="22" t="s">
        <v>207</v>
      </c>
      <c r="GM2" s="22" t="s">
        <v>207</v>
      </c>
      <c r="GN2" s="22" t="s">
        <v>207</v>
      </c>
      <c r="GO2" s="22" t="s">
        <v>208</v>
      </c>
      <c r="GP2" s="22" t="s">
        <v>208</v>
      </c>
      <c r="GQ2" s="22" t="s">
        <v>208</v>
      </c>
      <c r="GR2" s="22" t="s">
        <v>208</v>
      </c>
      <c r="GU2" s="22" t="s">
        <v>171</v>
      </c>
      <c r="GV2" s="22" t="s">
        <v>171</v>
      </c>
      <c r="GW2" s="22" t="s">
        <v>172</v>
      </c>
      <c r="GX2" s="22" t="s">
        <v>172</v>
      </c>
      <c r="GY2" s="22" t="s">
        <v>173</v>
      </c>
      <c r="GZ2" s="22" t="s">
        <v>173</v>
      </c>
      <c r="HA2" s="22" t="s">
        <v>174</v>
      </c>
      <c r="HB2" s="22" t="s">
        <v>174</v>
      </c>
      <c r="HC2" s="22" t="s">
        <v>175</v>
      </c>
      <c r="HD2" s="22" t="s">
        <v>175</v>
      </c>
      <c r="HE2" s="22" t="s">
        <v>171</v>
      </c>
      <c r="HF2" s="22" t="s">
        <v>172</v>
      </c>
      <c r="HG2" s="22" t="s">
        <v>173</v>
      </c>
      <c r="HH2" s="22" t="s">
        <v>174</v>
      </c>
      <c r="HI2" s="22" t="s">
        <v>175</v>
      </c>
      <c r="HJ2" s="22" t="s">
        <v>176</v>
      </c>
      <c r="HK2" s="22" t="s">
        <v>177</v>
      </c>
      <c r="HL2" s="22" t="s">
        <v>178</v>
      </c>
      <c r="HM2" s="22" t="s">
        <v>179</v>
      </c>
      <c r="HN2" s="22" t="s">
        <v>180</v>
      </c>
      <c r="HO2" s="22" t="s">
        <v>181</v>
      </c>
      <c r="HP2" s="22" t="s">
        <v>182</v>
      </c>
      <c r="HQ2" s="22" t="s">
        <v>183</v>
      </c>
      <c r="HR2" s="22" t="s">
        <v>184</v>
      </c>
      <c r="HS2" s="22" t="s">
        <v>185</v>
      </c>
      <c r="HT2" s="22" t="s">
        <v>186</v>
      </c>
      <c r="HU2" s="22" t="s">
        <v>187</v>
      </c>
      <c r="HV2" s="22" t="s">
        <v>188</v>
      </c>
      <c r="HW2" s="22" t="s">
        <v>189</v>
      </c>
      <c r="HX2" s="22" t="s">
        <v>190</v>
      </c>
      <c r="HY2" s="22" t="s">
        <v>191</v>
      </c>
      <c r="HZ2" s="22" t="s">
        <v>192</v>
      </c>
      <c r="IA2" s="22" t="s">
        <v>193</v>
      </c>
      <c r="IB2" s="22" t="s">
        <v>194</v>
      </c>
      <c r="IC2" s="22" t="s">
        <v>195</v>
      </c>
      <c r="ID2" s="22" t="s">
        <v>196</v>
      </c>
      <c r="IE2" s="22" t="s">
        <v>197</v>
      </c>
      <c r="IF2" s="22" t="s">
        <v>164</v>
      </c>
      <c r="IG2" s="22" t="s">
        <v>198</v>
      </c>
      <c r="IH2" s="22" t="s">
        <v>199</v>
      </c>
      <c r="II2" s="22" t="s">
        <v>171</v>
      </c>
      <c r="IJ2" s="22" t="s">
        <v>172</v>
      </c>
      <c r="IK2" s="22" t="s">
        <v>171</v>
      </c>
      <c r="IL2" s="22" t="s">
        <v>171</v>
      </c>
      <c r="IM2" s="22" t="s">
        <v>171</v>
      </c>
      <c r="IN2" s="22" t="s">
        <v>171</v>
      </c>
      <c r="IO2" s="22" t="s">
        <v>172</v>
      </c>
      <c r="IP2" s="22" t="s">
        <v>172</v>
      </c>
      <c r="IQ2" s="22" t="s">
        <v>172</v>
      </c>
      <c r="IR2" s="22" t="s">
        <v>172</v>
      </c>
      <c r="IS2" s="22" t="s">
        <v>173</v>
      </c>
      <c r="IT2" s="22" t="s">
        <v>173</v>
      </c>
      <c r="IU2" s="22" t="s">
        <v>173</v>
      </c>
      <c r="IV2" s="22" t="s">
        <v>173</v>
      </c>
      <c r="IW2" s="22" t="s">
        <v>174</v>
      </c>
      <c r="IX2" s="22" t="s">
        <v>174</v>
      </c>
      <c r="IY2" s="22" t="s">
        <v>174</v>
      </c>
      <c r="IZ2" s="22" t="s">
        <v>174</v>
      </c>
      <c r="JA2" s="22" t="s">
        <v>175</v>
      </c>
      <c r="JB2" s="22" t="s">
        <v>175</v>
      </c>
      <c r="JC2" s="22" t="s">
        <v>175</v>
      </c>
      <c r="JD2" s="22" t="s">
        <v>175</v>
      </c>
      <c r="JE2" s="22" t="s">
        <v>176</v>
      </c>
      <c r="JF2" s="22" t="s">
        <v>176</v>
      </c>
      <c r="JG2" s="22" t="s">
        <v>176</v>
      </c>
      <c r="JH2" s="22" t="s">
        <v>176</v>
      </c>
      <c r="JI2" s="22" t="s">
        <v>177</v>
      </c>
      <c r="JJ2" s="22" t="s">
        <v>177</v>
      </c>
      <c r="JK2" s="22" t="s">
        <v>177</v>
      </c>
      <c r="JL2" s="22" t="s">
        <v>177</v>
      </c>
      <c r="JM2" s="22" t="s">
        <v>178</v>
      </c>
      <c r="JN2" s="22" t="s">
        <v>178</v>
      </c>
      <c r="JO2" s="22" t="s">
        <v>178</v>
      </c>
      <c r="JP2" s="22" t="s">
        <v>178</v>
      </c>
      <c r="JQ2" s="22" t="s">
        <v>179</v>
      </c>
      <c r="JR2" s="22" t="s">
        <v>179</v>
      </c>
      <c r="JS2" s="22" t="s">
        <v>179</v>
      </c>
      <c r="JT2" s="22" t="s">
        <v>179</v>
      </c>
      <c r="JU2" s="22" t="s">
        <v>180</v>
      </c>
      <c r="JV2" s="22" t="s">
        <v>180</v>
      </c>
      <c r="JW2" s="22" t="s">
        <v>180</v>
      </c>
      <c r="JX2" s="22" t="s">
        <v>180</v>
      </c>
    </row>
    <row r="3" spans="1:313">
      <c r="B3" s="23" t="s">
        <v>209</v>
      </c>
      <c r="F3" s="23" t="s">
        <v>210</v>
      </c>
      <c r="H3" s="24" t="s">
        <v>1</v>
      </c>
      <c r="P3" s="25" t="s">
        <v>211</v>
      </c>
      <c r="T3" s="26" t="s">
        <v>212</v>
      </c>
      <c r="AC3" s="27" t="s">
        <v>213</v>
      </c>
      <c r="AO3" s="28" t="s">
        <v>214</v>
      </c>
      <c r="GS3" s="29" t="s">
        <v>215</v>
      </c>
      <c r="HE3" s="30" t="s">
        <v>43</v>
      </c>
      <c r="JY3" s="31" t="s">
        <v>216</v>
      </c>
    </row>
    <row r="4" spans="1:313" ht="32" customHeight="1">
      <c r="B4" s="32" t="s">
        <v>62</v>
      </c>
      <c r="C4" s="32" t="s">
        <v>62</v>
      </c>
      <c r="D4" s="32" t="s">
        <v>63</v>
      </c>
      <c r="E4" s="32" t="s">
        <v>62</v>
      </c>
      <c r="F4" s="32" t="s">
        <v>62</v>
      </c>
      <c r="G4" s="32" t="s">
        <v>65</v>
      </c>
      <c r="H4" s="32" t="s">
        <v>63</v>
      </c>
      <c r="I4" s="32" t="s">
        <v>65</v>
      </c>
      <c r="J4" s="32" t="s">
        <v>65</v>
      </c>
      <c r="K4" s="32" t="s">
        <v>65</v>
      </c>
      <c r="L4" s="32" t="s">
        <v>65</v>
      </c>
      <c r="M4" s="32" t="s">
        <v>65</v>
      </c>
      <c r="N4" s="32" t="s">
        <v>65</v>
      </c>
      <c r="O4" s="32" t="s">
        <v>65</v>
      </c>
      <c r="P4" s="32" t="s">
        <v>62</v>
      </c>
      <c r="Q4" s="32" t="s">
        <v>64</v>
      </c>
      <c r="R4" s="32" t="s">
        <v>64</v>
      </c>
      <c r="S4" s="32" t="s">
        <v>64</v>
      </c>
      <c r="T4" s="32" t="s">
        <v>65</v>
      </c>
      <c r="U4" s="32" t="s">
        <v>65</v>
      </c>
      <c r="V4" s="32" t="s">
        <v>65</v>
      </c>
      <c r="W4" s="32" t="s">
        <v>65</v>
      </c>
      <c r="X4" s="32" t="s">
        <v>65</v>
      </c>
      <c r="Y4" s="32" t="s">
        <v>65</v>
      </c>
      <c r="Z4" s="32" t="s">
        <v>65</v>
      </c>
      <c r="AA4" s="32" t="s">
        <v>65</v>
      </c>
      <c r="AB4" s="32" t="s">
        <v>65</v>
      </c>
      <c r="AC4" s="32" t="s">
        <v>64</v>
      </c>
      <c r="AD4" s="32" t="s">
        <v>62</v>
      </c>
      <c r="AE4" s="32" t="s">
        <v>62</v>
      </c>
      <c r="AF4" s="32" t="s">
        <v>62</v>
      </c>
      <c r="AG4" s="32" t="s">
        <v>62</v>
      </c>
      <c r="AH4" s="32" t="s">
        <v>62</v>
      </c>
      <c r="AI4" s="32" t="s">
        <v>65</v>
      </c>
      <c r="AJ4" s="32" t="s">
        <v>62</v>
      </c>
      <c r="AK4" s="32" t="s">
        <v>62</v>
      </c>
      <c r="AL4" s="32" t="s">
        <v>65</v>
      </c>
      <c r="AM4" s="32" t="s">
        <v>65</v>
      </c>
      <c r="AN4" s="32" t="s">
        <v>65</v>
      </c>
      <c r="AO4" s="32" t="s">
        <v>62</v>
      </c>
      <c r="AP4" s="32" t="s">
        <v>62</v>
      </c>
      <c r="AQ4" s="32" t="s">
        <v>62</v>
      </c>
      <c r="AR4" s="32" t="s">
        <v>62</v>
      </c>
      <c r="AS4" s="32" t="s">
        <v>65</v>
      </c>
      <c r="AT4" s="32" t="s">
        <v>65</v>
      </c>
      <c r="AU4" s="32" t="s">
        <v>65</v>
      </c>
      <c r="AV4" s="32" t="s">
        <v>65</v>
      </c>
      <c r="AW4" s="32" t="s">
        <v>65</v>
      </c>
      <c r="AX4" s="32" t="s">
        <v>65</v>
      </c>
      <c r="AY4" s="32" t="s">
        <v>65</v>
      </c>
      <c r="AZ4" s="32" t="s">
        <v>65</v>
      </c>
      <c r="BA4" s="32" t="s">
        <v>65</v>
      </c>
      <c r="BB4" s="32" t="s">
        <v>65</v>
      </c>
      <c r="BC4" s="32" t="s">
        <v>65</v>
      </c>
      <c r="BD4" s="32" t="s">
        <v>65</v>
      </c>
      <c r="BE4" s="32" t="s">
        <v>65</v>
      </c>
      <c r="BF4" s="32" t="s">
        <v>65</v>
      </c>
      <c r="BG4" s="32" t="s">
        <v>65</v>
      </c>
      <c r="BH4" s="32" t="s">
        <v>65</v>
      </c>
      <c r="BI4" s="32" t="s">
        <v>65</v>
      </c>
      <c r="BJ4" s="32" t="s">
        <v>65</v>
      </c>
      <c r="BK4" s="32" t="s">
        <v>65</v>
      </c>
      <c r="BL4" s="32" t="s">
        <v>65</v>
      </c>
      <c r="BM4" s="32" t="s">
        <v>65</v>
      </c>
      <c r="BN4" s="32" t="s">
        <v>65</v>
      </c>
      <c r="BO4" s="32" t="s">
        <v>65</v>
      </c>
      <c r="BP4" s="32" t="s">
        <v>65</v>
      </c>
      <c r="BQ4" s="32" t="s">
        <v>65</v>
      </c>
      <c r="BR4" s="32" t="s">
        <v>65</v>
      </c>
      <c r="BS4" s="32" t="s">
        <v>65</v>
      </c>
      <c r="BT4" s="32" t="s">
        <v>65</v>
      </c>
      <c r="BU4" s="32" t="s">
        <v>65</v>
      </c>
      <c r="BV4" s="32" t="s">
        <v>65</v>
      </c>
      <c r="BW4" s="32" t="s">
        <v>65</v>
      </c>
      <c r="BX4" s="32" t="s">
        <v>65</v>
      </c>
      <c r="BY4" s="32" t="s">
        <v>65</v>
      </c>
      <c r="BZ4" s="32" t="s">
        <v>65</v>
      </c>
      <c r="CA4" s="32" t="s">
        <v>65</v>
      </c>
      <c r="CB4" s="32" t="s">
        <v>65</v>
      </c>
      <c r="CC4" s="32" t="s">
        <v>65</v>
      </c>
      <c r="CD4" s="32" t="s">
        <v>65</v>
      </c>
      <c r="CE4" s="32" t="s">
        <v>65</v>
      </c>
      <c r="CF4" s="32" t="s">
        <v>65</v>
      </c>
      <c r="CG4" s="32" t="s">
        <v>65</v>
      </c>
      <c r="CH4" s="32" t="s">
        <v>65</v>
      </c>
      <c r="CI4" s="32" t="s">
        <v>65</v>
      </c>
      <c r="CJ4" s="32" t="s">
        <v>65</v>
      </c>
      <c r="CK4" s="32" t="s">
        <v>65</v>
      </c>
      <c r="CL4" s="32" t="s">
        <v>65</v>
      </c>
      <c r="CM4" s="32" t="s">
        <v>65</v>
      </c>
      <c r="CN4" s="32" t="s">
        <v>65</v>
      </c>
      <c r="CO4" s="32" t="s">
        <v>65</v>
      </c>
      <c r="CP4" s="32" t="s">
        <v>65</v>
      </c>
      <c r="CQ4" s="32" t="s">
        <v>65</v>
      </c>
      <c r="CR4" s="32" t="s">
        <v>65</v>
      </c>
      <c r="CS4" s="32" t="s">
        <v>65</v>
      </c>
      <c r="CT4" s="32" t="s">
        <v>65</v>
      </c>
      <c r="CU4" s="32" t="s">
        <v>65</v>
      </c>
      <c r="CV4" s="32" t="s">
        <v>65</v>
      </c>
      <c r="CW4" s="32" t="s">
        <v>65</v>
      </c>
      <c r="CX4" s="32" t="s">
        <v>65</v>
      </c>
      <c r="CY4" s="32" t="s">
        <v>65</v>
      </c>
      <c r="CZ4" s="32" t="s">
        <v>65</v>
      </c>
      <c r="DA4" s="32" t="s">
        <v>65</v>
      </c>
      <c r="DB4" s="32" t="s">
        <v>65</v>
      </c>
      <c r="DC4" s="32" t="s">
        <v>65</v>
      </c>
      <c r="DD4" s="32" t="s">
        <v>65</v>
      </c>
      <c r="DE4" s="32" t="s">
        <v>65</v>
      </c>
      <c r="DF4" s="32" t="s">
        <v>65</v>
      </c>
      <c r="DG4" s="32" t="s">
        <v>65</v>
      </c>
      <c r="DH4" s="32" t="s">
        <v>65</v>
      </c>
      <c r="DI4" s="32" t="s">
        <v>65</v>
      </c>
      <c r="DJ4" s="32" t="s">
        <v>65</v>
      </c>
      <c r="DK4" s="32" t="s">
        <v>65</v>
      </c>
      <c r="DL4" s="32" t="s">
        <v>65</v>
      </c>
      <c r="DM4" s="32" t="s">
        <v>65</v>
      </c>
      <c r="DN4" s="32" t="s">
        <v>65</v>
      </c>
      <c r="DO4" s="32" t="s">
        <v>65</v>
      </c>
      <c r="DP4" s="32" t="s">
        <v>65</v>
      </c>
      <c r="DQ4" s="32" t="s">
        <v>65</v>
      </c>
      <c r="DR4" s="32" t="s">
        <v>65</v>
      </c>
      <c r="DS4" s="32" t="s">
        <v>65</v>
      </c>
      <c r="DT4" s="32" t="s">
        <v>65</v>
      </c>
      <c r="DU4" s="32" t="s">
        <v>65</v>
      </c>
      <c r="DV4" s="32" t="s">
        <v>65</v>
      </c>
      <c r="DW4" s="32" t="s">
        <v>65</v>
      </c>
      <c r="DX4" s="32" t="s">
        <v>65</v>
      </c>
      <c r="DY4" s="32" t="s">
        <v>65</v>
      </c>
      <c r="DZ4" s="32" t="s">
        <v>65</v>
      </c>
      <c r="EA4" s="32" t="s">
        <v>65</v>
      </c>
      <c r="EB4" s="32" t="s">
        <v>65</v>
      </c>
      <c r="EC4" s="32" t="s">
        <v>65</v>
      </c>
      <c r="ED4" s="32" t="s">
        <v>65</v>
      </c>
      <c r="EE4" s="32" t="s">
        <v>65</v>
      </c>
      <c r="EF4" s="32" t="s">
        <v>65</v>
      </c>
      <c r="EG4" s="32" t="s">
        <v>65</v>
      </c>
      <c r="EH4" s="32" t="s">
        <v>65</v>
      </c>
      <c r="EI4" s="32" t="s">
        <v>65</v>
      </c>
      <c r="EJ4" s="32" t="s">
        <v>65</v>
      </c>
      <c r="EK4" s="32" t="s">
        <v>65</v>
      </c>
      <c r="EL4" s="32" t="s">
        <v>65</v>
      </c>
      <c r="EM4" s="32" t="s">
        <v>65</v>
      </c>
      <c r="EN4" s="32" t="s">
        <v>65</v>
      </c>
      <c r="EO4" s="32" t="s">
        <v>65</v>
      </c>
      <c r="EP4" s="32" t="s">
        <v>65</v>
      </c>
      <c r="EQ4" s="32" t="s">
        <v>65</v>
      </c>
      <c r="ER4" s="32" t="s">
        <v>65</v>
      </c>
      <c r="ES4" s="32" t="s">
        <v>65</v>
      </c>
      <c r="ET4" s="32" t="s">
        <v>65</v>
      </c>
      <c r="EU4" s="32" t="s">
        <v>65</v>
      </c>
      <c r="EV4" s="32" t="s">
        <v>65</v>
      </c>
      <c r="EW4" s="32" t="s">
        <v>65</v>
      </c>
      <c r="EX4" s="32" t="s">
        <v>65</v>
      </c>
      <c r="EY4" s="32" t="s">
        <v>65</v>
      </c>
      <c r="EZ4" s="32" t="s">
        <v>65</v>
      </c>
      <c r="FA4" s="32" t="s">
        <v>65</v>
      </c>
      <c r="FB4" s="32" t="s">
        <v>65</v>
      </c>
      <c r="FC4" s="32" t="s">
        <v>65</v>
      </c>
      <c r="FD4" s="32" t="s">
        <v>65</v>
      </c>
      <c r="FE4" s="32" t="s">
        <v>65</v>
      </c>
      <c r="FF4" s="32" t="s">
        <v>65</v>
      </c>
      <c r="FG4" s="32" t="s">
        <v>65</v>
      </c>
      <c r="FH4" s="32" t="s">
        <v>65</v>
      </c>
      <c r="FI4" s="32" t="s">
        <v>65</v>
      </c>
      <c r="FJ4" s="32" t="s">
        <v>65</v>
      </c>
      <c r="FK4" s="32" t="s">
        <v>65</v>
      </c>
      <c r="FL4" s="32" t="s">
        <v>65</v>
      </c>
      <c r="FM4" s="32" t="s">
        <v>65</v>
      </c>
      <c r="FN4" s="32" t="s">
        <v>65</v>
      </c>
      <c r="FO4" s="32" t="s">
        <v>65</v>
      </c>
      <c r="FP4" s="32" t="s">
        <v>65</v>
      </c>
      <c r="FQ4" s="32" t="s">
        <v>65</v>
      </c>
      <c r="FR4" s="32" t="s">
        <v>65</v>
      </c>
      <c r="FS4" s="32" t="s">
        <v>65</v>
      </c>
      <c r="FT4" s="32" t="s">
        <v>65</v>
      </c>
      <c r="FU4" s="32" t="s">
        <v>65</v>
      </c>
      <c r="FV4" s="32" t="s">
        <v>65</v>
      </c>
      <c r="FW4" s="32" t="s">
        <v>65</v>
      </c>
      <c r="FX4" s="32" t="s">
        <v>65</v>
      </c>
      <c r="FY4" s="32" t="s">
        <v>65</v>
      </c>
      <c r="FZ4" s="32" t="s">
        <v>65</v>
      </c>
      <c r="GA4" s="32" t="s">
        <v>65</v>
      </c>
      <c r="GB4" s="32" t="s">
        <v>65</v>
      </c>
      <c r="GC4" s="32" t="s">
        <v>65</v>
      </c>
      <c r="GD4" s="32" t="s">
        <v>65</v>
      </c>
      <c r="GE4" s="32" t="s">
        <v>65</v>
      </c>
      <c r="GF4" s="32" t="s">
        <v>65</v>
      </c>
      <c r="GG4" s="32" t="s">
        <v>65</v>
      </c>
      <c r="GH4" s="32" t="s">
        <v>65</v>
      </c>
      <c r="GI4" s="32" t="s">
        <v>65</v>
      </c>
      <c r="GJ4" s="32" t="s">
        <v>65</v>
      </c>
      <c r="GK4" s="32" t="s">
        <v>65</v>
      </c>
      <c r="GL4" s="32" t="s">
        <v>65</v>
      </c>
      <c r="GM4" s="32" t="s">
        <v>65</v>
      </c>
      <c r="GN4" s="32" t="s">
        <v>65</v>
      </c>
      <c r="GO4" s="32" t="s">
        <v>65</v>
      </c>
      <c r="GP4" s="32" t="s">
        <v>65</v>
      </c>
      <c r="GQ4" s="32" t="s">
        <v>65</v>
      </c>
      <c r="GR4" s="32" t="s">
        <v>65</v>
      </c>
      <c r="GS4" s="32" t="s">
        <v>62</v>
      </c>
      <c r="GT4" s="32" t="s">
        <v>62</v>
      </c>
      <c r="GU4" s="32" t="s">
        <v>65</v>
      </c>
      <c r="GV4" s="32" t="s">
        <v>65</v>
      </c>
      <c r="GW4" s="32" t="s">
        <v>65</v>
      </c>
      <c r="GX4" s="32" t="s">
        <v>65</v>
      </c>
      <c r="GY4" s="32" t="s">
        <v>65</v>
      </c>
      <c r="GZ4" s="32" t="s">
        <v>65</v>
      </c>
      <c r="HA4" s="32" t="s">
        <v>65</v>
      </c>
      <c r="HB4" s="32" t="s">
        <v>65</v>
      </c>
      <c r="HC4" s="32" t="s">
        <v>65</v>
      </c>
      <c r="HD4" s="32" t="s">
        <v>65</v>
      </c>
      <c r="HE4" s="32" t="s">
        <v>62</v>
      </c>
      <c r="HF4" s="32" t="s">
        <v>64</v>
      </c>
      <c r="HG4" s="32" t="s">
        <v>64</v>
      </c>
      <c r="HH4" s="32" t="s">
        <v>64</v>
      </c>
      <c r="HI4" s="32" t="s">
        <v>64</v>
      </c>
      <c r="HJ4" s="32" t="s">
        <v>64</v>
      </c>
      <c r="HK4" s="32" t="s">
        <v>64</v>
      </c>
      <c r="HL4" s="32" t="s">
        <v>64</v>
      </c>
      <c r="HM4" s="32" t="s">
        <v>64</v>
      </c>
      <c r="HN4" s="32" t="s">
        <v>64</v>
      </c>
      <c r="HO4" s="32" t="s">
        <v>64</v>
      </c>
      <c r="HP4" s="32" t="s">
        <v>64</v>
      </c>
      <c r="HQ4" s="32" t="s">
        <v>64</v>
      </c>
      <c r="HR4" s="32" t="s">
        <v>64</v>
      </c>
      <c r="HS4" s="32" t="s">
        <v>64</v>
      </c>
      <c r="HT4" s="32" t="s">
        <v>64</v>
      </c>
      <c r="HU4" s="32" t="s">
        <v>64</v>
      </c>
      <c r="HV4" s="32" t="s">
        <v>64</v>
      </c>
      <c r="HW4" s="32" t="s">
        <v>64</v>
      </c>
      <c r="HX4" s="32" t="s">
        <v>64</v>
      </c>
      <c r="HY4" s="32" t="s">
        <v>64</v>
      </c>
      <c r="HZ4" s="32" t="s">
        <v>64</v>
      </c>
      <c r="IA4" s="32" t="s">
        <v>64</v>
      </c>
      <c r="IB4" s="32" t="s">
        <v>64</v>
      </c>
      <c r="IC4" s="32" t="s">
        <v>64</v>
      </c>
      <c r="ID4" s="32" t="s">
        <v>64</v>
      </c>
      <c r="IE4" s="32" t="s">
        <v>64</v>
      </c>
      <c r="IF4" s="32" t="s">
        <v>64</v>
      </c>
      <c r="IG4" s="32" t="s">
        <v>64</v>
      </c>
      <c r="IH4" s="32" t="s">
        <v>64</v>
      </c>
      <c r="II4" s="32" t="s">
        <v>64</v>
      </c>
      <c r="IJ4" s="32" t="s">
        <v>64</v>
      </c>
      <c r="IK4" s="32" t="s">
        <v>65</v>
      </c>
      <c r="IL4" s="32" t="s">
        <v>64</v>
      </c>
      <c r="IM4" s="32" t="s">
        <v>64</v>
      </c>
      <c r="IN4" s="32" t="s">
        <v>64</v>
      </c>
      <c r="IO4" s="32" t="s">
        <v>65</v>
      </c>
      <c r="IP4" s="32" t="s">
        <v>64</v>
      </c>
      <c r="IQ4" s="32" t="s">
        <v>64</v>
      </c>
      <c r="IR4" s="32" t="s">
        <v>64</v>
      </c>
      <c r="IS4" s="32" t="s">
        <v>65</v>
      </c>
      <c r="IT4" s="32" t="s">
        <v>64</v>
      </c>
      <c r="IU4" s="32" t="s">
        <v>64</v>
      </c>
      <c r="IV4" s="32" t="s">
        <v>64</v>
      </c>
      <c r="IW4" s="32" t="s">
        <v>65</v>
      </c>
      <c r="IX4" s="32" t="s">
        <v>64</v>
      </c>
      <c r="IY4" s="32" t="s">
        <v>64</v>
      </c>
      <c r="IZ4" s="32" t="s">
        <v>64</v>
      </c>
      <c r="JA4" s="32" t="s">
        <v>65</v>
      </c>
      <c r="JB4" s="32" t="s">
        <v>64</v>
      </c>
      <c r="JC4" s="32" t="s">
        <v>64</v>
      </c>
      <c r="JD4" s="32" t="s">
        <v>64</v>
      </c>
      <c r="JE4" s="32" t="s">
        <v>65</v>
      </c>
      <c r="JF4" s="32" t="s">
        <v>64</v>
      </c>
      <c r="JG4" s="32" t="s">
        <v>64</v>
      </c>
      <c r="JH4" s="32" t="s">
        <v>64</v>
      </c>
      <c r="JI4" s="32" t="s">
        <v>65</v>
      </c>
      <c r="JJ4" s="32" t="s">
        <v>64</v>
      </c>
      <c r="JK4" s="32" t="s">
        <v>64</v>
      </c>
      <c r="JL4" s="32" t="s">
        <v>64</v>
      </c>
      <c r="JM4" s="32" t="s">
        <v>65</v>
      </c>
      <c r="JN4" s="32" t="s">
        <v>64</v>
      </c>
      <c r="JO4" s="32" t="s">
        <v>64</v>
      </c>
      <c r="JP4" s="32" t="s">
        <v>64</v>
      </c>
      <c r="JQ4" s="32" t="s">
        <v>65</v>
      </c>
      <c r="JR4" s="32" t="s">
        <v>64</v>
      </c>
      <c r="JS4" s="32" t="s">
        <v>64</v>
      </c>
      <c r="JT4" s="32" t="s">
        <v>64</v>
      </c>
      <c r="JU4" s="32" t="s">
        <v>65</v>
      </c>
      <c r="JV4" s="32" t="s">
        <v>64</v>
      </c>
      <c r="JW4" s="32" t="s">
        <v>64</v>
      </c>
      <c r="JX4" s="32" t="s">
        <v>64</v>
      </c>
      <c r="JY4" s="32" t="s">
        <v>62</v>
      </c>
      <c r="JZ4" s="32" t="s">
        <v>63</v>
      </c>
      <c r="KA4" s="32" t="s">
        <v>62</v>
      </c>
      <c r="KB4" s="32" t="s">
        <v>62</v>
      </c>
      <c r="KC4" s="32" t="s">
        <v>62</v>
      </c>
      <c r="KD4" s="32" t="s">
        <v>63</v>
      </c>
      <c r="KE4" s="32" t="s">
        <v>63</v>
      </c>
      <c r="KF4" s="32" t="s">
        <v>63</v>
      </c>
      <c r="KG4" s="32" t="s">
        <v>64</v>
      </c>
      <c r="KH4" s="32" t="s">
        <v>62</v>
      </c>
      <c r="KI4" s="32" t="s">
        <v>63</v>
      </c>
      <c r="KJ4" s="32" t="s">
        <v>63</v>
      </c>
      <c r="KK4" s="32" t="s">
        <v>63</v>
      </c>
      <c r="KL4" s="32" t="s">
        <v>62</v>
      </c>
      <c r="KM4" s="32" t="s">
        <v>63</v>
      </c>
      <c r="KN4" s="32" t="s">
        <v>62</v>
      </c>
      <c r="KO4" s="32" t="s">
        <v>65</v>
      </c>
      <c r="KP4" s="32" t="s">
        <v>63</v>
      </c>
      <c r="KQ4" s="32" t="s">
        <v>63</v>
      </c>
      <c r="KR4" s="32" t="s">
        <v>62</v>
      </c>
      <c r="KS4" s="32" t="s">
        <v>62</v>
      </c>
      <c r="KT4" s="32" t="s">
        <v>62</v>
      </c>
      <c r="KU4" s="32" t="s">
        <v>63</v>
      </c>
      <c r="KV4" s="32" t="s">
        <v>65</v>
      </c>
      <c r="KW4" s="32" t="s">
        <v>63</v>
      </c>
      <c r="KX4" s="32" t="s">
        <v>62</v>
      </c>
      <c r="KY4" s="32" t="s">
        <v>62</v>
      </c>
      <c r="KZ4" s="32" t="s">
        <v>63</v>
      </c>
      <c r="LA4" s="32" t="s">
        <v>63</v>
      </c>
    </row>
    <row r="5" spans="1:313" ht="50" customHeight="1">
      <c r="A5" s="19" t="s">
        <v>217</v>
      </c>
      <c r="B5" s="19" t="s">
        <v>96</v>
      </c>
      <c r="C5" s="19" t="s">
        <v>218</v>
      </c>
      <c r="D5" s="19" t="s">
        <v>219</v>
      </c>
      <c r="E5" s="19" t="s">
        <v>220</v>
      </c>
      <c r="F5" s="19" t="s">
        <v>221</v>
      </c>
      <c r="G5" s="19" t="s">
        <v>222</v>
      </c>
      <c r="H5" s="19" t="s">
        <v>223</v>
      </c>
      <c r="I5" s="19" t="s">
        <v>224</v>
      </c>
      <c r="J5" s="19" t="s">
        <v>225</v>
      </c>
      <c r="K5" s="19" t="s">
        <v>226</v>
      </c>
      <c r="L5" s="19" t="s">
        <v>227</v>
      </c>
      <c r="M5" s="19" t="s">
        <v>228</v>
      </c>
      <c r="N5" s="19" t="s">
        <v>229</v>
      </c>
      <c r="O5" s="19" t="s">
        <v>230</v>
      </c>
      <c r="P5" s="19" t="s">
        <v>231</v>
      </c>
      <c r="Q5" s="19" t="s">
        <v>232</v>
      </c>
      <c r="R5" s="19" t="s">
        <v>233</v>
      </c>
      <c r="S5" s="19" t="s">
        <v>234</v>
      </c>
      <c r="T5" s="19" t="s">
        <v>235</v>
      </c>
      <c r="U5" s="19" t="s">
        <v>236</v>
      </c>
      <c r="V5" s="19" t="s">
        <v>237</v>
      </c>
      <c r="W5" s="19" t="s">
        <v>238</v>
      </c>
      <c r="X5" s="19" t="s">
        <v>239</v>
      </c>
      <c r="Y5" s="19" t="s">
        <v>240</v>
      </c>
      <c r="Z5" s="19" t="s">
        <v>241</v>
      </c>
      <c r="AA5" s="19" t="s">
        <v>242</v>
      </c>
      <c r="AB5" s="19" t="s">
        <v>243</v>
      </c>
      <c r="AC5" s="19" t="s">
        <v>244</v>
      </c>
      <c r="AD5" s="19" t="s">
        <v>245</v>
      </c>
      <c r="AE5" s="19" t="s">
        <v>246</v>
      </c>
      <c r="AF5" s="19" t="s">
        <v>247</v>
      </c>
      <c r="AG5" s="19" t="s">
        <v>248</v>
      </c>
      <c r="AH5" s="19" t="s">
        <v>249</v>
      </c>
      <c r="AI5" s="19" t="s">
        <v>250</v>
      </c>
      <c r="AJ5" s="19" t="s">
        <v>251</v>
      </c>
      <c r="AK5" s="19" t="s">
        <v>252</v>
      </c>
      <c r="AL5" s="19" t="s">
        <v>253</v>
      </c>
      <c r="AM5" s="19" t="s">
        <v>254</v>
      </c>
      <c r="AN5" s="19" t="s">
        <v>255</v>
      </c>
      <c r="AO5" s="19" t="s">
        <v>256</v>
      </c>
      <c r="AP5" s="19" t="s">
        <v>257</v>
      </c>
      <c r="AQ5" s="19" t="s">
        <v>258</v>
      </c>
      <c r="AR5" s="19" t="s">
        <v>259</v>
      </c>
      <c r="AS5" s="19" t="s">
        <v>260</v>
      </c>
      <c r="AT5" s="19" t="s">
        <v>261</v>
      </c>
      <c r="AU5" s="19" t="s">
        <v>262</v>
      </c>
      <c r="AV5" s="19" t="s">
        <v>263</v>
      </c>
      <c r="AW5" s="19" t="s">
        <v>264</v>
      </c>
      <c r="AX5" s="19" t="s">
        <v>265</v>
      </c>
      <c r="AY5" s="19" t="s">
        <v>266</v>
      </c>
      <c r="AZ5" s="19" t="s">
        <v>267</v>
      </c>
      <c r="BA5" s="19" t="s">
        <v>268</v>
      </c>
      <c r="BB5" s="19" t="s">
        <v>269</v>
      </c>
      <c r="BC5" s="19" t="s">
        <v>270</v>
      </c>
      <c r="BD5" s="19" t="s">
        <v>271</v>
      </c>
      <c r="BE5" s="19" t="s">
        <v>272</v>
      </c>
      <c r="BF5" s="19" t="s">
        <v>273</v>
      </c>
      <c r="BG5" s="19" t="s">
        <v>274</v>
      </c>
      <c r="BH5" s="19" t="s">
        <v>275</v>
      </c>
      <c r="BI5" s="19" t="s">
        <v>276</v>
      </c>
      <c r="BJ5" s="19" t="s">
        <v>277</v>
      </c>
      <c r="BK5" s="19" t="s">
        <v>278</v>
      </c>
      <c r="BL5" s="19" t="s">
        <v>279</v>
      </c>
      <c r="BM5" s="19" t="s">
        <v>280</v>
      </c>
      <c r="BN5" s="19" t="s">
        <v>281</v>
      </c>
      <c r="BO5" s="19" t="s">
        <v>282</v>
      </c>
      <c r="BP5" s="19" t="s">
        <v>283</v>
      </c>
      <c r="BQ5" s="19" t="s">
        <v>284</v>
      </c>
      <c r="BR5" s="19" t="s">
        <v>285</v>
      </c>
      <c r="BS5" s="19" t="s">
        <v>286</v>
      </c>
      <c r="BT5" s="19" t="s">
        <v>287</v>
      </c>
      <c r="BU5" s="19" t="s">
        <v>288</v>
      </c>
      <c r="BV5" s="19" t="s">
        <v>289</v>
      </c>
      <c r="BW5" s="19" t="s">
        <v>290</v>
      </c>
      <c r="BX5" s="19" t="s">
        <v>291</v>
      </c>
      <c r="BY5" s="19" t="s">
        <v>292</v>
      </c>
      <c r="BZ5" s="19" t="s">
        <v>293</v>
      </c>
      <c r="CA5" s="19" t="s">
        <v>294</v>
      </c>
      <c r="CB5" s="19" t="s">
        <v>295</v>
      </c>
      <c r="CC5" s="19" t="s">
        <v>296</v>
      </c>
      <c r="CD5" s="19" t="s">
        <v>297</v>
      </c>
      <c r="CE5" s="19" t="s">
        <v>298</v>
      </c>
      <c r="CF5" s="19" t="s">
        <v>299</v>
      </c>
      <c r="CG5" s="19" t="s">
        <v>300</v>
      </c>
      <c r="CH5" s="19" t="s">
        <v>301</v>
      </c>
      <c r="CI5" s="19" t="s">
        <v>302</v>
      </c>
      <c r="CJ5" s="19" t="s">
        <v>303</v>
      </c>
      <c r="CK5" s="19" t="s">
        <v>304</v>
      </c>
      <c r="CL5" s="19" t="s">
        <v>305</v>
      </c>
      <c r="CM5" s="19" t="s">
        <v>306</v>
      </c>
      <c r="CN5" s="19" t="s">
        <v>307</v>
      </c>
      <c r="CO5" s="19" t="s">
        <v>308</v>
      </c>
      <c r="CP5" s="19" t="s">
        <v>309</v>
      </c>
      <c r="CQ5" s="19" t="s">
        <v>310</v>
      </c>
      <c r="CR5" s="19" t="s">
        <v>311</v>
      </c>
      <c r="CS5" s="19" t="s">
        <v>312</v>
      </c>
      <c r="CT5" s="19" t="s">
        <v>313</v>
      </c>
      <c r="CU5" s="19" t="s">
        <v>314</v>
      </c>
      <c r="CV5" s="19" t="s">
        <v>315</v>
      </c>
      <c r="CW5" s="19" t="s">
        <v>316</v>
      </c>
      <c r="CX5" s="19" t="s">
        <v>317</v>
      </c>
      <c r="CY5" s="19" t="s">
        <v>318</v>
      </c>
      <c r="CZ5" s="19" t="s">
        <v>319</v>
      </c>
      <c r="DA5" s="19" t="s">
        <v>320</v>
      </c>
      <c r="DB5" s="19" t="s">
        <v>321</v>
      </c>
      <c r="DC5" s="19" t="s">
        <v>322</v>
      </c>
      <c r="DD5" s="19" t="s">
        <v>323</v>
      </c>
      <c r="DE5" s="19" t="s">
        <v>324</v>
      </c>
      <c r="DF5" s="19" t="s">
        <v>325</v>
      </c>
      <c r="DG5" s="19" t="s">
        <v>326</v>
      </c>
      <c r="DH5" s="19" t="s">
        <v>327</v>
      </c>
      <c r="DI5" s="19" t="s">
        <v>328</v>
      </c>
      <c r="DJ5" s="19" t="s">
        <v>329</v>
      </c>
      <c r="DK5" s="19" t="s">
        <v>330</v>
      </c>
      <c r="DL5" s="19" t="s">
        <v>331</v>
      </c>
      <c r="DM5" s="19" t="s">
        <v>332</v>
      </c>
      <c r="DN5" s="19" t="s">
        <v>333</v>
      </c>
      <c r="DO5" s="19" t="s">
        <v>334</v>
      </c>
      <c r="DP5" s="19" t="s">
        <v>335</v>
      </c>
      <c r="DQ5" s="19" t="s">
        <v>336</v>
      </c>
      <c r="DR5" s="19" t="s">
        <v>337</v>
      </c>
      <c r="DS5" s="19" t="s">
        <v>338</v>
      </c>
      <c r="DT5" s="19" t="s">
        <v>339</v>
      </c>
      <c r="DU5" s="19" t="s">
        <v>340</v>
      </c>
      <c r="DV5" s="19" t="s">
        <v>341</v>
      </c>
      <c r="DW5" s="19" t="s">
        <v>342</v>
      </c>
      <c r="DX5" s="19" t="s">
        <v>343</v>
      </c>
      <c r="DY5" s="19" t="s">
        <v>344</v>
      </c>
      <c r="DZ5" s="19" t="s">
        <v>345</v>
      </c>
      <c r="EA5" s="19" t="s">
        <v>346</v>
      </c>
      <c r="EB5" s="19" t="s">
        <v>347</v>
      </c>
      <c r="EC5" s="19" t="s">
        <v>348</v>
      </c>
      <c r="ED5" s="19" t="s">
        <v>349</v>
      </c>
      <c r="EE5" s="19" t="s">
        <v>350</v>
      </c>
      <c r="EF5" s="19" t="s">
        <v>351</v>
      </c>
      <c r="EG5" s="19" t="s">
        <v>352</v>
      </c>
      <c r="EH5" s="19" t="s">
        <v>353</v>
      </c>
      <c r="EI5" s="19" t="s">
        <v>354</v>
      </c>
      <c r="EJ5" s="19" t="s">
        <v>355</v>
      </c>
      <c r="EK5" s="19" t="s">
        <v>356</v>
      </c>
      <c r="EL5" s="19" t="s">
        <v>357</v>
      </c>
      <c r="EM5" s="19" t="s">
        <v>358</v>
      </c>
      <c r="EN5" s="19" t="s">
        <v>359</v>
      </c>
      <c r="EO5" s="19" t="s">
        <v>360</v>
      </c>
      <c r="EP5" s="19" t="s">
        <v>361</v>
      </c>
      <c r="EQ5" s="19" t="s">
        <v>362</v>
      </c>
      <c r="ER5" s="19" t="s">
        <v>363</v>
      </c>
      <c r="ES5" s="19" t="s">
        <v>364</v>
      </c>
      <c r="ET5" s="19" t="s">
        <v>365</v>
      </c>
      <c r="EU5" s="19" t="s">
        <v>366</v>
      </c>
      <c r="EV5" s="19" t="s">
        <v>367</v>
      </c>
      <c r="EW5" s="19" t="s">
        <v>368</v>
      </c>
      <c r="EX5" s="19" t="s">
        <v>369</v>
      </c>
      <c r="EY5" s="19" t="s">
        <v>370</v>
      </c>
      <c r="EZ5" s="19" t="s">
        <v>371</v>
      </c>
      <c r="FA5" s="19" t="s">
        <v>372</v>
      </c>
      <c r="FB5" s="19" t="s">
        <v>373</v>
      </c>
      <c r="FC5" s="19" t="s">
        <v>374</v>
      </c>
      <c r="FD5" s="19" t="s">
        <v>375</v>
      </c>
      <c r="FE5" s="19" t="s">
        <v>376</v>
      </c>
      <c r="FF5" s="19" t="s">
        <v>377</v>
      </c>
      <c r="FG5" s="19" t="s">
        <v>378</v>
      </c>
      <c r="FH5" s="19" t="s">
        <v>379</v>
      </c>
      <c r="FI5" s="19" t="s">
        <v>380</v>
      </c>
      <c r="FJ5" s="19" t="s">
        <v>381</v>
      </c>
      <c r="FK5" s="19" t="s">
        <v>382</v>
      </c>
      <c r="FL5" s="19" t="s">
        <v>383</v>
      </c>
      <c r="FM5" s="19" t="s">
        <v>384</v>
      </c>
      <c r="FN5" s="19" t="s">
        <v>385</v>
      </c>
      <c r="FO5" s="19" t="s">
        <v>386</v>
      </c>
      <c r="FP5" s="19" t="s">
        <v>387</v>
      </c>
      <c r="FQ5" s="19" t="s">
        <v>388</v>
      </c>
      <c r="FR5" s="19" t="s">
        <v>389</v>
      </c>
      <c r="FS5" s="19" t="s">
        <v>390</v>
      </c>
      <c r="FT5" s="19" t="s">
        <v>391</v>
      </c>
      <c r="FU5" s="19" t="s">
        <v>392</v>
      </c>
      <c r="FV5" s="19" t="s">
        <v>393</v>
      </c>
      <c r="FW5" s="19" t="s">
        <v>394</v>
      </c>
      <c r="FX5" s="19" t="s">
        <v>395</v>
      </c>
      <c r="FY5" s="19" t="s">
        <v>396</v>
      </c>
      <c r="FZ5" s="19" t="s">
        <v>397</v>
      </c>
      <c r="GA5" s="19" t="s">
        <v>398</v>
      </c>
      <c r="GB5" s="19" t="s">
        <v>399</v>
      </c>
      <c r="GC5" s="19" t="s">
        <v>400</v>
      </c>
      <c r="GD5" s="19" t="s">
        <v>401</v>
      </c>
      <c r="GE5" s="19" t="s">
        <v>402</v>
      </c>
      <c r="GF5" s="19" t="s">
        <v>403</v>
      </c>
      <c r="GG5" s="19" t="s">
        <v>404</v>
      </c>
      <c r="GH5" s="19" t="s">
        <v>405</v>
      </c>
      <c r="GI5" s="19" t="s">
        <v>406</v>
      </c>
      <c r="GJ5" s="19" t="s">
        <v>407</v>
      </c>
      <c r="GK5" s="19" t="s">
        <v>408</v>
      </c>
      <c r="GL5" s="19" t="s">
        <v>409</v>
      </c>
      <c r="GM5" s="19" t="s">
        <v>410</v>
      </c>
      <c r="GN5" s="19" t="s">
        <v>411</v>
      </c>
      <c r="GO5" s="19" t="s">
        <v>412</v>
      </c>
      <c r="GP5" s="19" t="s">
        <v>413</v>
      </c>
      <c r="GQ5" s="19" t="s">
        <v>414</v>
      </c>
      <c r="GR5" s="19" t="s">
        <v>415</v>
      </c>
      <c r="GS5" s="19" t="s">
        <v>416</v>
      </c>
      <c r="GT5" s="19" t="s">
        <v>417</v>
      </c>
      <c r="GU5" s="19" t="s">
        <v>418</v>
      </c>
      <c r="GV5" s="19" t="s">
        <v>419</v>
      </c>
      <c r="GW5" s="19" t="s">
        <v>420</v>
      </c>
      <c r="GX5" s="19" t="s">
        <v>421</v>
      </c>
      <c r="GY5" s="19" t="s">
        <v>422</v>
      </c>
      <c r="GZ5" s="19" t="s">
        <v>423</v>
      </c>
      <c r="HA5" s="19" t="s">
        <v>424</v>
      </c>
      <c r="HB5" s="19" t="s">
        <v>425</v>
      </c>
      <c r="HC5" s="19" t="s">
        <v>426</v>
      </c>
      <c r="HD5" s="19" t="s">
        <v>427</v>
      </c>
      <c r="HE5" s="19" t="s">
        <v>428</v>
      </c>
      <c r="HF5" s="19" t="s">
        <v>429</v>
      </c>
      <c r="HG5" s="19" t="s">
        <v>430</v>
      </c>
      <c r="HH5" s="19" t="s">
        <v>431</v>
      </c>
      <c r="HI5" s="19" t="s">
        <v>432</v>
      </c>
      <c r="HJ5" s="19" t="s">
        <v>433</v>
      </c>
      <c r="HK5" s="19" t="s">
        <v>434</v>
      </c>
      <c r="HL5" s="19" t="s">
        <v>435</v>
      </c>
      <c r="HM5" s="19" t="s">
        <v>436</v>
      </c>
      <c r="HN5" s="19" t="s">
        <v>437</v>
      </c>
      <c r="HO5" s="19" t="s">
        <v>438</v>
      </c>
      <c r="HP5" s="19" t="s">
        <v>439</v>
      </c>
      <c r="HQ5" s="19" t="s">
        <v>440</v>
      </c>
      <c r="HR5" s="19" t="s">
        <v>441</v>
      </c>
      <c r="HS5" s="19" t="s">
        <v>442</v>
      </c>
      <c r="HT5" s="19" t="s">
        <v>443</v>
      </c>
      <c r="HU5" s="19" t="s">
        <v>444</v>
      </c>
      <c r="HV5" s="19" t="s">
        <v>445</v>
      </c>
      <c r="HW5" s="19" t="s">
        <v>446</v>
      </c>
      <c r="HX5" s="19" t="s">
        <v>447</v>
      </c>
      <c r="HY5" s="19" t="s">
        <v>448</v>
      </c>
      <c r="HZ5" s="19" t="s">
        <v>449</v>
      </c>
      <c r="IA5" s="19" t="s">
        <v>450</v>
      </c>
      <c r="IB5" s="19" t="s">
        <v>451</v>
      </c>
      <c r="IC5" s="19" t="s">
        <v>452</v>
      </c>
      <c r="ID5" s="19" t="s">
        <v>453</v>
      </c>
      <c r="IE5" s="19" t="s">
        <v>454</v>
      </c>
      <c r="IF5" s="19" t="s">
        <v>455</v>
      </c>
      <c r="IG5" s="19" t="s">
        <v>456</v>
      </c>
      <c r="IH5" s="19" t="s">
        <v>457</v>
      </c>
      <c r="II5" s="19" t="s">
        <v>458</v>
      </c>
      <c r="IJ5" s="19" t="s">
        <v>459</v>
      </c>
      <c r="IK5" s="19" t="s">
        <v>460</v>
      </c>
      <c r="IL5" s="19" t="s">
        <v>461</v>
      </c>
      <c r="IM5" s="19" t="s">
        <v>462</v>
      </c>
      <c r="IN5" s="19" t="s">
        <v>463</v>
      </c>
      <c r="IO5" s="19" t="s">
        <v>464</v>
      </c>
      <c r="IP5" s="19" t="s">
        <v>465</v>
      </c>
      <c r="IQ5" s="19" t="s">
        <v>466</v>
      </c>
      <c r="IR5" s="19" t="s">
        <v>467</v>
      </c>
      <c r="IS5" s="19" t="s">
        <v>468</v>
      </c>
      <c r="IT5" s="19" t="s">
        <v>469</v>
      </c>
      <c r="IU5" s="19" t="s">
        <v>470</v>
      </c>
      <c r="IV5" s="19" t="s">
        <v>471</v>
      </c>
      <c r="IW5" s="19" t="s">
        <v>472</v>
      </c>
      <c r="IX5" s="19" t="s">
        <v>473</v>
      </c>
      <c r="IY5" s="19" t="s">
        <v>474</v>
      </c>
      <c r="IZ5" s="19" t="s">
        <v>475</v>
      </c>
      <c r="JA5" s="19" t="s">
        <v>476</v>
      </c>
      <c r="JB5" s="19" t="s">
        <v>477</v>
      </c>
      <c r="JC5" s="19" t="s">
        <v>478</v>
      </c>
      <c r="JD5" s="19" t="s">
        <v>479</v>
      </c>
      <c r="JE5" s="19" t="s">
        <v>480</v>
      </c>
      <c r="JF5" s="19" t="s">
        <v>481</v>
      </c>
      <c r="JG5" s="19" t="s">
        <v>482</v>
      </c>
      <c r="JH5" s="19" t="s">
        <v>483</v>
      </c>
      <c r="JI5" s="19" t="s">
        <v>484</v>
      </c>
      <c r="JJ5" s="19" t="s">
        <v>485</v>
      </c>
      <c r="JK5" s="19" t="s">
        <v>486</v>
      </c>
      <c r="JL5" s="19" t="s">
        <v>487</v>
      </c>
      <c r="JM5" s="19" t="s">
        <v>488</v>
      </c>
      <c r="JN5" s="19" t="s">
        <v>489</v>
      </c>
      <c r="JO5" s="19" t="s">
        <v>490</v>
      </c>
      <c r="JP5" s="19" t="s">
        <v>491</v>
      </c>
      <c r="JQ5" s="19" t="s">
        <v>492</v>
      </c>
      <c r="JR5" s="19" t="s">
        <v>493</v>
      </c>
      <c r="JS5" s="19" t="s">
        <v>494</v>
      </c>
      <c r="JT5" s="19" t="s">
        <v>495</v>
      </c>
      <c r="JU5" s="19" t="s">
        <v>496</v>
      </c>
      <c r="JV5" s="19" t="s">
        <v>497</v>
      </c>
      <c r="JW5" s="19" t="s">
        <v>498</v>
      </c>
      <c r="JX5" s="19" t="s">
        <v>499</v>
      </c>
      <c r="JY5" s="19" t="s">
        <v>500</v>
      </c>
      <c r="JZ5" s="19" t="s">
        <v>501</v>
      </c>
      <c r="KA5" s="19" t="s">
        <v>502</v>
      </c>
      <c r="KB5" s="19" t="s">
        <v>503</v>
      </c>
      <c r="KC5" s="19" t="s">
        <v>504</v>
      </c>
      <c r="KD5" s="19" t="s">
        <v>505</v>
      </c>
      <c r="KE5" s="19" t="s">
        <v>506</v>
      </c>
      <c r="KF5" s="19" t="s">
        <v>507</v>
      </c>
      <c r="KG5" s="19" t="s">
        <v>508</v>
      </c>
      <c r="KH5" s="19" t="s">
        <v>509</v>
      </c>
      <c r="KI5" s="19" t="s">
        <v>510</v>
      </c>
      <c r="KJ5" s="19" t="s">
        <v>511</v>
      </c>
      <c r="KK5" s="19" t="s">
        <v>512</v>
      </c>
      <c r="KL5" s="19" t="s">
        <v>513</v>
      </c>
      <c r="KM5" s="19" t="s">
        <v>514</v>
      </c>
      <c r="KN5" s="19" t="s">
        <v>515</v>
      </c>
      <c r="KO5" s="19" t="s">
        <v>516</v>
      </c>
      <c r="KP5" s="19" t="s">
        <v>517</v>
      </c>
      <c r="KQ5" s="19" t="s">
        <v>518</v>
      </c>
      <c r="KR5" s="19" t="s">
        <v>519</v>
      </c>
      <c r="KS5" s="19" t="s">
        <v>520</v>
      </c>
      <c r="KT5" s="19" t="s">
        <v>521</v>
      </c>
      <c r="KU5" s="33" t="s">
        <v>522</v>
      </c>
      <c r="KV5" s="34" t="s">
        <v>523</v>
      </c>
      <c r="KW5" s="19" t="s">
        <v>524</v>
      </c>
      <c r="KX5" s="19" t="s">
        <v>525</v>
      </c>
      <c r="KY5" s="19" t="s">
        <v>526</v>
      </c>
      <c r="KZ5" s="19" t="s">
        <v>527</v>
      </c>
      <c r="LA5" s="19" t="s">
        <v>528</v>
      </c>
    </row>
    <row r="6" spans="1:313" ht="50" customHeight="1">
      <c r="A6" s="35" t="s">
        <v>529</v>
      </c>
      <c r="B6" s="35" t="s">
        <v>530</v>
      </c>
      <c r="C6" s="35" t="s">
        <v>531</v>
      </c>
      <c r="D6" s="35" t="s">
        <v>532</v>
      </c>
      <c r="E6" s="35" t="s">
        <v>533</v>
      </c>
      <c r="F6" s="35" t="s">
        <v>534</v>
      </c>
      <c r="G6" s="35" t="s">
        <v>535</v>
      </c>
      <c r="H6" s="35" t="s">
        <v>536</v>
      </c>
      <c r="I6" s="35" t="s">
        <v>537</v>
      </c>
      <c r="J6" s="35" t="s">
        <v>538</v>
      </c>
      <c r="K6" s="35" t="s">
        <v>539</v>
      </c>
      <c r="L6" s="35" t="s">
        <v>538</v>
      </c>
      <c r="M6" s="35" t="s">
        <v>539</v>
      </c>
      <c r="N6" s="35" t="s">
        <v>538</v>
      </c>
      <c r="O6" s="35" t="s">
        <v>539</v>
      </c>
      <c r="P6" s="35" t="s">
        <v>540</v>
      </c>
      <c r="Q6" s="35" t="s">
        <v>541</v>
      </c>
      <c r="R6" s="35" t="s">
        <v>542</v>
      </c>
      <c r="S6" s="35" t="s">
        <v>543</v>
      </c>
      <c r="T6" s="35" t="s">
        <v>544</v>
      </c>
      <c r="U6" s="35" t="s">
        <v>545</v>
      </c>
      <c r="V6" s="35" t="s">
        <v>545</v>
      </c>
      <c r="W6" s="35" t="s">
        <v>545</v>
      </c>
      <c r="X6" s="35" t="s">
        <v>545</v>
      </c>
      <c r="Y6" s="35" t="s">
        <v>545</v>
      </c>
      <c r="Z6" s="35" t="s">
        <v>545</v>
      </c>
      <c r="AA6" s="35" t="s">
        <v>545</v>
      </c>
      <c r="AB6" s="35" t="s">
        <v>545</v>
      </c>
      <c r="AC6" s="35" t="s">
        <v>546</v>
      </c>
      <c r="AD6" s="35" t="s">
        <v>547</v>
      </c>
      <c r="AE6" s="35" t="s">
        <v>548</v>
      </c>
      <c r="AF6" s="35" t="s">
        <v>549</v>
      </c>
      <c r="AG6" s="35" t="s">
        <v>550</v>
      </c>
      <c r="AH6" s="35" t="s">
        <v>551</v>
      </c>
      <c r="AI6" s="35" t="s">
        <v>552</v>
      </c>
      <c r="AJ6" s="35" t="s">
        <v>553</v>
      </c>
      <c r="AK6" s="35" t="s">
        <v>554</v>
      </c>
      <c r="AL6" s="35" t="s">
        <v>555</v>
      </c>
      <c r="AM6" s="35" t="s">
        <v>556</v>
      </c>
      <c r="AN6" s="35" t="s">
        <v>557</v>
      </c>
      <c r="AO6" s="35" t="s">
        <v>558</v>
      </c>
      <c r="AP6" s="35" t="s">
        <v>559</v>
      </c>
      <c r="AQ6" s="35" t="s">
        <v>560</v>
      </c>
      <c r="AR6" s="35" t="s">
        <v>561</v>
      </c>
      <c r="AS6" s="35" t="s">
        <v>558</v>
      </c>
      <c r="AT6" s="35" t="s">
        <v>559</v>
      </c>
      <c r="AU6" s="35" t="s">
        <v>560</v>
      </c>
      <c r="AV6" s="35" t="s">
        <v>561</v>
      </c>
      <c r="AW6" s="35" t="s">
        <v>558</v>
      </c>
      <c r="AX6" s="35" t="s">
        <v>559</v>
      </c>
      <c r="AY6" s="35" t="s">
        <v>560</v>
      </c>
      <c r="AZ6" s="35" t="s">
        <v>561</v>
      </c>
      <c r="BA6" s="35" t="s">
        <v>558</v>
      </c>
      <c r="BB6" s="35" t="s">
        <v>559</v>
      </c>
      <c r="BC6" s="35" t="s">
        <v>560</v>
      </c>
      <c r="BD6" s="35" t="s">
        <v>561</v>
      </c>
      <c r="BE6" s="35" t="s">
        <v>558</v>
      </c>
      <c r="BF6" s="35" t="s">
        <v>559</v>
      </c>
      <c r="BG6" s="35" t="s">
        <v>560</v>
      </c>
      <c r="BH6" s="35" t="s">
        <v>561</v>
      </c>
      <c r="BI6" s="35" t="s">
        <v>558</v>
      </c>
      <c r="BJ6" s="35" t="s">
        <v>559</v>
      </c>
      <c r="BK6" s="35" t="s">
        <v>560</v>
      </c>
      <c r="BL6" s="35" t="s">
        <v>561</v>
      </c>
      <c r="BM6" s="35" t="s">
        <v>558</v>
      </c>
      <c r="BN6" s="35" t="s">
        <v>559</v>
      </c>
      <c r="BO6" s="35" t="s">
        <v>560</v>
      </c>
      <c r="BP6" s="35" t="s">
        <v>561</v>
      </c>
      <c r="BQ6" s="35" t="s">
        <v>558</v>
      </c>
      <c r="BR6" s="35" t="s">
        <v>559</v>
      </c>
      <c r="BS6" s="35" t="s">
        <v>560</v>
      </c>
      <c r="BT6" s="35" t="s">
        <v>561</v>
      </c>
      <c r="BU6" s="35" t="s">
        <v>558</v>
      </c>
      <c r="BV6" s="35" t="s">
        <v>559</v>
      </c>
      <c r="BW6" s="35" t="s">
        <v>560</v>
      </c>
      <c r="BX6" s="35" t="s">
        <v>561</v>
      </c>
      <c r="BY6" s="35" t="s">
        <v>558</v>
      </c>
      <c r="BZ6" s="35" t="s">
        <v>559</v>
      </c>
      <c r="CA6" s="35" t="s">
        <v>560</v>
      </c>
      <c r="CB6" s="35" t="s">
        <v>561</v>
      </c>
      <c r="CC6" s="35" t="s">
        <v>558</v>
      </c>
      <c r="CD6" s="35" t="s">
        <v>559</v>
      </c>
      <c r="CE6" s="35" t="s">
        <v>560</v>
      </c>
      <c r="CF6" s="35" t="s">
        <v>561</v>
      </c>
      <c r="CG6" s="35" t="s">
        <v>558</v>
      </c>
      <c r="CH6" s="35" t="s">
        <v>559</v>
      </c>
      <c r="CI6" s="35" t="s">
        <v>560</v>
      </c>
      <c r="CJ6" s="35" t="s">
        <v>561</v>
      </c>
      <c r="CK6" s="35" t="s">
        <v>558</v>
      </c>
      <c r="CL6" s="35" t="s">
        <v>559</v>
      </c>
      <c r="CM6" s="35" t="s">
        <v>560</v>
      </c>
      <c r="CN6" s="35" t="s">
        <v>561</v>
      </c>
      <c r="CO6" s="35" t="s">
        <v>558</v>
      </c>
      <c r="CP6" s="35" t="s">
        <v>559</v>
      </c>
      <c r="CQ6" s="35" t="s">
        <v>560</v>
      </c>
      <c r="CR6" s="35" t="s">
        <v>561</v>
      </c>
      <c r="CS6" s="35" t="s">
        <v>558</v>
      </c>
      <c r="CT6" s="35" t="s">
        <v>559</v>
      </c>
      <c r="CU6" s="35" t="s">
        <v>560</v>
      </c>
      <c r="CV6" s="35" t="s">
        <v>561</v>
      </c>
      <c r="CW6" s="35" t="s">
        <v>558</v>
      </c>
      <c r="CX6" s="35" t="s">
        <v>559</v>
      </c>
      <c r="CY6" s="35" t="s">
        <v>560</v>
      </c>
      <c r="CZ6" s="35" t="s">
        <v>561</v>
      </c>
      <c r="DA6" s="35" t="s">
        <v>558</v>
      </c>
      <c r="DB6" s="35" t="s">
        <v>559</v>
      </c>
      <c r="DC6" s="35" t="s">
        <v>560</v>
      </c>
      <c r="DD6" s="35" t="s">
        <v>561</v>
      </c>
      <c r="DE6" s="35" t="s">
        <v>558</v>
      </c>
      <c r="DF6" s="35" t="s">
        <v>559</v>
      </c>
      <c r="DG6" s="35" t="s">
        <v>560</v>
      </c>
      <c r="DH6" s="35" t="s">
        <v>561</v>
      </c>
      <c r="DI6" s="35" t="s">
        <v>558</v>
      </c>
      <c r="DJ6" s="35" t="s">
        <v>559</v>
      </c>
      <c r="DK6" s="35" t="s">
        <v>560</v>
      </c>
      <c r="DL6" s="35" t="s">
        <v>561</v>
      </c>
      <c r="DM6" s="35" t="s">
        <v>558</v>
      </c>
      <c r="DN6" s="35" t="s">
        <v>559</v>
      </c>
      <c r="DO6" s="35" t="s">
        <v>560</v>
      </c>
      <c r="DP6" s="35" t="s">
        <v>561</v>
      </c>
      <c r="DQ6" s="35" t="s">
        <v>558</v>
      </c>
      <c r="DR6" s="35" t="s">
        <v>559</v>
      </c>
      <c r="DS6" s="35" t="s">
        <v>560</v>
      </c>
      <c r="DT6" s="35" t="s">
        <v>561</v>
      </c>
      <c r="DU6" s="35" t="s">
        <v>558</v>
      </c>
      <c r="DV6" s="35" t="s">
        <v>559</v>
      </c>
      <c r="DW6" s="35" t="s">
        <v>560</v>
      </c>
      <c r="DX6" s="35" t="s">
        <v>561</v>
      </c>
      <c r="DY6" s="35" t="s">
        <v>558</v>
      </c>
      <c r="DZ6" s="35" t="s">
        <v>559</v>
      </c>
      <c r="EA6" s="35" t="s">
        <v>560</v>
      </c>
      <c r="EB6" s="35" t="s">
        <v>561</v>
      </c>
      <c r="EC6" s="35" t="s">
        <v>558</v>
      </c>
      <c r="ED6" s="35" t="s">
        <v>559</v>
      </c>
      <c r="EE6" s="35" t="s">
        <v>560</v>
      </c>
      <c r="EF6" s="35" t="s">
        <v>561</v>
      </c>
      <c r="EG6" s="35" t="s">
        <v>558</v>
      </c>
      <c r="EH6" s="35" t="s">
        <v>559</v>
      </c>
      <c r="EI6" s="35" t="s">
        <v>560</v>
      </c>
      <c r="EJ6" s="35" t="s">
        <v>561</v>
      </c>
      <c r="EK6" s="35" t="s">
        <v>558</v>
      </c>
      <c r="EL6" s="35" t="s">
        <v>559</v>
      </c>
      <c r="EM6" s="35" t="s">
        <v>560</v>
      </c>
      <c r="EN6" s="35" t="s">
        <v>561</v>
      </c>
      <c r="EO6" s="35" t="s">
        <v>558</v>
      </c>
      <c r="EP6" s="35" t="s">
        <v>559</v>
      </c>
      <c r="EQ6" s="35" t="s">
        <v>560</v>
      </c>
      <c r="ER6" s="35" t="s">
        <v>561</v>
      </c>
      <c r="ES6" s="35" t="s">
        <v>558</v>
      </c>
      <c r="ET6" s="35" t="s">
        <v>559</v>
      </c>
      <c r="EU6" s="35" t="s">
        <v>560</v>
      </c>
      <c r="EV6" s="35" t="s">
        <v>561</v>
      </c>
      <c r="EW6" s="35" t="s">
        <v>558</v>
      </c>
      <c r="EX6" s="35" t="s">
        <v>559</v>
      </c>
      <c r="EY6" s="35" t="s">
        <v>560</v>
      </c>
      <c r="EZ6" s="35" t="s">
        <v>561</v>
      </c>
      <c r="FA6" s="35" t="s">
        <v>558</v>
      </c>
      <c r="FB6" s="35" t="s">
        <v>559</v>
      </c>
      <c r="FC6" s="35" t="s">
        <v>560</v>
      </c>
      <c r="FD6" s="35" t="s">
        <v>561</v>
      </c>
      <c r="FE6" s="35" t="s">
        <v>558</v>
      </c>
      <c r="FF6" s="35" t="s">
        <v>559</v>
      </c>
      <c r="FG6" s="35" t="s">
        <v>560</v>
      </c>
      <c r="FH6" s="35" t="s">
        <v>561</v>
      </c>
      <c r="FI6" s="35" t="s">
        <v>558</v>
      </c>
      <c r="FJ6" s="35" t="s">
        <v>559</v>
      </c>
      <c r="FK6" s="35" t="s">
        <v>560</v>
      </c>
      <c r="FL6" s="35" t="s">
        <v>561</v>
      </c>
      <c r="FM6" s="35" t="s">
        <v>558</v>
      </c>
      <c r="FN6" s="35" t="s">
        <v>559</v>
      </c>
      <c r="FO6" s="35" t="s">
        <v>560</v>
      </c>
      <c r="FP6" s="35" t="s">
        <v>561</v>
      </c>
      <c r="FQ6" s="35" t="s">
        <v>558</v>
      </c>
      <c r="FR6" s="35" t="s">
        <v>559</v>
      </c>
      <c r="FS6" s="35" t="s">
        <v>560</v>
      </c>
      <c r="FT6" s="35" t="s">
        <v>561</v>
      </c>
      <c r="FU6" s="35" t="s">
        <v>558</v>
      </c>
      <c r="FV6" s="35" t="s">
        <v>559</v>
      </c>
      <c r="FW6" s="35" t="s">
        <v>560</v>
      </c>
      <c r="FX6" s="35" t="s">
        <v>561</v>
      </c>
      <c r="FY6" s="35" t="s">
        <v>558</v>
      </c>
      <c r="FZ6" s="35" t="s">
        <v>559</v>
      </c>
      <c r="GA6" s="35" t="s">
        <v>560</v>
      </c>
      <c r="GB6" s="35" t="s">
        <v>561</v>
      </c>
      <c r="GC6" s="35" t="s">
        <v>558</v>
      </c>
      <c r="GD6" s="35" t="s">
        <v>559</v>
      </c>
      <c r="GE6" s="35" t="s">
        <v>560</v>
      </c>
      <c r="GF6" s="35" t="s">
        <v>561</v>
      </c>
      <c r="GG6" s="35" t="s">
        <v>558</v>
      </c>
      <c r="GH6" s="35" t="s">
        <v>559</v>
      </c>
      <c r="GI6" s="35" t="s">
        <v>560</v>
      </c>
      <c r="GJ6" s="35" t="s">
        <v>561</v>
      </c>
      <c r="GK6" s="35" t="s">
        <v>558</v>
      </c>
      <c r="GL6" s="35" t="s">
        <v>559</v>
      </c>
      <c r="GM6" s="35" t="s">
        <v>560</v>
      </c>
      <c r="GN6" s="35" t="s">
        <v>561</v>
      </c>
      <c r="GO6" s="35" t="s">
        <v>558</v>
      </c>
      <c r="GP6" s="35" t="s">
        <v>559</v>
      </c>
      <c r="GQ6" s="35" t="s">
        <v>560</v>
      </c>
      <c r="GR6" s="35" t="s">
        <v>561</v>
      </c>
      <c r="GS6" s="35" t="s">
        <v>562</v>
      </c>
      <c r="GT6" s="35" t="s">
        <v>563</v>
      </c>
      <c r="GU6" s="35" t="s">
        <v>564</v>
      </c>
      <c r="GV6" s="35" t="s">
        <v>565</v>
      </c>
      <c r="GW6" s="35" t="s">
        <v>564</v>
      </c>
      <c r="GX6" s="35" t="s">
        <v>565</v>
      </c>
      <c r="GY6" s="35" t="s">
        <v>564</v>
      </c>
      <c r="GZ6" s="35" t="s">
        <v>565</v>
      </c>
      <c r="HA6" s="35" t="s">
        <v>564</v>
      </c>
      <c r="HB6" s="35" t="s">
        <v>565</v>
      </c>
      <c r="HC6" s="35" t="s">
        <v>564</v>
      </c>
      <c r="HD6" s="35" t="s">
        <v>565</v>
      </c>
      <c r="HE6" s="35" t="s">
        <v>566</v>
      </c>
      <c r="HF6" s="35" t="s">
        <v>566</v>
      </c>
      <c r="HG6" s="35" t="s">
        <v>566</v>
      </c>
      <c r="HH6" s="35" t="s">
        <v>566</v>
      </c>
      <c r="HI6" s="35" t="s">
        <v>566</v>
      </c>
      <c r="HJ6" s="35" t="s">
        <v>566</v>
      </c>
      <c r="HK6" s="35" t="s">
        <v>566</v>
      </c>
      <c r="HL6" s="35" t="s">
        <v>566</v>
      </c>
      <c r="HM6" s="35" t="s">
        <v>566</v>
      </c>
      <c r="HN6" s="35" t="s">
        <v>566</v>
      </c>
      <c r="HO6" s="35" t="s">
        <v>566</v>
      </c>
      <c r="HP6" s="35" t="s">
        <v>566</v>
      </c>
      <c r="HQ6" s="35" t="s">
        <v>566</v>
      </c>
      <c r="HR6" s="35" t="s">
        <v>566</v>
      </c>
      <c r="HS6" s="35" t="s">
        <v>566</v>
      </c>
      <c r="HT6" s="35" t="s">
        <v>566</v>
      </c>
      <c r="HU6" s="35" t="s">
        <v>566</v>
      </c>
      <c r="HV6" s="35" t="s">
        <v>566</v>
      </c>
      <c r="HW6" s="35" t="s">
        <v>566</v>
      </c>
      <c r="HX6" s="35" t="s">
        <v>566</v>
      </c>
      <c r="HY6" s="35" t="s">
        <v>566</v>
      </c>
      <c r="HZ6" s="35" t="s">
        <v>566</v>
      </c>
      <c r="IA6" s="35" t="s">
        <v>566</v>
      </c>
      <c r="IB6" s="35" t="s">
        <v>566</v>
      </c>
      <c r="IC6" s="35" t="s">
        <v>566</v>
      </c>
      <c r="ID6" s="35" t="s">
        <v>566</v>
      </c>
      <c r="IE6" s="35" t="s">
        <v>566</v>
      </c>
      <c r="IF6" s="35" t="s">
        <v>566</v>
      </c>
      <c r="IG6" s="35" t="s">
        <v>566</v>
      </c>
      <c r="IH6" s="35" t="s">
        <v>566</v>
      </c>
      <c r="II6" s="35" t="s">
        <v>567</v>
      </c>
      <c r="IJ6" s="35" t="s">
        <v>567</v>
      </c>
      <c r="IK6" s="35" t="s">
        <v>568</v>
      </c>
      <c r="IL6" s="35" t="s">
        <v>569</v>
      </c>
      <c r="IM6" s="35" t="s">
        <v>570</v>
      </c>
      <c r="IN6" s="35" t="s">
        <v>571</v>
      </c>
      <c r="IO6" s="35" t="s">
        <v>568</v>
      </c>
      <c r="IP6" s="35" t="s">
        <v>569</v>
      </c>
      <c r="IQ6" s="35" t="s">
        <v>570</v>
      </c>
      <c r="IR6" s="35" t="s">
        <v>571</v>
      </c>
      <c r="IS6" s="35" t="s">
        <v>568</v>
      </c>
      <c r="IT6" s="35" t="s">
        <v>569</v>
      </c>
      <c r="IU6" s="35" t="s">
        <v>570</v>
      </c>
      <c r="IV6" s="35" t="s">
        <v>571</v>
      </c>
      <c r="IW6" s="35" t="s">
        <v>568</v>
      </c>
      <c r="IX6" s="35" t="s">
        <v>569</v>
      </c>
      <c r="IY6" s="35" t="s">
        <v>570</v>
      </c>
      <c r="IZ6" s="35" t="s">
        <v>571</v>
      </c>
      <c r="JA6" s="35" t="s">
        <v>568</v>
      </c>
      <c r="JB6" s="35" t="s">
        <v>569</v>
      </c>
      <c r="JC6" s="35" t="s">
        <v>570</v>
      </c>
      <c r="JD6" s="35" t="s">
        <v>571</v>
      </c>
      <c r="JE6" s="35" t="s">
        <v>568</v>
      </c>
      <c r="JF6" s="35" t="s">
        <v>569</v>
      </c>
      <c r="JG6" s="35" t="s">
        <v>570</v>
      </c>
      <c r="JH6" s="35" t="s">
        <v>571</v>
      </c>
      <c r="JI6" s="35" t="s">
        <v>568</v>
      </c>
      <c r="JJ6" s="35" t="s">
        <v>569</v>
      </c>
      <c r="JK6" s="35" t="s">
        <v>570</v>
      </c>
      <c r="JL6" s="35" t="s">
        <v>571</v>
      </c>
      <c r="JM6" s="35" t="s">
        <v>568</v>
      </c>
      <c r="JN6" s="35" t="s">
        <v>569</v>
      </c>
      <c r="JO6" s="35" t="s">
        <v>570</v>
      </c>
      <c r="JP6" s="35" t="s">
        <v>571</v>
      </c>
      <c r="JQ6" s="35" t="s">
        <v>568</v>
      </c>
      <c r="JR6" s="35" t="s">
        <v>569</v>
      </c>
      <c r="JS6" s="35" t="s">
        <v>570</v>
      </c>
      <c r="JT6" s="35" t="s">
        <v>571</v>
      </c>
      <c r="JU6" s="35" t="s">
        <v>568</v>
      </c>
      <c r="JV6" s="35" t="s">
        <v>569</v>
      </c>
      <c r="JW6" s="35" t="s">
        <v>570</v>
      </c>
      <c r="JX6" s="35" t="s">
        <v>571</v>
      </c>
      <c r="JY6" s="35" t="s">
        <v>572</v>
      </c>
      <c r="JZ6" s="35" t="s">
        <v>573</v>
      </c>
      <c r="KA6" s="35" t="s">
        <v>574</v>
      </c>
      <c r="KB6" s="35" t="s">
        <v>575</v>
      </c>
      <c r="KC6" s="35" t="s">
        <v>576</v>
      </c>
      <c r="KD6" s="35" t="s">
        <v>577</v>
      </c>
      <c r="KE6" s="35" t="s">
        <v>578</v>
      </c>
      <c r="KF6" s="35" t="s">
        <v>579</v>
      </c>
      <c r="KG6" s="35" t="s">
        <v>580</v>
      </c>
      <c r="KH6" s="35" t="s">
        <v>581</v>
      </c>
      <c r="KI6" s="35" t="s">
        <v>582</v>
      </c>
      <c r="KJ6" s="35" t="s">
        <v>583</v>
      </c>
      <c r="KK6" s="35" t="s">
        <v>584</v>
      </c>
      <c r="KL6" s="35" t="s">
        <v>585</v>
      </c>
      <c r="KM6" s="35" t="s">
        <v>586</v>
      </c>
      <c r="KN6" s="35" t="s">
        <v>587</v>
      </c>
      <c r="KO6" s="35" t="s">
        <v>588</v>
      </c>
      <c r="KP6" s="35" t="s">
        <v>589</v>
      </c>
      <c r="KQ6" s="35" t="s">
        <v>590</v>
      </c>
      <c r="KR6" s="35" t="s">
        <v>591</v>
      </c>
      <c r="KS6" s="35" t="s">
        <v>592</v>
      </c>
      <c r="KT6" s="35" t="s">
        <v>593</v>
      </c>
      <c r="KU6" s="35" t="s">
        <v>594</v>
      </c>
      <c r="KV6" s="35" t="s">
        <v>595</v>
      </c>
      <c r="KW6" s="35" t="s">
        <v>596</v>
      </c>
      <c r="KX6" s="35" t="s">
        <v>597</v>
      </c>
      <c r="KY6" s="35" t="s">
        <v>598</v>
      </c>
      <c r="KZ6" s="35" t="s">
        <v>599</v>
      </c>
      <c r="LA6" s="35" t="s">
        <v>600</v>
      </c>
    </row>
    <row r="7" spans="1:313" ht="50" customHeight="1">
      <c r="A7" s="35" t="s">
        <v>601</v>
      </c>
      <c r="B7" s="35" t="s">
        <v>67</v>
      </c>
      <c r="C7" s="35" t="s">
        <v>67</v>
      </c>
      <c r="D7" s="35" t="s">
        <v>67</v>
      </c>
      <c r="E7" s="35" t="s">
        <v>67</v>
      </c>
      <c r="F7" s="36" t="s">
        <v>602</v>
      </c>
      <c r="G7" s="35" t="s">
        <v>67</v>
      </c>
      <c r="H7" s="36" t="s">
        <v>602</v>
      </c>
      <c r="I7" s="35" t="s">
        <v>67</v>
      </c>
      <c r="J7" s="36" t="s">
        <v>602</v>
      </c>
      <c r="K7" s="35" t="s">
        <v>67</v>
      </c>
      <c r="L7" s="36" t="s">
        <v>602</v>
      </c>
      <c r="M7" s="35" t="s">
        <v>67</v>
      </c>
      <c r="N7" s="36" t="s">
        <v>602</v>
      </c>
      <c r="O7" s="35" t="s">
        <v>67</v>
      </c>
      <c r="P7" s="35" t="s">
        <v>603</v>
      </c>
      <c r="Q7" s="35" t="s">
        <v>603</v>
      </c>
      <c r="R7" s="35" t="s">
        <v>603</v>
      </c>
      <c r="S7" s="35" t="s">
        <v>603</v>
      </c>
      <c r="T7" s="35" t="s">
        <v>67</v>
      </c>
      <c r="U7" s="35" t="s">
        <v>67</v>
      </c>
      <c r="V7" s="35" t="s">
        <v>67</v>
      </c>
      <c r="W7" s="35" t="s">
        <v>67</v>
      </c>
      <c r="X7" s="35" t="s">
        <v>67</v>
      </c>
      <c r="Y7" s="35" t="s">
        <v>67</v>
      </c>
      <c r="Z7" s="35" t="s">
        <v>67</v>
      </c>
      <c r="AA7" s="35" t="s">
        <v>67</v>
      </c>
      <c r="AB7" s="35" t="s">
        <v>67</v>
      </c>
      <c r="AC7" s="35" t="s">
        <v>67</v>
      </c>
      <c r="AD7" s="35" t="s">
        <v>604</v>
      </c>
      <c r="AE7" s="35" t="s">
        <v>604</v>
      </c>
      <c r="AF7" s="35" t="s">
        <v>604</v>
      </c>
      <c r="AG7" s="35" t="s">
        <v>603</v>
      </c>
      <c r="AH7" s="36" t="s">
        <v>602</v>
      </c>
      <c r="AI7" s="36" t="s">
        <v>602</v>
      </c>
      <c r="AJ7" s="36" t="s">
        <v>602</v>
      </c>
      <c r="AK7" s="36" t="s">
        <v>602</v>
      </c>
      <c r="AL7" s="35" t="s">
        <v>67</v>
      </c>
      <c r="AM7" s="35" t="s">
        <v>72</v>
      </c>
      <c r="AN7" s="35" t="s">
        <v>72</v>
      </c>
      <c r="AO7" s="35" t="s">
        <v>603</v>
      </c>
      <c r="AP7" s="35" t="s">
        <v>603</v>
      </c>
      <c r="AQ7" s="35" t="s">
        <v>603</v>
      </c>
      <c r="AR7" s="35" t="s">
        <v>603</v>
      </c>
      <c r="AS7" s="35" t="s">
        <v>603</v>
      </c>
      <c r="AT7" s="35" t="s">
        <v>603</v>
      </c>
      <c r="AU7" s="35" t="s">
        <v>603</v>
      </c>
      <c r="AV7" s="35" t="s">
        <v>603</v>
      </c>
      <c r="AW7" s="35" t="s">
        <v>603</v>
      </c>
      <c r="AX7" s="35" t="s">
        <v>603</v>
      </c>
      <c r="AY7" s="35" t="s">
        <v>603</v>
      </c>
      <c r="AZ7" s="35" t="s">
        <v>603</v>
      </c>
      <c r="BA7" s="35" t="s">
        <v>603</v>
      </c>
      <c r="BB7" s="35" t="s">
        <v>603</v>
      </c>
      <c r="BC7" s="35" t="s">
        <v>603</v>
      </c>
      <c r="BD7" s="35" t="s">
        <v>603</v>
      </c>
      <c r="BE7" s="35" t="s">
        <v>603</v>
      </c>
      <c r="BF7" s="35" t="s">
        <v>603</v>
      </c>
      <c r="BG7" s="35" t="s">
        <v>603</v>
      </c>
      <c r="BH7" s="35" t="s">
        <v>603</v>
      </c>
      <c r="BI7" s="35" t="s">
        <v>603</v>
      </c>
      <c r="BJ7" s="35" t="s">
        <v>603</v>
      </c>
      <c r="BK7" s="35" t="s">
        <v>603</v>
      </c>
      <c r="BL7" s="35" t="s">
        <v>603</v>
      </c>
      <c r="BM7" s="35" t="s">
        <v>603</v>
      </c>
      <c r="BN7" s="35" t="s">
        <v>603</v>
      </c>
      <c r="BO7" s="35" t="s">
        <v>603</v>
      </c>
      <c r="BP7" s="35" t="s">
        <v>603</v>
      </c>
      <c r="BQ7" s="35" t="s">
        <v>603</v>
      </c>
      <c r="BR7" s="35" t="s">
        <v>603</v>
      </c>
      <c r="BS7" s="35" t="s">
        <v>603</v>
      </c>
      <c r="BT7" s="35" t="s">
        <v>603</v>
      </c>
      <c r="BU7" s="35" t="s">
        <v>603</v>
      </c>
      <c r="BV7" s="35" t="s">
        <v>603</v>
      </c>
      <c r="BW7" s="35" t="s">
        <v>603</v>
      </c>
      <c r="BX7" s="35" t="s">
        <v>603</v>
      </c>
      <c r="BY7" s="35" t="s">
        <v>603</v>
      </c>
      <c r="BZ7" s="35" t="s">
        <v>603</v>
      </c>
      <c r="CA7" s="35" t="s">
        <v>603</v>
      </c>
      <c r="CB7" s="35" t="s">
        <v>603</v>
      </c>
      <c r="CC7" s="35" t="s">
        <v>603</v>
      </c>
      <c r="CD7" s="35" t="s">
        <v>603</v>
      </c>
      <c r="CE7" s="35" t="s">
        <v>603</v>
      </c>
      <c r="CF7" s="35" t="s">
        <v>603</v>
      </c>
      <c r="CG7" s="35" t="s">
        <v>603</v>
      </c>
      <c r="CH7" s="35" t="s">
        <v>603</v>
      </c>
      <c r="CI7" s="35" t="s">
        <v>603</v>
      </c>
      <c r="CJ7" s="35" t="s">
        <v>603</v>
      </c>
      <c r="CK7" s="35" t="s">
        <v>603</v>
      </c>
      <c r="CL7" s="35" t="s">
        <v>603</v>
      </c>
      <c r="CM7" s="35" t="s">
        <v>603</v>
      </c>
      <c r="CN7" s="35" t="s">
        <v>603</v>
      </c>
      <c r="CO7" s="35" t="s">
        <v>603</v>
      </c>
      <c r="CP7" s="35" t="s">
        <v>603</v>
      </c>
      <c r="CQ7" s="35" t="s">
        <v>603</v>
      </c>
      <c r="CR7" s="35" t="s">
        <v>603</v>
      </c>
      <c r="CS7" s="35" t="s">
        <v>603</v>
      </c>
      <c r="CT7" s="35" t="s">
        <v>603</v>
      </c>
      <c r="CU7" s="35" t="s">
        <v>603</v>
      </c>
      <c r="CV7" s="35" t="s">
        <v>603</v>
      </c>
      <c r="CW7" s="35" t="s">
        <v>603</v>
      </c>
      <c r="CX7" s="35" t="s">
        <v>603</v>
      </c>
      <c r="CY7" s="35" t="s">
        <v>603</v>
      </c>
      <c r="CZ7" s="35" t="s">
        <v>603</v>
      </c>
      <c r="DA7" s="35" t="s">
        <v>603</v>
      </c>
      <c r="DB7" s="35" t="s">
        <v>603</v>
      </c>
      <c r="DC7" s="35" t="s">
        <v>603</v>
      </c>
      <c r="DD7" s="35" t="s">
        <v>603</v>
      </c>
      <c r="DE7" s="35" t="s">
        <v>603</v>
      </c>
      <c r="DF7" s="35" t="s">
        <v>603</v>
      </c>
      <c r="DG7" s="35" t="s">
        <v>603</v>
      </c>
      <c r="DH7" s="35" t="s">
        <v>603</v>
      </c>
      <c r="DI7" s="35" t="s">
        <v>603</v>
      </c>
      <c r="DJ7" s="35" t="s">
        <v>603</v>
      </c>
      <c r="DK7" s="35" t="s">
        <v>603</v>
      </c>
      <c r="DL7" s="35" t="s">
        <v>603</v>
      </c>
      <c r="DM7" s="35" t="s">
        <v>603</v>
      </c>
      <c r="DN7" s="35" t="s">
        <v>603</v>
      </c>
      <c r="DO7" s="35" t="s">
        <v>603</v>
      </c>
      <c r="DP7" s="35" t="s">
        <v>603</v>
      </c>
      <c r="DQ7" s="35" t="s">
        <v>603</v>
      </c>
      <c r="DR7" s="35" t="s">
        <v>603</v>
      </c>
      <c r="DS7" s="35" t="s">
        <v>603</v>
      </c>
      <c r="DT7" s="35" t="s">
        <v>603</v>
      </c>
      <c r="DU7" s="35" t="s">
        <v>603</v>
      </c>
      <c r="DV7" s="35" t="s">
        <v>603</v>
      </c>
      <c r="DW7" s="35" t="s">
        <v>603</v>
      </c>
      <c r="DX7" s="35" t="s">
        <v>603</v>
      </c>
      <c r="DY7" s="35" t="s">
        <v>603</v>
      </c>
      <c r="DZ7" s="35" t="s">
        <v>603</v>
      </c>
      <c r="EA7" s="35" t="s">
        <v>603</v>
      </c>
      <c r="EB7" s="35" t="s">
        <v>603</v>
      </c>
      <c r="EC7" s="35" t="s">
        <v>603</v>
      </c>
      <c r="ED7" s="35" t="s">
        <v>603</v>
      </c>
      <c r="EE7" s="35" t="s">
        <v>603</v>
      </c>
      <c r="EF7" s="35" t="s">
        <v>603</v>
      </c>
      <c r="EG7" s="35" t="s">
        <v>603</v>
      </c>
      <c r="EH7" s="35" t="s">
        <v>603</v>
      </c>
      <c r="EI7" s="35" t="s">
        <v>603</v>
      </c>
      <c r="EJ7" s="35" t="s">
        <v>603</v>
      </c>
      <c r="EK7" s="35" t="s">
        <v>603</v>
      </c>
      <c r="EL7" s="35" t="s">
        <v>603</v>
      </c>
      <c r="EM7" s="35" t="s">
        <v>603</v>
      </c>
      <c r="EN7" s="35" t="s">
        <v>603</v>
      </c>
      <c r="EO7" s="35" t="s">
        <v>603</v>
      </c>
      <c r="EP7" s="35" t="s">
        <v>603</v>
      </c>
      <c r="EQ7" s="35" t="s">
        <v>603</v>
      </c>
      <c r="ER7" s="35" t="s">
        <v>603</v>
      </c>
      <c r="ES7" s="35" t="s">
        <v>603</v>
      </c>
      <c r="ET7" s="35" t="s">
        <v>603</v>
      </c>
      <c r="EU7" s="35" t="s">
        <v>603</v>
      </c>
      <c r="EV7" s="35" t="s">
        <v>603</v>
      </c>
      <c r="EW7" s="35" t="s">
        <v>603</v>
      </c>
      <c r="EX7" s="35" t="s">
        <v>603</v>
      </c>
      <c r="EY7" s="35" t="s">
        <v>603</v>
      </c>
      <c r="EZ7" s="35" t="s">
        <v>603</v>
      </c>
      <c r="FA7" s="35" t="s">
        <v>603</v>
      </c>
      <c r="FB7" s="35" t="s">
        <v>603</v>
      </c>
      <c r="FC7" s="35" t="s">
        <v>603</v>
      </c>
      <c r="FD7" s="35" t="s">
        <v>603</v>
      </c>
      <c r="FE7" s="35" t="s">
        <v>603</v>
      </c>
      <c r="FF7" s="35" t="s">
        <v>603</v>
      </c>
      <c r="FG7" s="35" t="s">
        <v>603</v>
      </c>
      <c r="FH7" s="35" t="s">
        <v>603</v>
      </c>
      <c r="FI7" s="35" t="s">
        <v>603</v>
      </c>
      <c r="FJ7" s="35" t="s">
        <v>603</v>
      </c>
      <c r="FK7" s="35" t="s">
        <v>603</v>
      </c>
      <c r="FL7" s="35" t="s">
        <v>603</v>
      </c>
      <c r="FM7" s="35" t="s">
        <v>603</v>
      </c>
      <c r="FN7" s="35" t="s">
        <v>603</v>
      </c>
      <c r="FO7" s="35" t="s">
        <v>603</v>
      </c>
      <c r="FP7" s="35" t="s">
        <v>603</v>
      </c>
      <c r="FQ7" s="35" t="s">
        <v>603</v>
      </c>
      <c r="FR7" s="35" t="s">
        <v>603</v>
      </c>
      <c r="FS7" s="35" t="s">
        <v>603</v>
      </c>
      <c r="FT7" s="35" t="s">
        <v>603</v>
      </c>
      <c r="FU7" s="35" t="s">
        <v>603</v>
      </c>
      <c r="FV7" s="35" t="s">
        <v>603</v>
      </c>
      <c r="FW7" s="35" t="s">
        <v>603</v>
      </c>
      <c r="FX7" s="35" t="s">
        <v>603</v>
      </c>
      <c r="FY7" s="35" t="s">
        <v>603</v>
      </c>
      <c r="FZ7" s="35" t="s">
        <v>603</v>
      </c>
      <c r="GA7" s="35" t="s">
        <v>603</v>
      </c>
      <c r="GB7" s="35" t="s">
        <v>603</v>
      </c>
      <c r="GC7" s="35" t="s">
        <v>603</v>
      </c>
      <c r="GD7" s="35" t="s">
        <v>603</v>
      </c>
      <c r="GE7" s="35" t="s">
        <v>603</v>
      </c>
      <c r="GF7" s="35" t="s">
        <v>603</v>
      </c>
      <c r="GG7" s="35" t="s">
        <v>603</v>
      </c>
      <c r="GH7" s="35" t="s">
        <v>603</v>
      </c>
      <c r="GI7" s="35" t="s">
        <v>603</v>
      </c>
      <c r="GJ7" s="35" t="s">
        <v>603</v>
      </c>
      <c r="GK7" s="35" t="s">
        <v>603</v>
      </c>
      <c r="GL7" s="35" t="s">
        <v>603</v>
      </c>
      <c r="GM7" s="35" t="s">
        <v>603</v>
      </c>
      <c r="GN7" s="35" t="s">
        <v>603</v>
      </c>
      <c r="GO7" s="35" t="s">
        <v>603</v>
      </c>
      <c r="GP7" s="35" t="s">
        <v>603</v>
      </c>
      <c r="GQ7" s="35" t="s">
        <v>603</v>
      </c>
      <c r="GR7" s="35" t="s">
        <v>603</v>
      </c>
      <c r="GS7" s="36" t="s">
        <v>602</v>
      </c>
      <c r="GT7" s="35" t="s">
        <v>72</v>
      </c>
      <c r="GU7" s="36" t="s">
        <v>602</v>
      </c>
      <c r="GV7" s="36" t="s">
        <v>602</v>
      </c>
      <c r="GW7" s="36" t="s">
        <v>602</v>
      </c>
      <c r="GX7" s="36" t="s">
        <v>602</v>
      </c>
      <c r="GY7" s="36" t="s">
        <v>602</v>
      </c>
      <c r="GZ7" s="36" t="s">
        <v>602</v>
      </c>
      <c r="HA7" s="36" t="s">
        <v>602</v>
      </c>
      <c r="HB7" s="36" t="s">
        <v>602</v>
      </c>
      <c r="HC7" s="36" t="s">
        <v>602</v>
      </c>
      <c r="HD7" s="36" t="s">
        <v>602</v>
      </c>
      <c r="HE7" s="35" t="s">
        <v>67</v>
      </c>
      <c r="HF7" s="35" t="s">
        <v>67</v>
      </c>
      <c r="HG7" s="35" t="s">
        <v>67</v>
      </c>
      <c r="HH7" s="35" t="s">
        <v>67</v>
      </c>
      <c r="HI7" s="35" t="s">
        <v>67</v>
      </c>
      <c r="HJ7" s="35" t="s">
        <v>67</v>
      </c>
      <c r="HK7" s="35" t="s">
        <v>67</v>
      </c>
      <c r="HL7" s="35" t="s">
        <v>67</v>
      </c>
      <c r="HM7" s="35" t="s">
        <v>67</v>
      </c>
      <c r="HN7" s="35" t="s">
        <v>67</v>
      </c>
      <c r="HO7" s="35" t="s">
        <v>67</v>
      </c>
      <c r="HP7" s="35" t="s">
        <v>67</v>
      </c>
      <c r="HQ7" s="35" t="s">
        <v>67</v>
      </c>
      <c r="HR7" s="35" t="s">
        <v>67</v>
      </c>
      <c r="HS7" s="35" t="s">
        <v>67</v>
      </c>
      <c r="HT7" s="35" t="s">
        <v>67</v>
      </c>
      <c r="HU7" s="35" t="s">
        <v>67</v>
      </c>
      <c r="HV7" s="35" t="s">
        <v>67</v>
      </c>
      <c r="HW7" s="35" t="s">
        <v>67</v>
      </c>
      <c r="HX7" s="35" t="s">
        <v>67</v>
      </c>
      <c r="HY7" s="35" t="s">
        <v>67</v>
      </c>
      <c r="HZ7" s="35" t="s">
        <v>67</v>
      </c>
      <c r="IA7" s="35" t="s">
        <v>67</v>
      </c>
      <c r="IB7" s="35" t="s">
        <v>67</v>
      </c>
      <c r="IC7" s="35" t="s">
        <v>67</v>
      </c>
      <c r="ID7" s="35" t="s">
        <v>67</v>
      </c>
      <c r="IE7" s="35" t="s">
        <v>67</v>
      </c>
      <c r="IF7" s="35" t="s">
        <v>67</v>
      </c>
      <c r="IG7" s="35" t="s">
        <v>67</v>
      </c>
      <c r="IH7" s="35" t="s">
        <v>67</v>
      </c>
      <c r="II7" s="35" t="s">
        <v>67</v>
      </c>
      <c r="IJ7" s="35" t="s">
        <v>67</v>
      </c>
      <c r="IK7" s="35" t="s">
        <v>67</v>
      </c>
      <c r="IL7" s="36" t="s">
        <v>605</v>
      </c>
      <c r="IM7" s="36" t="s">
        <v>606</v>
      </c>
      <c r="IN7" s="36" t="s">
        <v>602</v>
      </c>
      <c r="IO7" s="35" t="s">
        <v>67</v>
      </c>
      <c r="IP7" s="36" t="s">
        <v>605</v>
      </c>
      <c r="IQ7" s="36" t="s">
        <v>606</v>
      </c>
      <c r="IR7" s="36" t="s">
        <v>602</v>
      </c>
      <c r="IS7" s="35" t="s">
        <v>67</v>
      </c>
      <c r="IT7" s="36" t="s">
        <v>605</v>
      </c>
      <c r="IU7" s="36" t="s">
        <v>606</v>
      </c>
      <c r="IV7" s="36" t="s">
        <v>602</v>
      </c>
      <c r="IW7" s="35" t="s">
        <v>67</v>
      </c>
      <c r="IX7" s="36" t="s">
        <v>605</v>
      </c>
      <c r="IY7" s="36" t="s">
        <v>606</v>
      </c>
      <c r="IZ7" s="36" t="s">
        <v>602</v>
      </c>
      <c r="JA7" s="35" t="s">
        <v>67</v>
      </c>
      <c r="JB7" s="36" t="s">
        <v>605</v>
      </c>
      <c r="JC7" s="36" t="s">
        <v>606</v>
      </c>
      <c r="JD7" s="36" t="s">
        <v>602</v>
      </c>
      <c r="JE7" s="35" t="s">
        <v>67</v>
      </c>
      <c r="JF7" s="36" t="s">
        <v>605</v>
      </c>
      <c r="JG7" s="36" t="s">
        <v>606</v>
      </c>
      <c r="JH7" s="36" t="s">
        <v>602</v>
      </c>
      <c r="JI7" s="35" t="s">
        <v>67</v>
      </c>
      <c r="JJ7" s="36" t="s">
        <v>605</v>
      </c>
      <c r="JK7" s="36" t="s">
        <v>606</v>
      </c>
      <c r="JL7" s="36" t="s">
        <v>602</v>
      </c>
      <c r="JM7" s="35" t="s">
        <v>67</v>
      </c>
      <c r="JN7" s="36" t="s">
        <v>605</v>
      </c>
      <c r="JO7" s="36" t="s">
        <v>606</v>
      </c>
      <c r="JP7" s="36" t="s">
        <v>602</v>
      </c>
      <c r="JQ7" s="35" t="s">
        <v>67</v>
      </c>
      <c r="JR7" s="36" t="s">
        <v>605</v>
      </c>
      <c r="JS7" s="36" t="s">
        <v>606</v>
      </c>
      <c r="JT7" s="36" t="s">
        <v>602</v>
      </c>
      <c r="JU7" s="35" t="s">
        <v>67</v>
      </c>
      <c r="JV7" s="36" t="s">
        <v>605</v>
      </c>
      <c r="JW7" s="36" t="s">
        <v>606</v>
      </c>
      <c r="JX7" s="36" t="s">
        <v>602</v>
      </c>
      <c r="JY7" s="36" t="s">
        <v>602</v>
      </c>
      <c r="JZ7" s="36" t="s">
        <v>607</v>
      </c>
      <c r="KA7" s="36" t="s">
        <v>602</v>
      </c>
      <c r="KB7" s="36" t="s">
        <v>608</v>
      </c>
      <c r="KC7" s="36" t="s">
        <v>609</v>
      </c>
      <c r="KD7" s="35" t="s">
        <v>72</v>
      </c>
      <c r="KE7" s="36" t="s">
        <v>610</v>
      </c>
      <c r="KF7" s="36" t="s">
        <v>602</v>
      </c>
      <c r="KG7" s="36" t="s">
        <v>611</v>
      </c>
      <c r="KH7" s="35" t="s">
        <v>72</v>
      </c>
      <c r="KI7" s="36" t="s">
        <v>602</v>
      </c>
      <c r="KJ7" s="36" t="s">
        <v>612</v>
      </c>
      <c r="KK7" s="36" t="s">
        <v>613</v>
      </c>
      <c r="KL7" s="36" t="s">
        <v>614</v>
      </c>
      <c r="KM7" s="35" t="s">
        <v>604</v>
      </c>
      <c r="KN7" s="36" t="s">
        <v>615</v>
      </c>
      <c r="KO7" s="36" t="s">
        <v>616</v>
      </c>
      <c r="KP7" s="36" t="s">
        <v>617</v>
      </c>
      <c r="KQ7" s="36" t="s">
        <v>618</v>
      </c>
      <c r="KR7" s="35" t="s">
        <v>603</v>
      </c>
      <c r="KS7" s="35" t="s">
        <v>603</v>
      </c>
      <c r="KT7" s="35" t="s">
        <v>603</v>
      </c>
      <c r="KU7" s="35" t="s">
        <v>72</v>
      </c>
      <c r="KV7" s="36" t="s">
        <v>602</v>
      </c>
      <c r="KW7" s="36" t="s">
        <v>602</v>
      </c>
      <c r="KX7" s="36" t="s">
        <v>602</v>
      </c>
      <c r="KY7" s="35" t="s">
        <v>72</v>
      </c>
      <c r="KZ7" s="36" t="s">
        <v>602</v>
      </c>
      <c r="LA7" s="35" t="s">
        <v>72</v>
      </c>
    </row>
    <row r="8" spans="1:313">
      <c r="B8" s="37" t="s">
        <v>619</v>
      </c>
      <c r="C8" s="37" t="s">
        <v>620</v>
      </c>
      <c r="D8" s="37" t="s">
        <v>620</v>
      </c>
      <c r="E8" s="37" t="s">
        <v>620</v>
      </c>
      <c r="F8" s="38"/>
      <c r="G8" s="38"/>
      <c r="H8" s="37" t="s">
        <v>620</v>
      </c>
      <c r="I8" s="37" t="s">
        <v>620</v>
      </c>
      <c r="J8" s="37" t="s">
        <v>620</v>
      </c>
      <c r="K8" s="37" t="s">
        <v>620</v>
      </c>
      <c r="L8" s="37" t="s">
        <v>620</v>
      </c>
      <c r="M8" s="37" t="s">
        <v>620</v>
      </c>
      <c r="N8" s="37" t="s">
        <v>620</v>
      </c>
      <c r="O8" s="37" t="s">
        <v>620</v>
      </c>
      <c r="P8" s="37" t="s">
        <v>620</v>
      </c>
      <c r="Q8" s="37" t="s">
        <v>620</v>
      </c>
      <c r="R8" s="37" t="s">
        <v>620</v>
      </c>
      <c r="S8" s="37" t="s">
        <v>620</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7" t="s">
        <v>620</v>
      </c>
      <c r="HF8" s="37" t="s">
        <v>620</v>
      </c>
      <c r="HG8" s="37" t="s">
        <v>620</v>
      </c>
      <c r="HH8" s="37" t="s">
        <v>620</v>
      </c>
      <c r="HI8" s="37" t="s">
        <v>620</v>
      </c>
      <c r="HJ8" s="37" t="s">
        <v>620</v>
      </c>
      <c r="HK8" s="37" t="s">
        <v>620</v>
      </c>
      <c r="HL8" s="37" t="s">
        <v>620</v>
      </c>
      <c r="HM8" s="37" t="s">
        <v>620</v>
      </c>
      <c r="HN8" s="37" t="s">
        <v>620</v>
      </c>
      <c r="HO8" s="37" t="s">
        <v>620</v>
      </c>
      <c r="HP8" s="37" t="s">
        <v>620</v>
      </c>
      <c r="HQ8" s="37" t="s">
        <v>620</v>
      </c>
      <c r="HR8" s="37" t="s">
        <v>620</v>
      </c>
      <c r="HS8" s="37" t="s">
        <v>620</v>
      </c>
      <c r="HT8" s="37" t="s">
        <v>620</v>
      </c>
      <c r="HU8" s="37" t="s">
        <v>620</v>
      </c>
      <c r="HV8" s="37" t="s">
        <v>620</v>
      </c>
      <c r="HW8" s="37" t="s">
        <v>620</v>
      </c>
      <c r="HX8" s="37" t="s">
        <v>620</v>
      </c>
      <c r="HY8" s="37" t="s">
        <v>620</v>
      </c>
      <c r="HZ8" s="37" t="s">
        <v>620</v>
      </c>
      <c r="IA8" s="37" t="s">
        <v>620</v>
      </c>
      <c r="IB8" s="37" t="s">
        <v>620</v>
      </c>
      <c r="IC8" s="37" t="s">
        <v>620</v>
      </c>
      <c r="ID8" s="37" t="s">
        <v>620</v>
      </c>
      <c r="IE8" s="37" t="s">
        <v>620</v>
      </c>
      <c r="IF8" s="37" t="s">
        <v>620</v>
      </c>
      <c r="IG8" s="37" t="s">
        <v>620</v>
      </c>
      <c r="IH8" s="37" t="s">
        <v>620</v>
      </c>
      <c r="II8" s="37" t="s">
        <v>620</v>
      </c>
      <c r="IJ8" s="37" t="s">
        <v>620</v>
      </c>
      <c r="IK8" s="37" t="s">
        <v>620</v>
      </c>
      <c r="IL8" s="37" t="s">
        <v>620</v>
      </c>
      <c r="IM8" s="37" t="s">
        <v>620</v>
      </c>
      <c r="IN8" s="37" t="s">
        <v>620</v>
      </c>
      <c r="IO8" s="37" t="s">
        <v>620</v>
      </c>
      <c r="IP8" s="37" t="s">
        <v>620</v>
      </c>
      <c r="IQ8" s="37" t="s">
        <v>620</v>
      </c>
      <c r="IR8" s="37" t="s">
        <v>620</v>
      </c>
      <c r="IS8" s="37" t="s">
        <v>620</v>
      </c>
      <c r="IT8" s="37" t="s">
        <v>620</v>
      </c>
      <c r="IU8" s="37" t="s">
        <v>620</v>
      </c>
      <c r="IV8" s="37" t="s">
        <v>620</v>
      </c>
      <c r="IW8" s="37" t="s">
        <v>620</v>
      </c>
      <c r="IX8" s="37" t="s">
        <v>620</v>
      </c>
      <c r="IY8" s="37" t="s">
        <v>620</v>
      </c>
      <c r="IZ8" s="37" t="s">
        <v>620</v>
      </c>
      <c r="JA8" s="37" t="s">
        <v>620</v>
      </c>
      <c r="JB8" s="37" t="s">
        <v>620</v>
      </c>
      <c r="JC8" s="37" t="s">
        <v>620</v>
      </c>
      <c r="JD8" s="37" t="s">
        <v>620</v>
      </c>
      <c r="JE8" s="37" t="s">
        <v>620</v>
      </c>
      <c r="JF8" s="37" t="s">
        <v>620</v>
      </c>
      <c r="JG8" s="37" t="s">
        <v>620</v>
      </c>
      <c r="JH8" s="37" t="s">
        <v>620</v>
      </c>
      <c r="JI8" s="37" t="s">
        <v>620</v>
      </c>
      <c r="JJ8" s="37" t="s">
        <v>620</v>
      </c>
      <c r="JK8" s="37" t="s">
        <v>620</v>
      </c>
      <c r="JL8" s="37" t="s">
        <v>620</v>
      </c>
      <c r="JM8" s="37" t="s">
        <v>620</v>
      </c>
      <c r="JN8" s="37" t="s">
        <v>620</v>
      </c>
      <c r="JO8" s="37" t="s">
        <v>620</v>
      </c>
      <c r="JP8" s="37" t="s">
        <v>620</v>
      </c>
      <c r="JQ8" s="37" t="s">
        <v>620</v>
      </c>
      <c r="JR8" s="37" t="s">
        <v>620</v>
      </c>
      <c r="JS8" s="37" t="s">
        <v>620</v>
      </c>
      <c r="JT8" s="37" t="s">
        <v>620</v>
      </c>
      <c r="JU8" s="37" t="s">
        <v>620</v>
      </c>
      <c r="JV8" s="37" t="s">
        <v>620</v>
      </c>
      <c r="JW8" s="37" t="s">
        <v>620</v>
      </c>
      <c r="JX8" s="37" t="s">
        <v>620</v>
      </c>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row>
    <row r="9" spans="1:313">
      <c r="A9" s="39">
        <f>IF('3757 - Wall Stickers (S)'!B9 = "", "", IF('3757-S-WUO_ERR'!A9 = "", "Validated", HYPERLINK("#" &amp; ADDRESS(ROW('3757-S-WUO_TRK'!A9), '3757-S-WUO_TRK'!A9), _xlfn.TEXTAFTER('3757-S-WUO_ERR'!A9, ":"))))</f>
        <v>0</v>
      </c>
    </row>
    <row r="10" spans="1:313">
      <c r="A10" s="39">
        <f>IF('3757 - Wall Stickers (S)'!B10 = "", "", IF('3757-S-WUO_ERR'!A10 = "", "Validated", HYPERLINK("#" &amp; ADDRESS(ROW('3757-S-WUO_TRK'!A10), '3757-S-WUO_TRK'!A10), _xlfn.TEXTAFTER('3757-S-WUO_ERR'!A10, ":"))))</f>
        <v>0</v>
      </c>
    </row>
    <row r="11" spans="1:313">
      <c r="A11" s="39">
        <f>IF('3757 - Wall Stickers (S)'!B11 = "", "", IF('3757-S-WUO_ERR'!A11 = "", "Validated", HYPERLINK("#" &amp; ADDRESS(ROW('3757-S-WUO_TRK'!A11), '3757-S-WUO_TRK'!A11), _xlfn.TEXTAFTER('3757-S-WUO_ERR'!A11, ":"))))</f>
        <v>0</v>
      </c>
    </row>
    <row r="12" spans="1:313">
      <c r="A12" s="39">
        <f>IF('3757 - Wall Stickers (S)'!B12 = "", "", IF('3757-S-WUO_ERR'!A12 = "", "Validated", HYPERLINK("#" &amp; ADDRESS(ROW('3757-S-WUO_TRK'!A12), '3757-S-WUO_TRK'!A12), _xlfn.TEXTAFTER('3757-S-WUO_ERR'!A12, ":"))))</f>
        <v>0</v>
      </c>
    </row>
    <row r="13" spans="1:313">
      <c r="A13" s="39">
        <f>IF('3757 - Wall Stickers (S)'!B13 = "", "", IF('3757-S-WUO_ERR'!A13 = "", "Validated", HYPERLINK("#" &amp; ADDRESS(ROW('3757-S-WUO_TRK'!A13), '3757-S-WUO_TRK'!A13), _xlfn.TEXTAFTER('3757-S-WUO_ERR'!A13, ":"))))</f>
        <v>0</v>
      </c>
    </row>
    <row r="14" spans="1:313">
      <c r="A14" s="39">
        <f>IF('3757 - Wall Stickers (S)'!B14 = "", "", IF('3757-S-WUO_ERR'!A14 = "", "Validated", HYPERLINK("#" &amp; ADDRESS(ROW('3757-S-WUO_TRK'!A14), '3757-S-WUO_TRK'!A14), _xlfn.TEXTAFTER('3757-S-WUO_ERR'!A14, ":"))))</f>
        <v>0</v>
      </c>
    </row>
    <row r="15" spans="1:313">
      <c r="A15" s="39">
        <f>IF('3757 - Wall Stickers (S)'!B15 = "", "", IF('3757-S-WUO_ERR'!A15 = "", "Validated", HYPERLINK("#" &amp; ADDRESS(ROW('3757-S-WUO_TRK'!A15), '3757-S-WUO_TRK'!A15), _xlfn.TEXTAFTER('3757-S-WUO_ERR'!A15, ":"))))</f>
        <v>0</v>
      </c>
    </row>
    <row r="16" spans="1:313">
      <c r="A16" s="39">
        <f>IF('3757 - Wall Stickers (S)'!B16 = "", "", IF('3757-S-WUO_ERR'!A16 = "", "Validated", HYPERLINK("#" &amp; ADDRESS(ROW('3757-S-WUO_TRK'!A16), '3757-S-WUO_TRK'!A16), _xlfn.TEXTAFTER('3757-S-WUO_ERR'!A16, ":"))))</f>
        <v>0</v>
      </c>
    </row>
    <row r="17" spans="1:1">
      <c r="A17" s="39">
        <f>IF('3757 - Wall Stickers (S)'!B17 = "", "", IF('3757-S-WUO_ERR'!A17 = "", "Validated", HYPERLINK("#" &amp; ADDRESS(ROW('3757-S-WUO_TRK'!A17), '3757-S-WUO_TRK'!A17), _xlfn.TEXTAFTER('3757-S-WUO_ERR'!A17, ":"))))</f>
        <v>0</v>
      </c>
    </row>
    <row r="18" spans="1:1">
      <c r="A18" s="39">
        <f>IF('3757 - Wall Stickers (S)'!B18 = "", "", IF('3757-S-WUO_ERR'!A18 = "", "Validated", HYPERLINK("#" &amp; ADDRESS(ROW('3757-S-WUO_TRK'!A18), '3757-S-WUO_TRK'!A18), _xlfn.TEXTAFTER('3757-S-WUO_ERR'!A18, ":"))))</f>
        <v>0</v>
      </c>
    </row>
    <row r="19" spans="1:1">
      <c r="A19" s="39">
        <f>IF('3757 - Wall Stickers (S)'!B19 = "", "", IF('3757-S-WUO_ERR'!A19 = "", "Validated", HYPERLINK("#" &amp; ADDRESS(ROW('3757-S-WUO_TRK'!A19), '3757-S-WUO_TRK'!A19), _xlfn.TEXTAFTER('3757-S-WUO_ERR'!A19, ":"))))</f>
        <v>0</v>
      </c>
    </row>
    <row r="20" spans="1:1">
      <c r="A20" s="39">
        <f>IF('3757 - Wall Stickers (S)'!B20 = "", "", IF('3757-S-WUO_ERR'!A20 = "", "Validated", HYPERLINK("#" &amp; ADDRESS(ROW('3757-S-WUO_TRK'!A20), '3757-S-WUO_TRK'!A20), _xlfn.TEXTAFTER('3757-S-WUO_ERR'!A20, ":"))))</f>
        <v>0</v>
      </c>
    </row>
    <row r="21" spans="1:1">
      <c r="A21" s="39">
        <f>IF('3757 - Wall Stickers (S)'!B21 = "", "", IF('3757-S-WUO_ERR'!A21 = "", "Validated", HYPERLINK("#" &amp; ADDRESS(ROW('3757-S-WUO_TRK'!A21), '3757-S-WUO_TRK'!A21), _xlfn.TEXTAFTER('3757-S-WUO_ERR'!A21, ":"))))</f>
        <v>0</v>
      </c>
    </row>
    <row r="22" spans="1:1">
      <c r="A22" s="39">
        <f>IF('3757 - Wall Stickers (S)'!B22 = "", "", IF('3757-S-WUO_ERR'!A22 = "", "Validated", HYPERLINK("#" &amp; ADDRESS(ROW('3757-S-WUO_TRK'!A22), '3757-S-WUO_TRK'!A22), _xlfn.TEXTAFTER('3757-S-WUO_ERR'!A22, ":"))))</f>
        <v>0</v>
      </c>
    </row>
    <row r="23" spans="1:1">
      <c r="A23" s="39">
        <f>IF('3757 - Wall Stickers (S)'!B23 = "", "", IF('3757-S-WUO_ERR'!A23 = "", "Validated", HYPERLINK("#" &amp; ADDRESS(ROW('3757-S-WUO_TRK'!A23), '3757-S-WUO_TRK'!A23), _xlfn.TEXTAFTER('3757-S-WUO_ERR'!A23, ":"))))</f>
        <v>0</v>
      </c>
    </row>
    <row r="24" spans="1:1">
      <c r="A24" s="39">
        <f>IF('3757 - Wall Stickers (S)'!B24 = "", "", IF('3757-S-WUO_ERR'!A24 = "", "Validated", HYPERLINK("#" &amp; ADDRESS(ROW('3757-S-WUO_TRK'!A24), '3757-S-WUO_TRK'!A24), _xlfn.TEXTAFTER('3757-S-WUO_ERR'!A24, ":"))))</f>
        <v>0</v>
      </c>
    </row>
    <row r="25" spans="1:1">
      <c r="A25" s="39">
        <f>IF('3757 - Wall Stickers (S)'!B25 = "", "", IF('3757-S-WUO_ERR'!A25 = "", "Validated", HYPERLINK("#" &amp; ADDRESS(ROW('3757-S-WUO_TRK'!A25), '3757-S-WUO_TRK'!A25), _xlfn.TEXTAFTER('3757-S-WUO_ERR'!A25, ":"))))</f>
        <v>0</v>
      </c>
    </row>
    <row r="26" spans="1:1">
      <c r="A26" s="39">
        <f>IF('3757 - Wall Stickers (S)'!B26 = "", "", IF('3757-S-WUO_ERR'!A26 = "", "Validated", HYPERLINK("#" &amp; ADDRESS(ROW('3757-S-WUO_TRK'!A26), '3757-S-WUO_TRK'!A26), _xlfn.TEXTAFTER('3757-S-WUO_ERR'!A26, ":"))))</f>
        <v>0</v>
      </c>
    </row>
    <row r="27" spans="1:1">
      <c r="A27" s="39">
        <f>IF('3757 - Wall Stickers (S)'!B27 = "", "", IF('3757-S-WUO_ERR'!A27 = "", "Validated", HYPERLINK("#" &amp; ADDRESS(ROW('3757-S-WUO_TRK'!A27), '3757-S-WUO_TRK'!A27), _xlfn.TEXTAFTER('3757-S-WUO_ERR'!A27, ":"))))</f>
        <v>0</v>
      </c>
    </row>
    <row r="28" spans="1:1">
      <c r="A28" s="39">
        <f>IF('3757 - Wall Stickers (S)'!B28 = "", "", IF('3757-S-WUO_ERR'!A28 = "", "Validated", HYPERLINK("#" &amp; ADDRESS(ROW('3757-S-WUO_TRK'!A28), '3757-S-WUO_TRK'!A28), _xlfn.TEXTAFTER('3757-S-WUO_ERR'!A28, ":"))))</f>
        <v>0</v>
      </c>
    </row>
    <row r="29" spans="1:1">
      <c r="A29" s="39">
        <f>IF('3757 - Wall Stickers (S)'!B29 = "", "", IF('3757-S-WUO_ERR'!A29 = "", "Validated", HYPERLINK("#" &amp; ADDRESS(ROW('3757-S-WUO_TRK'!A29), '3757-S-WUO_TRK'!A29), _xlfn.TEXTAFTER('3757-S-WUO_ERR'!A29, ":"))))</f>
        <v>0</v>
      </c>
    </row>
    <row r="30" spans="1:1">
      <c r="A30" s="39">
        <f>IF('3757 - Wall Stickers (S)'!B30 = "", "", IF('3757-S-WUO_ERR'!A30 = "", "Validated", HYPERLINK("#" &amp; ADDRESS(ROW('3757-S-WUO_TRK'!A30), '3757-S-WUO_TRK'!A30), _xlfn.TEXTAFTER('3757-S-WUO_ERR'!A30, ":"))))</f>
        <v>0</v>
      </c>
    </row>
    <row r="31" spans="1:1">
      <c r="A31" s="39">
        <f>IF('3757 - Wall Stickers (S)'!B31 = "", "", IF('3757-S-WUO_ERR'!A31 = "", "Validated", HYPERLINK("#" &amp; ADDRESS(ROW('3757-S-WUO_TRK'!A31), '3757-S-WUO_TRK'!A31), _xlfn.TEXTAFTER('3757-S-WUO_ERR'!A31, ":"))))</f>
        <v>0</v>
      </c>
    </row>
    <row r="32" spans="1:1">
      <c r="A32" s="39">
        <f>IF('3757 - Wall Stickers (S)'!B32 = "", "", IF('3757-S-WUO_ERR'!A32 = "", "Validated", HYPERLINK("#" &amp; ADDRESS(ROW('3757-S-WUO_TRK'!A32), '3757-S-WUO_TRK'!A32), _xlfn.TEXTAFTER('3757-S-WUO_ERR'!A32, ":"))))</f>
        <v>0</v>
      </c>
    </row>
    <row r="33" spans="1:1">
      <c r="A33" s="39">
        <f>IF('3757 - Wall Stickers (S)'!B33 = "", "", IF('3757-S-WUO_ERR'!A33 = "", "Validated", HYPERLINK("#" &amp; ADDRESS(ROW('3757-S-WUO_TRK'!A33), '3757-S-WUO_TRK'!A33), _xlfn.TEXTAFTER('3757-S-WUO_ERR'!A33, ":"))))</f>
        <v>0</v>
      </c>
    </row>
    <row r="34" spans="1:1">
      <c r="A34" s="39">
        <f>IF('3757 - Wall Stickers (S)'!B34 = "", "", IF('3757-S-WUO_ERR'!A34 = "", "Validated", HYPERLINK("#" &amp; ADDRESS(ROW('3757-S-WUO_TRK'!A34), '3757-S-WUO_TRK'!A34), _xlfn.TEXTAFTER('3757-S-WUO_ERR'!A34, ":"))))</f>
        <v>0</v>
      </c>
    </row>
    <row r="35" spans="1:1">
      <c r="A35" s="39">
        <f>IF('3757 - Wall Stickers (S)'!B35 = "", "", IF('3757-S-WUO_ERR'!A35 = "", "Validated", HYPERLINK("#" &amp; ADDRESS(ROW('3757-S-WUO_TRK'!A35), '3757-S-WUO_TRK'!A35), _xlfn.TEXTAFTER('3757-S-WUO_ERR'!A35, ":"))))</f>
        <v>0</v>
      </c>
    </row>
    <row r="36" spans="1:1">
      <c r="A36" s="39">
        <f>IF('3757 - Wall Stickers (S)'!B36 = "", "", IF('3757-S-WUO_ERR'!A36 = "", "Validated", HYPERLINK("#" &amp; ADDRESS(ROW('3757-S-WUO_TRK'!A36), '3757-S-WUO_TRK'!A36), _xlfn.TEXTAFTER('3757-S-WUO_ERR'!A36, ":"))))</f>
        <v>0</v>
      </c>
    </row>
    <row r="37" spans="1:1">
      <c r="A37" s="39">
        <f>IF('3757 - Wall Stickers (S)'!B37 = "", "", IF('3757-S-WUO_ERR'!A37 = "", "Validated", HYPERLINK("#" &amp; ADDRESS(ROW('3757-S-WUO_TRK'!A37), '3757-S-WUO_TRK'!A37), _xlfn.TEXTAFTER('3757-S-WUO_ERR'!A37, ":"))))</f>
        <v>0</v>
      </c>
    </row>
    <row r="38" spans="1:1">
      <c r="A38" s="39">
        <f>IF('3757 - Wall Stickers (S)'!B38 = "", "", IF('3757-S-WUO_ERR'!A38 = "", "Validated", HYPERLINK("#" &amp; ADDRESS(ROW('3757-S-WUO_TRK'!A38), '3757-S-WUO_TRK'!A38), _xlfn.TEXTAFTER('3757-S-WUO_ERR'!A38, ":"))))</f>
        <v>0</v>
      </c>
    </row>
    <row r="39" spans="1:1">
      <c r="A39" s="39">
        <f>IF('3757 - Wall Stickers (S)'!B39 = "", "", IF('3757-S-WUO_ERR'!A39 = "", "Validated", HYPERLINK("#" &amp; ADDRESS(ROW('3757-S-WUO_TRK'!A39), '3757-S-WUO_TRK'!A39), _xlfn.TEXTAFTER('3757-S-WUO_ERR'!A39, ":"))))</f>
        <v>0</v>
      </c>
    </row>
    <row r="40" spans="1:1">
      <c r="A40" s="39">
        <f>IF('3757 - Wall Stickers (S)'!B40 = "", "", IF('3757-S-WUO_ERR'!A40 = "", "Validated", HYPERLINK("#" &amp; ADDRESS(ROW('3757-S-WUO_TRK'!A40), '3757-S-WUO_TRK'!A40), _xlfn.TEXTAFTER('3757-S-WUO_ERR'!A40, ":"))))</f>
        <v>0</v>
      </c>
    </row>
    <row r="41" spans="1:1">
      <c r="A41" s="39">
        <f>IF('3757 - Wall Stickers (S)'!B41 = "", "", IF('3757-S-WUO_ERR'!A41 = "", "Validated", HYPERLINK("#" &amp; ADDRESS(ROW('3757-S-WUO_TRK'!A41), '3757-S-WUO_TRK'!A41), _xlfn.TEXTAFTER('3757-S-WUO_ERR'!A41, ":"))))</f>
        <v>0</v>
      </c>
    </row>
    <row r="42" spans="1:1">
      <c r="A42" s="39">
        <f>IF('3757 - Wall Stickers (S)'!B42 = "", "", IF('3757-S-WUO_ERR'!A42 = "", "Validated", HYPERLINK("#" &amp; ADDRESS(ROW('3757-S-WUO_TRK'!A42), '3757-S-WUO_TRK'!A42), _xlfn.TEXTAFTER('3757-S-WUO_ERR'!A42, ":"))))</f>
        <v>0</v>
      </c>
    </row>
    <row r="43" spans="1:1">
      <c r="A43" s="39">
        <f>IF('3757 - Wall Stickers (S)'!B43 = "", "", IF('3757-S-WUO_ERR'!A43 = "", "Validated", HYPERLINK("#" &amp; ADDRESS(ROW('3757-S-WUO_TRK'!A43), '3757-S-WUO_TRK'!A43), _xlfn.TEXTAFTER('3757-S-WUO_ERR'!A43, ":"))))</f>
        <v>0</v>
      </c>
    </row>
    <row r="44" spans="1:1">
      <c r="A44" s="39">
        <f>IF('3757 - Wall Stickers (S)'!B44 = "", "", IF('3757-S-WUO_ERR'!A44 = "", "Validated", HYPERLINK("#" &amp; ADDRESS(ROW('3757-S-WUO_TRK'!A44), '3757-S-WUO_TRK'!A44), _xlfn.TEXTAFTER('3757-S-WUO_ERR'!A44, ":"))))</f>
        <v>0</v>
      </c>
    </row>
    <row r="45" spans="1:1">
      <c r="A45" s="39">
        <f>IF('3757 - Wall Stickers (S)'!B45 = "", "", IF('3757-S-WUO_ERR'!A45 = "", "Validated", HYPERLINK("#" &amp; ADDRESS(ROW('3757-S-WUO_TRK'!A45), '3757-S-WUO_TRK'!A45), _xlfn.TEXTAFTER('3757-S-WUO_ERR'!A45, ":"))))</f>
        <v>0</v>
      </c>
    </row>
    <row r="46" spans="1:1">
      <c r="A46" s="39">
        <f>IF('3757 - Wall Stickers (S)'!B46 = "", "", IF('3757-S-WUO_ERR'!A46 = "", "Validated", HYPERLINK("#" &amp; ADDRESS(ROW('3757-S-WUO_TRK'!A46), '3757-S-WUO_TRK'!A46), _xlfn.TEXTAFTER('3757-S-WUO_ERR'!A46, ":"))))</f>
        <v>0</v>
      </c>
    </row>
    <row r="47" spans="1:1">
      <c r="A47" s="39">
        <f>IF('3757 - Wall Stickers (S)'!B47 = "", "", IF('3757-S-WUO_ERR'!A47 = "", "Validated", HYPERLINK("#" &amp; ADDRESS(ROW('3757-S-WUO_TRK'!A47), '3757-S-WUO_TRK'!A47), _xlfn.TEXTAFTER('3757-S-WUO_ERR'!A47, ":"))))</f>
        <v>0</v>
      </c>
    </row>
    <row r="48" spans="1:1">
      <c r="A48" s="39">
        <f>IF('3757 - Wall Stickers (S)'!B48 = "", "", IF('3757-S-WUO_ERR'!A48 = "", "Validated", HYPERLINK("#" &amp; ADDRESS(ROW('3757-S-WUO_TRK'!A48), '3757-S-WUO_TRK'!A48), _xlfn.TEXTAFTER('3757-S-WUO_ERR'!A48, ":"))))</f>
        <v>0</v>
      </c>
    </row>
    <row r="49" spans="1:1">
      <c r="A49" s="39">
        <f>IF('3757 - Wall Stickers (S)'!B49 = "", "", IF('3757-S-WUO_ERR'!A49 = "", "Validated", HYPERLINK("#" &amp; ADDRESS(ROW('3757-S-WUO_TRK'!A49), '3757-S-WUO_TRK'!A49), _xlfn.TEXTAFTER('3757-S-WUO_ERR'!A49, ":"))))</f>
        <v>0</v>
      </c>
    </row>
    <row r="50" spans="1:1">
      <c r="A50" s="39">
        <f>IF('3757 - Wall Stickers (S)'!B50 = "", "", IF('3757-S-WUO_ERR'!A50 = "", "Validated", HYPERLINK("#" &amp; ADDRESS(ROW('3757-S-WUO_TRK'!A50), '3757-S-WUO_TRK'!A50), _xlfn.TEXTAFTER('3757-S-WUO_ERR'!A50, ":"))))</f>
        <v>0</v>
      </c>
    </row>
    <row r="51" spans="1:1">
      <c r="A51" s="39">
        <f>IF('3757 - Wall Stickers (S)'!B51 = "", "", IF('3757-S-WUO_ERR'!A51 = "", "Validated", HYPERLINK("#" &amp; ADDRESS(ROW('3757-S-WUO_TRK'!A51), '3757-S-WUO_TRK'!A51), _xlfn.TEXTAFTER('3757-S-WUO_ERR'!A51, ":"))))</f>
        <v>0</v>
      </c>
    </row>
    <row r="52" spans="1:1">
      <c r="A52" s="39">
        <f>IF('3757 - Wall Stickers (S)'!B52 = "", "", IF('3757-S-WUO_ERR'!A52 = "", "Validated", HYPERLINK("#" &amp; ADDRESS(ROW('3757-S-WUO_TRK'!A52), '3757-S-WUO_TRK'!A52), _xlfn.TEXTAFTER('3757-S-WUO_ERR'!A52, ":"))))</f>
        <v>0</v>
      </c>
    </row>
    <row r="53" spans="1:1">
      <c r="A53" s="39">
        <f>IF('3757 - Wall Stickers (S)'!B53 = "", "", IF('3757-S-WUO_ERR'!A53 = "", "Validated", HYPERLINK("#" &amp; ADDRESS(ROW('3757-S-WUO_TRK'!A53), '3757-S-WUO_TRK'!A53), _xlfn.TEXTAFTER('3757-S-WUO_ERR'!A53, ":"))))</f>
        <v>0</v>
      </c>
    </row>
    <row r="54" spans="1:1">
      <c r="A54" s="39">
        <f>IF('3757 - Wall Stickers (S)'!B54 = "", "", IF('3757-S-WUO_ERR'!A54 = "", "Validated", HYPERLINK("#" &amp; ADDRESS(ROW('3757-S-WUO_TRK'!A54), '3757-S-WUO_TRK'!A54), _xlfn.TEXTAFTER('3757-S-WUO_ERR'!A54, ":"))))</f>
        <v>0</v>
      </c>
    </row>
    <row r="55" spans="1:1">
      <c r="A55" s="39">
        <f>IF('3757 - Wall Stickers (S)'!B55 = "", "", IF('3757-S-WUO_ERR'!A55 = "", "Validated", HYPERLINK("#" &amp; ADDRESS(ROW('3757-S-WUO_TRK'!A55), '3757-S-WUO_TRK'!A55), _xlfn.TEXTAFTER('3757-S-WUO_ERR'!A55, ":"))))</f>
        <v>0</v>
      </c>
    </row>
    <row r="56" spans="1:1">
      <c r="A56" s="39">
        <f>IF('3757 - Wall Stickers (S)'!B56 = "", "", IF('3757-S-WUO_ERR'!A56 = "", "Validated", HYPERLINK("#" &amp; ADDRESS(ROW('3757-S-WUO_TRK'!A56), '3757-S-WUO_TRK'!A56), _xlfn.TEXTAFTER('3757-S-WUO_ERR'!A56, ":"))))</f>
        <v>0</v>
      </c>
    </row>
    <row r="57" spans="1:1">
      <c r="A57" s="39">
        <f>IF('3757 - Wall Stickers (S)'!B57 = "", "", IF('3757-S-WUO_ERR'!A57 = "", "Validated", HYPERLINK("#" &amp; ADDRESS(ROW('3757-S-WUO_TRK'!A57), '3757-S-WUO_TRK'!A57), _xlfn.TEXTAFTER('3757-S-WUO_ERR'!A57, ":"))))</f>
        <v>0</v>
      </c>
    </row>
    <row r="58" spans="1:1">
      <c r="A58" s="39">
        <f>IF('3757 - Wall Stickers (S)'!B58 = "", "", IF('3757-S-WUO_ERR'!A58 = "", "Validated", HYPERLINK("#" &amp; ADDRESS(ROW('3757-S-WUO_TRK'!A58), '3757-S-WUO_TRK'!A58), _xlfn.TEXTAFTER('3757-S-WUO_ERR'!A58, ":"))))</f>
        <v>0</v>
      </c>
    </row>
    <row r="59" spans="1:1">
      <c r="A59" s="39">
        <f>IF('3757 - Wall Stickers (S)'!B59 = "", "", IF('3757-S-WUO_ERR'!A59 = "", "Validated", HYPERLINK("#" &amp; ADDRESS(ROW('3757-S-WUO_TRK'!A59), '3757-S-WUO_TRK'!A59), _xlfn.TEXTAFTER('3757-S-WUO_ERR'!A59, ":"))))</f>
        <v>0</v>
      </c>
    </row>
    <row r="60" spans="1:1">
      <c r="A60" s="39">
        <f>IF('3757 - Wall Stickers (S)'!B60 = "", "", IF('3757-S-WUO_ERR'!A60 = "", "Validated", HYPERLINK("#" &amp; ADDRESS(ROW('3757-S-WUO_TRK'!A60), '3757-S-WUO_TRK'!A60), _xlfn.TEXTAFTER('3757-S-WUO_ERR'!A60, ":"))))</f>
        <v>0</v>
      </c>
    </row>
    <row r="61" spans="1:1">
      <c r="A61" s="39">
        <f>IF('3757 - Wall Stickers (S)'!B61 = "", "", IF('3757-S-WUO_ERR'!A61 = "", "Validated", HYPERLINK("#" &amp; ADDRESS(ROW('3757-S-WUO_TRK'!A61), '3757-S-WUO_TRK'!A61), _xlfn.TEXTAFTER('3757-S-WUO_ERR'!A61, ":"))))</f>
        <v>0</v>
      </c>
    </row>
    <row r="62" spans="1:1">
      <c r="A62" s="39">
        <f>IF('3757 - Wall Stickers (S)'!B62 = "", "", IF('3757-S-WUO_ERR'!A62 = "", "Validated", HYPERLINK("#" &amp; ADDRESS(ROW('3757-S-WUO_TRK'!A62), '3757-S-WUO_TRK'!A62), _xlfn.TEXTAFTER('3757-S-WUO_ERR'!A62, ":"))))</f>
        <v>0</v>
      </c>
    </row>
    <row r="63" spans="1:1">
      <c r="A63" s="39">
        <f>IF('3757 - Wall Stickers (S)'!B63 = "", "", IF('3757-S-WUO_ERR'!A63 = "", "Validated", HYPERLINK("#" &amp; ADDRESS(ROW('3757-S-WUO_TRK'!A63), '3757-S-WUO_TRK'!A63), _xlfn.TEXTAFTER('3757-S-WUO_ERR'!A63, ":"))))</f>
        <v>0</v>
      </c>
    </row>
    <row r="64" spans="1:1">
      <c r="A64" s="39">
        <f>IF('3757 - Wall Stickers (S)'!B64 = "", "", IF('3757-S-WUO_ERR'!A64 = "", "Validated", HYPERLINK("#" &amp; ADDRESS(ROW('3757-S-WUO_TRK'!A64), '3757-S-WUO_TRK'!A64), _xlfn.TEXTAFTER('3757-S-WUO_ERR'!A64, ":"))))</f>
        <v>0</v>
      </c>
    </row>
    <row r="65" spans="1:1">
      <c r="A65" s="39">
        <f>IF('3757 - Wall Stickers (S)'!B65 = "", "", IF('3757-S-WUO_ERR'!A65 = "", "Validated", HYPERLINK("#" &amp; ADDRESS(ROW('3757-S-WUO_TRK'!A65), '3757-S-WUO_TRK'!A65), _xlfn.TEXTAFTER('3757-S-WUO_ERR'!A65, ":"))))</f>
        <v>0</v>
      </c>
    </row>
    <row r="66" spans="1:1">
      <c r="A66" s="39">
        <f>IF('3757 - Wall Stickers (S)'!B66 = "", "", IF('3757-S-WUO_ERR'!A66 = "", "Validated", HYPERLINK("#" &amp; ADDRESS(ROW('3757-S-WUO_TRK'!A66), '3757-S-WUO_TRK'!A66), _xlfn.TEXTAFTER('3757-S-WUO_ERR'!A66, ":"))))</f>
        <v>0</v>
      </c>
    </row>
    <row r="67" spans="1:1">
      <c r="A67" s="39">
        <f>IF('3757 - Wall Stickers (S)'!B67 = "", "", IF('3757-S-WUO_ERR'!A67 = "", "Validated", HYPERLINK("#" &amp; ADDRESS(ROW('3757-S-WUO_TRK'!A67), '3757-S-WUO_TRK'!A67), _xlfn.TEXTAFTER('3757-S-WUO_ERR'!A67, ":"))))</f>
        <v>0</v>
      </c>
    </row>
    <row r="68" spans="1:1">
      <c r="A68" s="39">
        <f>IF('3757 - Wall Stickers (S)'!B68 = "", "", IF('3757-S-WUO_ERR'!A68 = "", "Validated", HYPERLINK("#" &amp; ADDRESS(ROW('3757-S-WUO_TRK'!A68), '3757-S-WUO_TRK'!A68), _xlfn.TEXTAFTER('3757-S-WUO_ERR'!A68, ":"))))</f>
        <v>0</v>
      </c>
    </row>
    <row r="69" spans="1:1">
      <c r="A69" s="39">
        <f>IF('3757 - Wall Stickers (S)'!B69 = "", "", IF('3757-S-WUO_ERR'!A69 = "", "Validated", HYPERLINK("#" &amp; ADDRESS(ROW('3757-S-WUO_TRK'!A69), '3757-S-WUO_TRK'!A69), _xlfn.TEXTAFTER('3757-S-WUO_ERR'!A69, ":"))))</f>
        <v>0</v>
      </c>
    </row>
    <row r="70" spans="1:1">
      <c r="A70" s="39">
        <f>IF('3757 - Wall Stickers (S)'!B70 = "", "", IF('3757-S-WUO_ERR'!A70 = "", "Validated", HYPERLINK("#" &amp; ADDRESS(ROW('3757-S-WUO_TRK'!A70), '3757-S-WUO_TRK'!A70), _xlfn.TEXTAFTER('3757-S-WUO_ERR'!A70, ":"))))</f>
        <v>0</v>
      </c>
    </row>
    <row r="71" spans="1:1">
      <c r="A71" s="39">
        <f>IF('3757 - Wall Stickers (S)'!B71 = "", "", IF('3757-S-WUO_ERR'!A71 = "", "Validated", HYPERLINK("#" &amp; ADDRESS(ROW('3757-S-WUO_TRK'!A71), '3757-S-WUO_TRK'!A71), _xlfn.TEXTAFTER('3757-S-WUO_ERR'!A71, ":"))))</f>
        <v>0</v>
      </c>
    </row>
    <row r="72" spans="1:1">
      <c r="A72" s="39">
        <f>IF('3757 - Wall Stickers (S)'!B72 = "", "", IF('3757-S-WUO_ERR'!A72 = "", "Validated", HYPERLINK("#" &amp; ADDRESS(ROW('3757-S-WUO_TRK'!A72), '3757-S-WUO_TRK'!A72), _xlfn.TEXTAFTER('3757-S-WUO_ERR'!A72, ":"))))</f>
        <v>0</v>
      </c>
    </row>
    <row r="73" spans="1:1">
      <c r="A73" s="39">
        <f>IF('3757 - Wall Stickers (S)'!B73 = "", "", IF('3757-S-WUO_ERR'!A73 = "", "Validated", HYPERLINK("#" &amp; ADDRESS(ROW('3757-S-WUO_TRK'!A73), '3757-S-WUO_TRK'!A73), _xlfn.TEXTAFTER('3757-S-WUO_ERR'!A73, ":"))))</f>
        <v>0</v>
      </c>
    </row>
    <row r="74" spans="1:1">
      <c r="A74" s="39">
        <f>IF('3757 - Wall Stickers (S)'!B74 = "", "", IF('3757-S-WUO_ERR'!A74 = "", "Validated", HYPERLINK("#" &amp; ADDRESS(ROW('3757-S-WUO_TRK'!A74), '3757-S-WUO_TRK'!A74), _xlfn.TEXTAFTER('3757-S-WUO_ERR'!A74, ":"))))</f>
        <v>0</v>
      </c>
    </row>
    <row r="75" spans="1:1">
      <c r="A75" s="39">
        <f>IF('3757 - Wall Stickers (S)'!B75 = "", "", IF('3757-S-WUO_ERR'!A75 = "", "Validated", HYPERLINK("#" &amp; ADDRESS(ROW('3757-S-WUO_TRK'!A75), '3757-S-WUO_TRK'!A75), _xlfn.TEXTAFTER('3757-S-WUO_ERR'!A75, ":"))))</f>
        <v>0</v>
      </c>
    </row>
    <row r="76" spans="1:1">
      <c r="A76" s="39">
        <f>IF('3757 - Wall Stickers (S)'!B76 = "", "", IF('3757-S-WUO_ERR'!A76 = "", "Validated", HYPERLINK("#" &amp; ADDRESS(ROW('3757-S-WUO_TRK'!A76), '3757-S-WUO_TRK'!A76), _xlfn.TEXTAFTER('3757-S-WUO_ERR'!A76, ":"))))</f>
        <v>0</v>
      </c>
    </row>
    <row r="77" spans="1:1">
      <c r="A77" s="39">
        <f>IF('3757 - Wall Stickers (S)'!B77 = "", "", IF('3757-S-WUO_ERR'!A77 = "", "Validated", HYPERLINK("#" &amp; ADDRESS(ROW('3757-S-WUO_TRK'!A77), '3757-S-WUO_TRK'!A77), _xlfn.TEXTAFTER('3757-S-WUO_ERR'!A77, ":"))))</f>
        <v>0</v>
      </c>
    </row>
    <row r="78" spans="1:1">
      <c r="A78" s="39">
        <f>IF('3757 - Wall Stickers (S)'!B78 = "", "", IF('3757-S-WUO_ERR'!A78 = "", "Validated", HYPERLINK("#" &amp; ADDRESS(ROW('3757-S-WUO_TRK'!A78), '3757-S-WUO_TRK'!A78), _xlfn.TEXTAFTER('3757-S-WUO_ERR'!A78, ":"))))</f>
        <v>0</v>
      </c>
    </row>
    <row r="79" spans="1:1">
      <c r="A79" s="39">
        <f>IF('3757 - Wall Stickers (S)'!B79 = "", "", IF('3757-S-WUO_ERR'!A79 = "", "Validated", HYPERLINK("#" &amp; ADDRESS(ROW('3757-S-WUO_TRK'!A79), '3757-S-WUO_TRK'!A79), _xlfn.TEXTAFTER('3757-S-WUO_ERR'!A79, ":"))))</f>
        <v>0</v>
      </c>
    </row>
    <row r="80" spans="1:1">
      <c r="A80" s="39">
        <f>IF('3757 - Wall Stickers (S)'!B80 = "", "", IF('3757-S-WUO_ERR'!A80 = "", "Validated", HYPERLINK("#" &amp; ADDRESS(ROW('3757-S-WUO_TRK'!A80), '3757-S-WUO_TRK'!A80), _xlfn.TEXTAFTER('3757-S-WUO_ERR'!A80, ":"))))</f>
        <v>0</v>
      </c>
    </row>
    <row r="81" spans="1:1">
      <c r="A81" s="39">
        <f>IF('3757 - Wall Stickers (S)'!B81 = "", "", IF('3757-S-WUO_ERR'!A81 = "", "Validated", HYPERLINK("#" &amp; ADDRESS(ROW('3757-S-WUO_TRK'!A81), '3757-S-WUO_TRK'!A81), _xlfn.TEXTAFTER('3757-S-WUO_ERR'!A81, ":"))))</f>
        <v>0</v>
      </c>
    </row>
    <row r="82" spans="1:1">
      <c r="A82" s="39">
        <f>IF('3757 - Wall Stickers (S)'!B82 = "", "", IF('3757-S-WUO_ERR'!A82 = "", "Validated", HYPERLINK("#" &amp; ADDRESS(ROW('3757-S-WUO_TRK'!A82), '3757-S-WUO_TRK'!A82), _xlfn.TEXTAFTER('3757-S-WUO_ERR'!A82, ":"))))</f>
        <v>0</v>
      </c>
    </row>
    <row r="83" spans="1:1">
      <c r="A83" s="39">
        <f>IF('3757 - Wall Stickers (S)'!B83 = "", "", IF('3757-S-WUO_ERR'!A83 = "", "Validated", HYPERLINK("#" &amp; ADDRESS(ROW('3757-S-WUO_TRK'!A83), '3757-S-WUO_TRK'!A83), _xlfn.TEXTAFTER('3757-S-WUO_ERR'!A83, ":"))))</f>
        <v>0</v>
      </c>
    </row>
    <row r="84" spans="1:1">
      <c r="A84" s="39">
        <f>IF('3757 - Wall Stickers (S)'!B84 = "", "", IF('3757-S-WUO_ERR'!A84 = "", "Validated", HYPERLINK("#" &amp; ADDRESS(ROW('3757-S-WUO_TRK'!A84), '3757-S-WUO_TRK'!A84), _xlfn.TEXTAFTER('3757-S-WUO_ERR'!A84, ":"))))</f>
        <v>0</v>
      </c>
    </row>
    <row r="85" spans="1:1">
      <c r="A85" s="39">
        <f>IF('3757 - Wall Stickers (S)'!B85 = "", "", IF('3757-S-WUO_ERR'!A85 = "", "Validated", HYPERLINK("#" &amp; ADDRESS(ROW('3757-S-WUO_TRK'!A85), '3757-S-WUO_TRK'!A85), _xlfn.TEXTAFTER('3757-S-WUO_ERR'!A85, ":"))))</f>
        <v>0</v>
      </c>
    </row>
    <row r="86" spans="1:1">
      <c r="A86" s="39">
        <f>IF('3757 - Wall Stickers (S)'!B86 = "", "", IF('3757-S-WUO_ERR'!A86 = "", "Validated", HYPERLINK("#" &amp; ADDRESS(ROW('3757-S-WUO_TRK'!A86), '3757-S-WUO_TRK'!A86), _xlfn.TEXTAFTER('3757-S-WUO_ERR'!A86, ":"))))</f>
        <v>0</v>
      </c>
    </row>
    <row r="87" spans="1:1">
      <c r="A87" s="39">
        <f>IF('3757 - Wall Stickers (S)'!B87 = "", "", IF('3757-S-WUO_ERR'!A87 = "", "Validated", HYPERLINK("#" &amp; ADDRESS(ROW('3757-S-WUO_TRK'!A87), '3757-S-WUO_TRK'!A87), _xlfn.TEXTAFTER('3757-S-WUO_ERR'!A87, ":"))))</f>
        <v>0</v>
      </c>
    </row>
    <row r="88" spans="1:1">
      <c r="A88" s="39">
        <f>IF('3757 - Wall Stickers (S)'!B88 = "", "", IF('3757-S-WUO_ERR'!A88 = "", "Validated", HYPERLINK("#" &amp; ADDRESS(ROW('3757-S-WUO_TRK'!A88), '3757-S-WUO_TRK'!A88), _xlfn.TEXTAFTER('3757-S-WUO_ERR'!A88, ":"))))</f>
        <v>0</v>
      </c>
    </row>
    <row r="89" spans="1:1">
      <c r="A89" s="39">
        <f>IF('3757 - Wall Stickers (S)'!B89 = "", "", IF('3757-S-WUO_ERR'!A89 = "", "Validated", HYPERLINK("#" &amp; ADDRESS(ROW('3757-S-WUO_TRK'!A89), '3757-S-WUO_TRK'!A89), _xlfn.TEXTAFTER('3757-S-WUO_ERR'!A89, ":"))))</f>
        <v>0</v>
      </c>
    </row>
    <row r="90" spans="1:1">
      <c r="A90" s="39">
        <f>IF('3757 - Wall Stickers (S)'!B90 = "", "", IF('3757-S-WUO_ERR'!A90 = "", "Validated", HYPERLINK("#" &amp; ADDRESS(ROW('3757-S-WUO_TRK'!A90), '3757-S-WUO_TRK'!A90), _xlfn.TEXTAFTER('3757-S-WUO_ERR'!A90, ":"))))</f>
        <v>0</v>
      </c>
    </row>
    <row r="91" spans="1:1">
      <c r="A91" s="39">
        <f>IF('3757 - Wall Stickers (S)'!B91 = "", "", IF('3757-S-WUO_ERR'!A91 = "", "Validated", HYPERLINK("#" &amp; ADDRESS(ROW('3757-S-WUO_TRK'!A91), '3757-S-WUO_TRK'!A91), _xlfn.TEXTAFTER('3757-S-WUO_ERR'!A91, ":"))))</f>
        <v>0</v>
      </c>
    </row>
    <row r="92" spans="1:1">
      <c r="A92" s="39">
        <f>IF('3757 - Wall Stickers (S)'!B92 = "", "", IF('3757-S-WUO_ERR'!A92 = "", "Validated", HYPERLINK("#" &amp; ADDRESS(ROW('3757-S-WUO_TRK'!A92), '3757-S-WUO_TRK'!A92), _xlfn.TEXTAFTER('3757-S-WUO_ERR'!A92, ":"))))</f>
        <v>0</v>
      </c>
    </row>
    <row r="93" spans="1:1">
      <c r="A93" s="39">
        <f>IF('3757 - Wall Stickers (S)'!B93 = "", "", IF('3757-S-WUO_ERR'!A93 = "", "Validated", HYPERLINK("#" &amp; ADDRESS(ROW('3757-S-WUO_TRK'!A93), '3757-S-WUO_TRK'!A93), _xlfn.TEXTAFTER('3757-S-WUO_ERR'!A93, ":"))))</f>
        <v>0</v>
      </c>
    </row>
    <row r="94" spans="1:1">
      <c r="A94" s="39">
        <f>IF('3757 - Wall Stickers (S)'!B94 = "", "", IF('3757-S-WUO_ERR'!A94 = "", "Validated", HYPERLINK("#" &amp; ADDRESS(ROW('3757-S-WUO_TRK'!A94), '3757-S-WUO_TRK'!A94), _xlfn.TEXTAFTER('3757-S-WUO_ERR'!A94, ":"))))</f>
        <v>0</v>
      </c>
    </row>
    <row r="95" spans="1:1">
      <c r="A95" s="39">
        <f>IF('3757 - Wall Stickers (S)'!B95 = "", "", IF('3757-S-WUO_ERR'!A95 = "", "Validated", HYPERLINK("#" &amp; ADDRESS(ROW('3757-S-WUO_TRK'!A95), '3757-S-WUO_TRK'!A95), _xlfn.TEXTAFTER('3757-S-WUO_ERR'!A95, ":"))))</f>
        <v>0</v>
      </c>
    </row>
    <row r="96" spans="1:1">
      <c r="A96" s="39">
        <f>IF('3757 - Wall Stickers (S)'!B96 = "", "", IF('3757-S-WUO_ERR'!A96 = "", "Validated", HYPERLINK("#" &amp; ADDRESS(ROW('3757-S-WUO_TRK'!A96), '3757-S-WUO_TRK'!A96), _xlfn.TEXTAFTER('3757-S-WUO_ERR'!A96, ":"))))</f>
        <v>0</v>
      </c>
    </row>
    <row r="97" spans="1:1">
      <c r="A97" s="39">
        <f>IF('3757 - Wall Stickers (S)'!B97 = "", "", IF('3757-S-WUO_ERR'!A97 = "", "Validated", HYPERLINK("#" &amp; ADDRESS(ROW('3757-S-WUO_TRK'!A97), '3757-S-WUO_TRK'!A97), _xlfn.TEXTAFTER('3757-S-WUO_ERR'!A97, ":"))))</f>
        <v>0</v>
      </c>
    </row>
    <row r="98" spans="1:1">
      <c r="A98" s="39">
        <f>IF('3757 - Wall Stickers (S)'!B98 = "", "", IF('3757-S-WUO_ERR'!A98 = "", "Validated", HYPERLINK("#" &amp; ADDRESS(ROW('3757-S-WUO_TRK'!A98), '3757-S-WUO_TRK'!A98), _xlfn.TEXTAFTER('3757-S-WUO_ERR'!A98, ":"))))</f>
        <v>0</v>
      </c>
    </row>
    <row r="99" spans="1:1">
      <c r="A99" s="39">
        <f>IF('3757 - Wall Stickers (S)'!B99 = "", "", IF('3757-S-WUO_ERR'!A99 = "", "Validated", HYPERLINK("#" &amp; ADDRESS(ROW('3757-S-WUO_TRK'!A99), '3757-S-WUO_TRK'!A99), _xlfn.TEXTAFTER('3757-S-WUO_ERR'!A99, ":"))))</f>
        <v>0</v>
      </c>
    </row>
    <row r="100" spans="1:1">
      <c r="A100" s="39">
        <f>IF('3757 - Wall Stickers (S)'!B100 = "", "", IF('3757-S-WUO_ERR'!A100 = "", "Validated", HYPERLINK("#" &amp; ADDRESS(ROW('3757-S-WUO_TRK'!A100), '3757-S-WUO_TRK'!A100), _xlfn.TEXTAFTER('3757-S-WUO_ERR'!A100, ":"))))</f>
        <v>0</v>
      </c>
    </row>
    <row r="101" spans="1:1">
      <c r="A101" s="39">
        <f>IF('3757 - Wall Stickers (S)'!B101 = "", "", IF('3757-S-WUO_ERR'!A101 = "", "Validated", HYPERLINK("#" &amp; ADDRESS(ROW('3757-S-WUO_TRK'!A101), '3757-S-WUO_TRK'!A101), _xlfn.TEXTAFTER('3757-S-WUO_ERR'!A101, ":"))))</f>
        <v>0</v>
      </c>
    </row>
    <row r="102" spans="1:1">
      <c r="A102" s="39">
        <f>IF('3757 - Wall Stickers (S)'!B102 = "", "", IF('3757-S-WUO_ERR'!A102 = "", "Validated", HYPERLINK("#" &amp; ADDRESS(ROW('3757-S-WUO_TRK'!A102), '3757-S-WUO_TRK'!A102), _xlfn.TEXTAFTER('3757-S-WUO_ERR'!A102, ":"))))</f>
        <v>0</v>
      </c>
    </row>
    <row r="103" spans="1:1">
      <c r="A103" s="39">
        <f>IF('3757 - Wall Stickers (S)'!B103 = "", "", IF('3757-S-WUO_ERR'!A103 = "", "Validated", HYPERLINK("#" &amp; ADDRESS(ROW('3757-S-WUO_TRK'!A103), '3757-S-WUO_TRK'!A103), _xlfn.TEXTAFTER('3757-S-WUO_ERR'!A103, ":"))))</f>
        <v>0</v>
      </c>
    </row>
    <row r="104" spans="1:1">
      <c r="A104" s="39">
        <f>IF('3757 - Wall Stickers (S)'!B104 = "", "", IF('3757-S-WUO_ERR'!A104 = "", "Validated", HYPERLINK("#" &amp; ADDRESS(ROW('3757-S-WUO_TRK'!A104), '3757-S-WUO_TRK'!A104), _xlfn.TEXTAFTER('3757-S-WUO_ERR'!A104, ":"))))</f>
        <v>0</v>
      </c>
    </row>
    <row r="105" spans="1:1">
      <c r="A105" s="39">
        <f>IF('3757 - Wall Stickers (S)'!B105 = "", "", IF('3757-S-WUO_ERR'!A105 = "", "Validated", HYPERLINK("#" &amp; ADDRESS(ROW('3757-S-WUO_TRK'!A105), '3757-S-WUO_TRK'!A105), _xlfn.TEXTAFTER('3757-S-WUO_ERR'!A105, ":"))))</f>
        <v>0</v>
      </c>
    </row>
    <row r="106" spans="1:1">
      <c r="A106" s="39">
        <f>IF('3757 - Wall Stickers (S)'!B106 = "", "", IF('3757-S-WUO_ERR'!A106 = "", "Validated", HYPERLINK("#" &amp; ADDRESS(ROW('3757-S-WUO_TRK'!A106), '3757-S-WUO_TRK'!A106), _xlfn.TEXTAFTER('3757-S-WUO_ERR'!A106, ":"))))</f>
        <v>0</v>
      </c>
    </row>
    <row r="107" spans="1:1">
      <c r="A107" s="39">
        <f>IF('3757 - Wall Stickers (S)'!B107 = "", "", IF('3757-S-WUO_ERR'!A107 = "", "Validated", HYPERLINK("#" &amp; ADDRESS(ROW('3757-S-WUO_TRK'!A107), '3757-S-WUO_TRK'!A107), _xlfn.TEXTAFTER('3757-S-WUO_ERR'!A107, ":"))))</f>
        <v>0</v>
      </c>
    </row>
    <row r="108" spans="1:1">
      <c r="A108" s="39">
        <f>IF('3757 - Wall Stickers (S)'!B108 = "", "", IF('3757-S-WUO_ERR'!A108 = "", "Validated", HYPERLINK("#" &amp; ADDRESS(ROW('3757-S-WUO_TRK'!A108), '3757-S-WUO_TRK'!A108), _xlfn.TEXTAFTER('3757-S-WUO_ERR'!A108, ":"))))</f>
        <v>0</v>
      </c>
    </row>
    <row r="109" spans="1:1">
      <c r="A109" s="39">
        <f>IF('3757 - Wall Stickers (S)'!B109 = "", "", IF('3757-S-WUO_ERR'!A109 = "", "Validated", HYPERLINK("#" &amp; ADDRESS(ROW('3757-S-WUO_TRK'!A109), '3757-S-WUO_TRK'!A109), _xlfn.TEXTAFTER('3757-S-WUO_ERR'!A109, ":"))))</f>
        <v>0</v>
      </c>
    </row>
    <row r="110" spans="1:1">
      <c r="A110" s="39">
        <f>IF('3757 - Wall Stickers (S)'!B110 = "", "", IF('3757-S-WUO_ERR'!A110 = "", "Validated", HYPERLINK("#" &amp; ADDRESS(ROW('3757-S-WUO_TRK'!A110), '3757-S-WUO_TRK'!A110), _xlfn.TEXTAFTER('3757-S-WUO_ERR'!A110, ":"))))</f>
        <v>0</v>
      </c>
    </row>
    <row r="111" spans="1:1">
      <c r="A111" s="39">
        <f>IF('3757 - Wall Stickers (S)'!B111 = "", "", IF('3757-S-WUO_ERR'!A111 = "", "Validated", HYPERLINK("#" &amp; ADDRESS(ROW('3757-S-WUO_TRK'!A111), '3757-S-WUO_TRK'!A111), _xlfn.TEXTAFTER('3757-S-WUO_ERR'!A111, ":"))))</f>
        <v>0</v>
      </c>
    </row>
    <row r="112" spans="1:1">
      <c r="A112" s="39">
        <f>IF('3757 - Wall Stickers (S)'!B112 = "", "", IF('3757-S-WUO_ERR'!A112 = "", "Validated", HYPERLINK("#" &amp; ADDRESS(ROW('3757-S-WUO_TRK'!A112), '3757-S-WUO_TRK'!A112), _xlfn.TEXTAFTER('3757-S-WUO_ERR'!A112, ":"))))</f>
        <v>0</v>
      </c>
    </row>
    <row r="113" spans="1:1">
      <c r="A113" s="39">
        <f>IF('3757 - Wall Stickers (S)'!B113 = "", "", IF('3757-S-WUO_ERR'!A113 = "", "Validated", HYPERLINK("#" &amp; ADDRESS(ROW('3757-S-WUO_TRK'!A113), '3757-S-WUO_TRK'!A113), _xlfn.TEXTAFTER('3757-S-WUO_ERR'!A113, ":"))))</f>
        <v>0</v>
      </c>
    </row>
    <row r="114" spans="1:1">
      <c r="A114" s="39">
        <f>IF('3757 - Wall Stickers (S)'!B114 = "", "", IF('3757-S-WUO_ERR'!A114 = "", "Validated", HYPERLINK("#" &amp; ADDRESS(ROW('3757-S-WUO_TRK'!A114), '3757-S-WUO_TRK'!A114), _xlfn.TEXTAFTER('3757-S-WUO_ERR'!A114, ":"))))</f>
        <v>0</v>
      </c>
    </row>
    <row r="115" spans="1:1">
      <c r="A115" s="39">
        <f>IF('3757 - Wall Stickers (S)'!B115 = "", "", IF('3757-S-WUO_ERR'!A115 = "", "Validated", HYPERLINK("#" &amp; ADDRESS(ROW('3757-S-WUO_TRK'!A115), '3757-S-WUO_TRK'!A115), _xlfn.TEXTAFTER('3757-S-WUO_ERR'!A115, ":"))))</f>
        <v>0</v>
      </c>
    </row>
    <row r="116" spans="1:1">
      <c r="A116" s="39">
        <f>IF('3757 - Wall Stickers (S)'!B116 = "", "", IF('3757-S-WUO_ERR'!A116 = "", "Validated", HYPERLINK("#" &amp; ADDRESS(ROW('3757-S-WUO_TRK'!A116), '3757-S-WUO_TRK'!A116), _xlfn.TEXTAFTER('3757-S-WUO_ERR'!A116, ":"))))</f>
        <v>0</v>
      </c>
    </row>
    <row r="117" spans="1:1">
      <c r="A117" s="39">
        <f>IF('3757 - Wall Stickers (S)'!B117 = "", "", IF('3757-S-WUO_ERR'!A117 = "", "Validated", HYPERLINK("#" &amp; ADDRESS(ROW('3757-S-WUO_TRK'!A117), '3757-S-WUO_TRK'!A117), _xlfn.TEXTAFTER('3757-S-WUO_ERR'!A117, ":"))))</f>
        <v>0</v>
      </c>
    </row>
    <row r="118" spans="1:1">
      <c r="A118" s="39">
        <f>IF('3757 - Wall Stickers (S)'!B118 = "", "", IF('3757-S-WUO_ERR'!A118 = "", "Validated", HYPERLINK("#" &amp; ADDRESS(ROW('3757-S-WUO_TRK'!A118), '3757-S-WUO_TRK'!A118), _xlfn.TEXTAFTER('3757-S-WUO_ERR'!A118, ":"))))</f>
        <v>0</v>
      </c>
    </row>
    <row r="119" spans="1:1">
      <c r="A119" s="39">
        <f>IF('3757 - Wall Stickers (S)'!B119 = "", "", IF('3757-S-WUO_ERR'!A119 = "", "Validated", HYPERLINK("#" &amp; ADDRESS(ROW('3757-S-WUO_TRK'!A119), '3757-S-WUO_TRK'!A119), _xlfn.TEXTAFTER('3757-S-WUO_ERR'!A119, ":"))))</f>
        <v>0</v>
      </c>
    </row>
    <row r="120" spans="1:1">
      <c r="A120" s="39">
        <f>IF('3757 - Wall Stickers (S)'!B120 = "", "", IF('3757-S-WUO_ERR'!A120 = "", "Validated", HYPERLINK("#" &amp; ADDRESS(ROW('3757-S-WUO_TRK'!A120), '3757-S-WUO_TRK'!A120), _xlfn.TEXTAFTER('3757-S-WUO_ERR'!A120, ":"))))</f>
        <v>0</v>
      </c>
    </row>
    <row r="121" spans="1:1">
      <c r="A121" s="39">
        <f>IF('3757 - Wall Stickers (S)'!B121 = "", "", IF('3757-S-WUO_ERR'!A121 = "", "Validated", HYPERLINK("#" &amp; ADDRESS(ROW('3757-S-WUO_TRK'!A121), '3757-S-WUO_TRK'!A121), _xlfn.TEXTAFTER('3757-S-WUO_ERR'!A121, ":"))))</f>
        <v>0</v>
      </c>
    </row>
    <row r="122" spans="1:1">
      <c r="A122" s="39">
        <f>IF('3757 - Wall Stickers (S)'!B122 = "", "", IF('3757-S-WUO_ERR'!A122 = "", "Validated", HYPERLINK("#" &amp; ADDRESS(ROW('3757-S-WUO_TRK'!A122), '3757-S-WUO_TRK'!A122), _xlfn.TEXTAFTER('3757-S-WUO_ERR'!A122, ":"))))</f>
        <v>0</v>
      </c>
    </row>
    <row r="123" spans="1:1">
      <c r="A123" s="39">
        <f>IF('3757 - Wall Stickers (S)'!B123 = "", "", IF('3757-S-WUO_ERR'!A123 = "", "Validated", HYPERLINK("#" &amp; ADDRESS(ROW('3757-S-WUO_TRK'!A123), '3757-S-WUO_TRK'!A123), _xlfn.TEXTAFTER('3757-S-WUO_ERR'!A123, ":"))))</f>
        <v>0</v>
      </c>
    </row>
    <row r="124" spans="1:1">
      <c r="A124" s="39">
        <f>IF('3757 - Wall Stickers (S)'!B124 = "", "", IF('3757-S-WUO_ERR'!A124 = "", "Validated", HYPERLINK("#" &amp; ADDRESS(ROW('3757-S-WUO_TRK'!A124), '3757-S-WUO_TRK'!A124), _xlfn.TEXTAFTER('3757-S-WUO_ERR'!A124, ":"))))</f>
        <v>0</v>
      </c>
    </row>
    <row r="125" spans="1:1">
      <c r="A125" s="39">
        <f>IF('3757 - Wall Stickers (S)'!B125 = "", "", IF('3757-S-WUO_ERR'!A125 = "", "Validated", HYPERLINK("#" &amp; ADDRESS(ROW('3757-S-WUO_TRK'!A125), '3757-S-WUO_TRK'!A125), _xlfn.TEXTAFTER('3757-S-WUO_ERR'!A125, ":"))))</f>
        <v>0</v>
      </c>
    </row>
    <row r="126" spans="1:1">
      <c r="A126" s="39">
        <f>IF('3757 - Wall Stickers (S)'!B126 = "", "", IF('3757-S-WUO_ERR'!A126 = "", "Validated", HYPERLINK("#" &amp; ADDRESS(ROW('3757-S-WUO_TRK'!A126), '3757-S-WUO_TRK'!A126), _xlfn.TEXTAFTER('3757-S-WUO_ERR'!A126, ":"))))</f>
        <v>0</v>
      </c>
    </row>
    <row r="127" spans="1:1">
      <c r="A127" s="39">
        <f>IF('3757 - Wall Stickers (S)'!B127 = "", "", IF('3757-S-WUO_ERR'!A127 = "", "Validated", HYPERLINK("#" &amp; ADDRESS(ROW('3757-S-WUO_TRK'!A127), '3757-S-WUO_TRK'!A127), _xlfn.TEXTAFTER('3757-S-WUO_ERR'!A127, ":"))))</f>
        <v>0</v>
      </c>
    </row>
    <row r="128" spans="1:1">
      <c r="A128" s="39">
        <f>IF('3757 - Wall Stickers (S)'!B128 = "", "", IF('3757-S-WUO_ERR'!A128 = "", "Validated", HYPERLINK("#" &amp; ADDRESS(ROW('3757-S-WUO_TRK'!A128), '3757-S-WUO_TRK'!A128), _xlfn.TEXTAFTER('3757-S-WUO_ERR'!A128, ":"))))</f>
        <v>0</v>
      </c>
    </row>
    <row r="129" spans="1:1">
      <c r="A129" s="39">
        <f>IF('3757 - Wall Stickers (S)'!B129 = "", "", IF('3757-S-WUO_ERR'!A129 = "", "Validated", HYPERLINK("#" &amp; ADDRESS(ROW('3757-S-WUO_TRK'!A129), '3757-S-WUO_TRK'!A129), _xlfn.TEXTAFTER('3757-S-WUO_ERR'!A129, ":"))))</f>
        <v>0</v>
      </c>
    </row>
    <row r="130" spans="1:1">
      <c r="A130" s="39">
        <f>IF('3757 - Wall Stickers (S)'!B130 = "", "", IF('3757-S-WUO_ERR'!A130 = "", "Validated", HYPERLINK("#" &amp; ADDRESS(ROW('3757-S-WUO_TRK'!A130), '3757-S-WUO_TRK'!A130), _xlfn.TEXTAFTER('3757-S-WUO_ERR'!A130, ":"))))</f>
        <v>0</v>
      </c>
    </row>
    <row r="131" spans="1:1">
      <c r="A131" s="39">
        <f>IF('3757 - Wall Stickers (S)'!B131 = "", "", IF('3757-S-WUO_ERR'!A131 = "", "Validated", HYPERLINK("#" &amp; ADDRESS(ROW('3757-S-WUO_TRK'!A131), '3757-S-WUO_TRK'!A131), _xlfn.TEXTAFTER('3757-S-WUO_ERR'!A131, ":"))))</f>
        <v>0</v>
      </c>
    </row>
    <row r="132" spans="1:1">
      <c r="A132" s="39">
        <f>IF('3757 - Wall Stickers (S)'!B132 = "", "", IF('3757-S-WUO_ERR'!A132 = "", "Validated", HYPERLINK("#" &amp; ADDRESS(ROW('3757-S-WUO_TRK'!A132), '3757-S-WUO_TRK'!A132), _xlfn.TEXTAFTER('3757-S-WUO_ERR'!A132, ":"))))</f>
        <v>0</v>
      </c>
    </row>
    <row r="133" spans="1:1">
      <c r="A133" s="39">
        <f>IF('3757 - Wall Stickers (S)'!B133 = "", "", IF('3757-S-WUO_ERR'!A133 = "", "Validated", HYPERLINK("#" &amp; ADDRESS(ROW('3757-S-WUO_TRK'!A133), '3757-S-WUO_TRK'!A133), _xlfn.TEXTAFTER('3757-S-WUO_ERR'!A133, ":"))))</f>
        <v>0</v>
      </c>
    </row>
    <row r="134" spans="1:1">
      <c r="A134" s="39">
        <f>IF('3757 - Wall Stickers (S)'!B134 = "", "", IF('3757-S-WUO_ERR'!A134 = "", "Validated", HYPERLINK("#" &amp; ADDRESS(ROW('3757-S-WUO_TRK'!A134), '3757-S-WUO_TRK'!A134), _xlfn.TEXTAFTER('3757-S-WUO_ERR'!A134, ":"))))</f>
        <v>0</v>
      </c>
    </row>
    <row r="135" spans="1:1">
      <c r="A135" s="39">
        <f>IF('3757 - Wall Stickers (S)'!B135 = "", "", IF('3757-S-WUO_ERR'!A135 = "", "Validated", HYPERLINK("#" &amp; ADDRESS(ROW('3757-S-WUO_TRK'!A135), '3757-S-WUO_TRK'!A135), _xlfn.TEXTAFTER('3757-S-WUO_ERR'!A135, ":"))))</f>
        <v>0</v>
      </c>
    </row>
    <row r="136" spans="1:1">
      <c r="A136" s="39">
        <f>IF('3757 - Wall Stickers (S)'!B136 = "", "", IF('3757-S-WUO_ERR'!A136 = "", "Validated", HYPERLINK("#" &amp; ADDRESS(ROW('3757-S-WUO_TRK'!A136), '3757-S-WUO_TRK'!A136), _xlfn.TEXTAFTER('3757-S-WUO_ERR'!A136, ":"))))</f>
        <v>0</v>
      </c>
    </row>
    <row r="137" spans="1:1">
      <c r="A137" s="39">
        <f>IF('3757 - Wall Stickers (S)'!B137 = "", "", IF('3757-S-WUO_ERR'!A137 = "", "Validated", HYPERLINK("#" &amp; ADDRESS(ROW('3757-S-WUO_TRK'!A137), '3757-S-WUO_TRK'!A137), _xlfn.TEXTAFTER('3757-S-WUO_ERR'!A137, ":"))))</f>
        <v>0</v>
      </c>
    </row>
    <row r="138" spans="1:1">
      <c r="A138" s="39">
        <f>IF('3757 - Wall Stickers (S)'!B138 = "", "", IF('3757-S-WUO_ERR'!A138 = "", "Validated", HYPERLINK("#" &amp; ADDRESS(ROW('3757-S-WUO_TRK'!A138), '3757-S-WUO_TRK'!A138), _xlfn.TEXTAFTER('3757-S-WUO_ERR'!A138, ":"))))</f>
        <v>0</v>
      </c>
    </row>
    <row r="139" spans="1:1">
      <c r="A139" s="39">
        <f>IF('3757 - Wall Stickers (S)'!B139 = "", "", IF('3757-S-WUO_ERR'!A139 = "", "Validated", HYPERLINK("#" &amp; ADDRESS(ROW('3757-S-WUO_TRK'!A139), '3757-S-WUO_TRK'!A139), _xlfn.TEXTAFTER('3757-S-WUO_ERR'!A139, ":"))))</f>
        <v>0</v>
      </c>
    </row>
    <row r="140" spans="1:1">
      <c r="A140" s="39">
        <f>IF('3757 - Wall Stickers (S)'!B140 = "", "", IF('3757-S-WUO_ERR'!A140 = "", "Validated", HYPERLINK("#" &amp; ADDRESS(ROW('3757-S-WUO_TRK'!A140), '3757-S-WUO_TRK'!A140), _xlfn.TEXTAFTER('3757-S-WUO_ERR'!A140, ":"))))</f>
        <v>0</v>
      </c>
    </row>
    <row r="141" spans="1:1">
      <c r="A141" s="39">
        <f>IF('3757 - Wall Stickers (S)'!B141 = "", "", IF('3757-S-WUO_ERR'!A141 = "", "Validated", HYPERLINK("#" &amp; ADDRESS(ROW('3757-S-WUO_TRK'!A141), '3757-S-WUO_TRK'!A141), _xlfn.TEXTAFTER('3757-S-WUO_ERR'!A141, ":"))))</f>
        <v>0</v>
      </c>
    </row>
    <row r="142" spans="1:1">
      <c r="A142" s="39">
        <f>IF('3757 - Wall Stickers (S)'!B142 = "", "", IF('3757-S-WUO_ERR'!A142 = "", "Validated", HYPERLINK("#" &amp; ADDRESS(ROW('3757-S-WUO_TRK'!A142), '3757-S-WUO_TRK'!A142), _xlfn.TEXTAFTER('3757-S-WUO_ERR'!A142, ":"))))</f>
        <v>0</v>
      </c>
    </row>
    <row r="143" spans="1:1">
      <c r="A143" s="39">
        <f>IF('3757 - Wall Stickers (S)'!B143 = "", "", IF('3757-S-WUO_ERR'!A143 = "", "Validated", HYPERLINK("#" &amp; ADDRESS(ROW('3757-S-WUO_TRK'!A143), '3757-S-WUO_TRK'!A143), _xlfn.TEXTAFTER('3757-S-WUO_ERR'!A143, ":"))))</f>
        <v>0</v>
      </c>
    </row>
    <row r="144" spans="1:1">
      <c r="A144" s="39">
        <f>IF('3757 - Wall Stickers (S)'!B144 = "", "", IF('3757-S-WUO_ERR'!A144 = "", "Validated", HYPERLINK("#" &amp; ADDRESS(ROW('3757-S-WUO_TRK'!A144), '3757-S-WUO_TRK'!A144), _xlfn.TEXTAFTER('3757-S-WUO_ERR'!A144, ":"))))</f>
        <v>0</v>
      </c>
    </row>
    <row r="145" spans="1:1">
      <c r="A145" s="39">
        <f>IF('3757 - Wall Stickers (S)'!B145 = "", "", IF('3757-S-WUO_ERR'!A145 = "", "Validated", HYPERLINK("#" &amp; ADDRESS(ROW('3757-S-WUO_TRK'!A145), '3757-S-WUO_TRK'!A145), _xlfn.TEXTAFTER('3757-S-WUO_ERR'!A145, ":"))))</f>
        <v>0</v>
      </c>
    </row>
    <row r="146" spans="1:1">
      <c r="A146" s="39">
        <f>IF('3757 - Wall Stickers (S)'!B146 = "", "", IF('3757-S-WUO_ERR'!A146 = "", "Validated", HYPERLINK("#" &amp; ADDRESS(ROW('3757-S-WUO_TRK'!A146), '3757-S-WUO_TRK'!A146), _xlfn.TEXTAFTER('3757-S-WUO_ERR'!A146, ":"))))</f>
        <v>0</v>
      </c>
    </row>
    <row r="147" spans="1:1">
      <c r="A147" s="39">
        <f>IF('3757 - Wall Stickers (S)'!B147 = "", "", IF('3757-S-WUO_ERR'!A147 = "", "Validated", HYPERLINK("#" &amp; ADDRESS(ROW('3757-S-WUO_TRK'!A147), '3757-S-WUO_TRK'!A147), _xlfn.TEXTAFTER('3757-S-WUO_ERR'!A147, ":"))))</f>
        <v>0</v>
      </c>
    </row>
    <row r="148" spans="1:1">
      <c r="A148" s="39">
        <f>IF('3757 - Wall Stickers (S)'!B148 = "", "", IF('3757-S-WUO_ERR'!A148 = "", "Validated", HYPERLINK("#" &amp; ADDRESS(ROW('3757-S-WUO_TRK'!A148), '3757-S-WUO_TRK'!A148), _xlfn.TEXTAFTER('3757-S-WUO_ERR'!A148, ":"))))</f>
        <v>0</v>
      </c>
    </row>
    <row r="149" spans="1:1">
      <c r="A149" s="39">
        <f>IF('3757 - Wall Stickers (S)'!B149 = "", "", IF('3757-S-WUO_ERR'!A149 = "", "Validated", HYPERLINK("#" &amp; ADDRESS(ROW('3757-S-WUO_TRK'!A149), '3757-S-WUO_TRK'!A149), _xlfn.TEXTAFTER('3757-S-WUO_ERR'!A149, ":"))))</f>
        <v>0</v>
      </c>
    </row>
    <row r="150" spans="1:1">
      <c r="A150" s="39">
        <f>IF('3757 - Wall Stickers (S)'!B150 = "", "", IF('3757-S-WUO_ERR'!A150 = "", "Validated", HYPERLINK("#" &amp; ADDRESS(ROW('3757-S-WUO_TRK'!A150), '3757-S-WUO_TRK'!A150), _xlfn.TEXTAFTER('3757-S-WUO_ERR'!A150, ":"))))</f>
        <v>0</v>
      </c>
    </row>
    <row r="151" spans="1:1">
      <c r="A151" s="39">
        <f>IF('3757 - Wall Stickers (S)'!B151 = "", "", IF('3757-S-WUO_ERR'!A151 = "", "Validated", HYPERLINK("#" &amp; ADDRESS(ROW('3757-S-WUO_TRK'!A151), '3757-S-WUO_TRK'!A151), _xlfn.TEXTAFTER('3757-S-WUO_ERR'!A151, ":"))))</f>
        <v>0</v>
      </c>
    </row>
    <row r="152" spans="1:1">
      <c r="A152" s="39">
        <f>IF('3757 - Wall Stickers (S)'!B152 = "", "", IF('3757-S-WUO_ERR'!A152 = "", "Validated", HYPERLINK("#" &amp; ADDRESS(ROW('3757-S-WUO_TRK'!A152), '3757-S-WUO_TRK'!A152), _xlfn.TEXTAFTER('3757-S-WUO_ERR'!A152, ":"))))</f>
        <v>0</v>
      </c>
    </row>
    <row r="153" spans="1:1">
      <c r="A153" s="39">
        <f>IF('3757 - Wall Stickers (S)'!B153 = "", "", IF('3757-S-WUO_ERR'!A153 = "", "Validated", HYPERLINK("#" &amp; ADDRESS(ROW('3757-S-WUO_TRK'!A153), '3757-S-WUO_TRK'!A153), _xlfn.TEXTAFTER('3757-S-WUO_ERR'!A153, ":"))))</f>
        <v>0</v>
      </c>
    </row>
    <row r="154" spans="1:1">
      <c r="A154" s="39">
        <f>IF('3757 - Wall Stickers (S)'!B154 = "", "", IF('3757-S-WUO_ERR'!A154 = "", "Validated", HYPERLINK("#" &amp; ADDRESS(ROW('3757-S-WUO_TRK'!A154), '3757-S-WUO_TRK'!A154), _xlfn.TEXTAFTER('3757-S-WUO_ERR'!A154, ":"))))</f>
        <v>0</v>
      </c>
    </row>
    <row r="155" spans="1:1">
      <c r="A155" s="39">
        <f>IF('3757 - Wall Stickers (S)'!B155 = "", "", IF('3757-S-WUO_ERR'!A155 = "", "Validated", HYPERLINK("#" &amp; ADDRESS(ROW('3757-S-WUO_TRK'!A155), '3757-S-WUO_TRK'!A155), _xlfn.TEXTAFTER('3757-S-WUO_ERR'!A155, ":"))))</f>
        <v>0</v>
      </c>
    </row>
    <row r="156" spans="1:1">
      <c r="A156" s="39">
        <f>IF('3757 - Wall Stickers (S)'!B156 = "", "", IF('3757-S-WUO_ERR'!A156 = "", "Validated", HYPERLINK("#" &amp; ADDRESS(ROW('3757-S-WUO_TRK'!A156), '3757-S-WUO_TRK'!A156), _xlfn.TEXTAFTER('3757-S-WUO_ERR'!A156, ":"))))</f>
        <v>0</v>
      </c>
    </row>
    <row r="157" spans="1:1">
      <c r="A157" s="39">
        <f>IF('3757 - Wall Stickers (S)'!B157 = "", "", IF('3757-S-WUO_ERR'!A157 = "", "Validated", HYPERLINK("#" &amp; ADDRESS(ROW('3757-S-WUO_TRK'!A157), '3757-S-WUO_TRK'!A157), _xlfn.TEXTAFTER('3757-S-WUO_ERR'!A157, ":"))))</f>
        <v>0</v>
      </c>
    </row>
    <row r="158" spans="1:1">
      <c r="A158" s="39">
        <f>IF('3757 - Wall Stickers (S)'!B158 = "", "", IF('3757-S-WUO_ERR'!A158 = "", "Validated", HYPERLINK("#" &amp; ADDRESS(ROW('3757-S-WUO_TRK'!A158), '3757-S-WUO_TRK'!A158), _xlfn.TEXTAFTER('3757-S-WUO_ERR'!A158, ":"))))</f>
        <v>0</v>
      </c>
    </row>
    <row r="159" spans="1:1">
      <c r="A159" s="39">
        <f>IF('3757 - Wall Stickers (S)'!B159 = "", "", IF('3757-S-WUO_ERR'!A159 = "", "Validated", HYPERLINK("#" &amp; ADDRESS(ROW('3757-S-WUO_TRK'!A159), '3757-S-WUO_TRK'!A159), _xlfn.TEXTAFTER('3757-S-WUO_ERR'!A159, ":"))))</f>
        <v>0</v>
      </c>
    </row>
    <row r="160" spans="1:1">
      <c r="A160" s="39">
        <f>IF('3757 - Wall Stickers (S)'!B160 = "", "", IF('3757-S-WUO_ERR'!A160 = "", "Validated", HYPERLINK("#" &amp; ADDRESS(ROW('3757-S-WUO_TRK'!A160), '3757-S-WUO_TRK'!A160), _xlfn.TEXTAFTER('3757-S-WUO_ERR'!A160, ":"))))</f>
        <v>0</v>
      </c>
    </row>
    <row r="161" spans="1:1">
      <c r="A161" s="39">
        <f>IF('3757 - Wall Stickers (S)'!B161 = "", "", IF('3757-S-WUO_ERR'!A161 = "", "Validated", HYPERLINK("#" &amp; ADDRESS(ROW('3757-S-WUO_TRK'!A161), '3757-S-WUO_TRK'!A161), _xlfn.TEXTAFTER('3757-S-WUO_ERR'!A161, ":"))))</f>
        <v>0</v>
      </c>
    </row>
    <row r="162" spans="1:1">
      <c r="A162" s="39">
        <f>IF('3757 - Wall Stickers (S)'!B162 = "", "", IF('3757-S-WUO_ERR'!A162 = "", "Validated", HYPERLINK("#" &amp; ADDRESS(ROW('3757-S-WUO_TRK'!A162), '3757-S-WUO_TRK'!A162), _xlfn.TEXTAFTER('3757-S-WUO_ERR'!A162, ":"))))</f>
        <v>0</v>
      </c>
    </row>
    <row r="163" spans="1:1">
      <c r="A163" s="39">
        <f>IF('3757 - Wall Stickers (S)'!B163 = "", "", IF('3757-S-WUO_ERR'!A163 = "", "Validated", HYPERLINK("#" &amp; ADDRESS(ROW('3757-S-WUO_TRK'!A163), '3757-S-WUO_TRK'!A163), _xlfn.TEXTAFTER('3757-S-WUO_ERR'!A163, ":"))))</f>
        <v>0</v>
      </c>
    </row>
    <row r="164" spans="1:1">
      <c r="A164" s="39">
        <f>IF('3757 - Wall Stickers (S)'!B164 = "", "", IF('3757-S-WUO_ERR'!A164 = "", "Validated", HYPERLINK("#" &amp; ADDRESS(ROW('3757-S-WUO_TRK'!A164), '3757-S-WUO_TRK'!A164), _xlfn.TEXTAFTER('3757-S-WUO_ERR'!A164, ":"))))</f>
        <v>0</v>
      </c>
    </row>
    <row r="165" spans="1:1">
      <c r="A165" s="39">
        <f>IF('3757 - Wall Stickers (S)'!B165 = "", "", IF('3757-S-WUO_ERR'!A165 = "", "Validated", HYPERLINK("#" &amp; ADDRESS(ROW('3757-S-WUO_TRK'!A165), '3757-S-WUO_TRK'!A165), _xlfn.TEXTAFTER('3757-S-WUO_ERR'!A165, ":"))))</f>
        <v>0</v>
      </c>
    </row>
    <row r="166" spans="1:1">
      <c r="A166" s="39">
        <f>IF('3757 - Wall Stickers (S)'!B166 = "", "", IF('3757-S-WUO_ERR'!A166 = "", "Validated", HYPERLINK("#" &amp; ADDRESS(ROW('3757-S-WUO_TRK'!A166), '3757-S-WUO_TRK'!A166), _xlfn.TEXTAFTER('3757-S-WUO_ERR'!A166, ":"))))</f>
        <v>0</v>
      </c>
    </row>
    <row r="167" spans="1:1">
      <c r="A167" s="39">
        <f>IF('3757 - Wall Stickers (S)'!B167 = "", "", IF('3757-S-WUO_ERR'!A167 = "", "Validated", HYPERLINK("#" &amp; ADDRESS(ROW('3757-S-WUO_TRK'!A167), '3757-S-WUO_TRK'!A167), _xlfn.TEXTAFTER('3757-S-WUO_ERR'!A167, ":"))))</f>
        <v>0</v>
      </c>
    </row>
    <row r="168" spans="1:1">
      <c r="A168" s="39">
        <f>IF('3757 - Wall Stickers (S)'!B168 = "", "", IF('3757-S-WUO_ERR'!A168 = "", "Validated", HYPERLINK("#" &amp; ADDRESS(ROW('3757-S-WUO_TRK'!A168), '3757-S-WUO_TRK'!A168), _xlfn.TEXTAFTER('3757-S-WUO_ERR'!A168, ":"))))</f>
        <v>0</v>
      </c>
    </row>
    <row r="169" spans="1:1">
      <c r="A169" s="39">
        <f>IF('3757 - Wall Stickers (S)'!B169 = "", "", IF('3757-S-WUO_ERR'!A169 = "", "Validated", HYPERLINK("#" &amp; ADDRESS(ROW('3757-S-WUO_TRK'!A169), '3757-S-WUO_TRK'!A169), _xlfn.TEXTAFTER('3757-S-WUO_ERR'!A169, ":"))))</f>
        <v>0</v>
      </c>
    </row>
    <row r="170" spans="1:1">
      <c r="A170" s="39">
        <f>IF('3757 - Wall Stickers (S)'!B170 = "", "", IF('3757-S-WUO_ERR'!A170 = "", "Validated", HYPERLINK("#" &amp; ADDRESS(ROW('3757-S-WUO_TRK'!A170), '3757-S-WUO_TRK'!A170), _xlfn.TEXTAFTER('3757-S-WUO_ERR'!A170, ":"))))</f>
        <v>0</v>
      </c>
    </row>
    <row r="171" spans="1:1">
      <c r="A171" s="39">
        <f>IF('3757 - Wall Stickers (S)'!B171 = "", "", IF('3757-S-WUO_ERR'!A171 = "", "Validated", HYPERLINK("#" &amp; ADDRESS(ROW('3757-S-WUO_TRK'!A171), '3757-S-WUO_TRK'!A171), _xlfn.TEXTAFTER('3757-S-WUO_ERR'!A171, ":"))))</f>
        <v>0</v>
      </c>
    </row>
    <row r="172" spans="1:1">
      <c r="A172" s="39">
        <f>IF('3757 - Wall Stickers (S)'!B172 = "", "", IF('3757-S-WUO_ERR'!A172 = "", "Validated", HYPERLINK("#" &amp; ADDRESS(ROW('3757-S-WUO_TRK'!A172), '3757-S-WUO_TRK'!A172), _xlfn.TEXTAFTER('3757-S-WUO_ERR'!A172, ":"))))</f>
        <v>0</v>
      </c>
    </row>
    <row r="173" spans="1:1">
      <c r="A173" s="39">
        <f>IF('3757 - Wall Stickers (S)'!B173 = "", "", IF('3757-S-WUO_ERR'!A173 = "", "Validated", HYPERLINK("#" &amp; ADDRESS(ROW('3757-S-WUO_TRK'!A173), '3757-S-WUO_TRK'!A173), _xlfn.TEXTAFTER('3757-S-WUO_ERR'!A173, ":"))))</f>
        <v>0</v>
      </c>
    </row>
    <row r="174" spans="1:1">
      <c r="A174" s="39">
        <f>IF('3757 - Wall Stickers (S)'!B174 = "", "", IF('3757-S-WUO_ERR'!A174 = "", "Validated", HYPERLINK("#" &amp; ADDRESS(ROW('3757-S-WUO_TRK'!A174), '3757-S-WUO_TRK'!A174), _xlfn.TEXTAFTER('3757-S-WUO_ERR'!A174, ":"))))</f>
        <v>0</v>
      </c>
    </row>
    <row r="175" spans="1:1">
      <c r="A175" s="39">
        <f>IF('3757 - Wall Stickers (S)'!B175 = "", "", IF('3757-S-WUO_ERR'!A175 = "", "Validated", HYPERLINK("#" &amp; ADDRESS(ROW('3757-S-WUO_TRK'!A175), '3757-S-WUO_TRK'!A175), _xlfn.TEXTAFTER('3757-S-WUO_ERR'!A175, ":"))))</f>
        <v>0</v>
      </c>
    </row>
    <row r="176" spans="1:1">
      <c r="A176" s="39">
        <f>IF('3757 - Wall Stickers (S)'!B176 = "", "", IF('3757-S-WUO_ERR'!A176 = "", "Validated", HYPERLINK("#" &amp; ADDRESS(ROW('3757-S-WUO_TRK'!A176), '3757-S-WUO_TRK'!A176), _xlfn.TEXTAFTER('3757-S-WUO_ERR'!A176, ":"))))</f>
        <v>0</v>
      </c>
    </row>
    <row r="177" spans="1:1">
      <c r="A177" s="39">
        <f>IF('3757 - Wall Stickers (S)'!B177 = "", "", IF('3757-S-WUO_ERR'!A177 = "", "Validated", HYPERLINK("#" &amp; ADDRESS(ROW('3757-S-WUO_TRK'!A177), '3757-S-WUO_TRK'!A177), _xlfn.TEXTAFTER('3757-S-WUO_ERR'!A177, ":"))))</f>
        <v>0</v>
      </c>
    </row>
    <row r="178" spans="1:1">
      <c r="A178" s="39">
        <f>IF('3757 - Wall Stickers (S)'!B178 = "", "", IF('3757-S-WUO_ERR'!A178 = "", "Validated", HYPERLINK("#" &amp; ADDRESS(ROW('3757-S-WUO_TRK'!A178), '3757-S-WUO_TRK'!A178), _xlfn.TEXTAFTER('3757-S-WUO_ERR'!A178, ":"))))</f>
        <v>0</v>
      </c>
    </row>
    <row r="179" spans="1:1">
      <c r="A179" s="39">
        <f>IF('3757 - Wall Stickers (S)'!B179 = "", "", IF('3757-S-WUO_ERR'!A179 = "", "Validated", HYPERLINK("#" &amp; ADDRESS(ROW('3757-S-WUO_TRK'!A179), '3757-S-WUO_TRK'!A179), _xlfn.TEXTAFTER('3757-S-WUO_ERR'!A179, ":"))))</f>
        <v>0</v>
      </c>
    </row>
    <row r="180" spans="1:1">
      <c r="A180" s="39">
        <f>IF('3757 - Wall Stickers (S)'!B180 = "", "", IF('3757-S-WUO_ERR'!A180 = "", "Validated", HYPERLINK("#" &amp; ADDRESS(ROW('3757-S-WUO_TRK'!A180), '3757-S-WUO_TRK'!A180), _xlfn.TEXTAFTER('3757-S-WUO_ERR'!A180, ":"))))</f>
        <v>0</v>
      </c>
    </row>
    <row r="181" spans="1:1">
      <c r="A181" s="39">
        <f>IF('3757 - Wall Stickers (S)'!B181 = "", "", IF('3757-S-WUO_ERR'!A181 = "", "Validated", HYPERLINK("#" &amp; ADDRESS(ROW('3757-S-WUO_TRK'!A181), '3757-S-WUO_TRK'!A181), _xlfn.TEXTAFTER('3757-S-WUO_ERR'!A181, ":"))))</f>
        <v>0</v>
      </c>
    </row>
    <row r="182" spans="1:1">
      <c r="A182" s="39">
        <f>IF('3757 - Wall Stickers (S)'!B182 = "", "", IF('3757-S-WUO_ERR'!A182 = "", "Validated", HYPERLINK("#" &amp; ADDRESS(ROW('3757-S-WUO_TRK'!A182), '3757-S-WUO_TRK'!A182), _xlfn.TEXTAFTER('3757-S-WUO_ERR'!A182, ":"))))</f>
        <v>0</v>
      </c>
    </row>
    <row r="183" spans="1:1">
      <c r="A183" s="39">
        <f>IF('3757 - Wall Stickers (S)'!B183 = "", "", IF('3757-S-WUO_ERR'!A183 = "", "Validated", HYPERLINK("#" &amp; ADDRESS(ROW('3757-S-WUO_TRK'!A183), '3757-S-WUO_TRK'!A183), _xlfn.TEXTAFTER('3757-S-WUO_ERR'!A183, ":"))))</f>
        <v>0</v>
      </c>
    </row>
    <row r="184" spans="1:1">
      <c r="A184" s="39">
        <f>IF('3757 - Wall Stickers (S)'!B184 = "", "", IF('3757-S-WUO_ERR'!A184 = "", "Validated", HYPERLINK("#" &amp; ADDRESS(ROW('3757-S-WUO_TRK'!A184), '3757-S-WUO_TRK'!A184), _xlfn.TEXTAFTER('3757-S-WUO_ERR'!A184, ":"))))</f>
        <v>0</v>
      </c>
    </row>
    <row r="185" spans="1:1">
      <c r="A185" s="39">
        <f>IF('3757 - Wall Stickers (S)'!B185 = "", "", IF('3757-S-WUO_ERR'!A185 = "", "Validated", HYPERLINK("#" &amp; ADDRESS(ROW('3757-S-WUO_TRK'!A185), '3757-S-WUO_TRK'!A185), _xlfn.TEXTAFTER('3757-S-WUO_ERR'!A185, ":"))))</f>
        <v>0</v>
      </c>
    </row>
    <row r="186" spans="1:1">
      <c r="A186" s="39">
        <f>IF('3757 - Wall Stickers (S)'!B186 = "", "", IF('3757-S-WUO_ERR'!A186 = "", "Validated", HYPERLINK("#" &amp; ADDRESS(ROW('3757-S-WUO_TRK'!A186), '3757-S-WUO_TRK'!A186), _xlfn.TEXTAFTER('3757-S-WUO_ERR'!A186, ":"))))</f>
        <v>0</v>
      </c>
    </row>
    <row r="187" spans="1:1">
      <c r="A187" s="39">
        <f>IF('3757 - Wall Stickers (S)'!B187 = "", "", IF('3757-S-WUO_ERR'!A187 = "", "Validated", HYPERLINK("#" &amp; ADDRESS(ROW('3757-S-WUO_TRK'!A187), '3757-S-WUO_TRK'!A187), _xlfn.TEXTAFTER('3757-S-WUO_ERR'!A187, ":"))))</f>
        <v>0</v>
      </c>
    </row>
    <row r="188" spans="1:1">
      <c r="A188" s="39">
        <f>IF('3757 - Wall Stickers (S)'!B188 = "", "", IF('3757-S-WUO_ERR'!A188 = "", "Validated", HYPERLINK("#" &amp; ADDRESS(ROW('3757-S-WUO_TRK'!A188), '3757-S-WUO_TRK'!A188), _xlfn.TEXTAFTER('3757-S-WUO_ERR'!A188, ":"))))</f>
        <v>0</v>
      </c>
    </row>
    <row r="189" spans="1:1">
      <c r="A189" s="39">
        <f>IF('3757 - Wall Stickers (S)'!B189 = "", "", IF('3757-S-WUO_ERR'!A189 = "", "Validated", HYPERLINK("#" &amp; ADDRESS(ROW('3757-S-WUO_TRK'!A189), '3757-S-WUO_TRK'!A189), _xlfn.TEXTAFTER('3757-S-WUO_ERR'!A189, ":"))))</f>
        <v>0</v>
      </c>
    </row>
    <row r="190" spans="1:1">
      <c r="A190" s="39">
        <f>IF('3757 - Wall Stickers (S)'!B190 = "", "", IF('3757-S-WUO_ERR'!A190 = "", "Validated", HYPERLINK("#" &amp; ADDRESS(ROW('3757-S-WUO_TRK'!A190), '3757-S-WUO_TRK'!A190), _xlfn.TEXTAFTER('3757-S-WUO_ERR'!A190, ":"))))</f>
        <v>0</v>
      </c>
    </row>
    <row r="191" spans="1:1">
      <c r="A191" s="39">
        <f>IF('3757 - Wall Stickers (S)'!B191 = "", "", IF('3757-S-WUO_ERR'!A191 = "", "Validated", HYPERLINK("#" &amp; ADDRESS(ROW('3757-S-WUO_TRK'!A191), '3757-S-WUO_TRK'!A191), _xlfn.TEXTAFTER('3757-S-WUO_ERR'!A191, ":"))))</f>
        <v>0</v>
      </c>
    </row>
    <row r="192" spans="1:1">
      <c r="A192" s="39">
        <f>IF('3757 - Wall Stickers (S)'!B192 = "", "", IF('3757-S-WUO_ERR'!A192 = "", "Validated", HYPERLINK("#" &amp; ADDRESS(ROW('3757-S-WUO_TRK'!A192), '3757-S-WUO_TRK'!A192), _xlfn.TEXTAFTER('3757-S-WUO_ERR'!A192, ":"))))</f>
        <v>0</v>
      </c>
    </row>
    <row r="193" spans="1:1">
      <c r="A193" s="39">
        <f>IF('3757 - Wall Stickers (S)'!B193 = "", "", IF('3757-S-WUO_ERR'!A193 = "", "Validated", HYPERLINK("#" &amp; ADDRESS(ROW('3757-S-WUO_TRK'!A193), '3757-S-WUO_TRK'!A193), _xlfn.TEXTAFTER('3757-S-WUO_ERR'!A193, ":"))))</f>
        <v>0</v>
      </c>
    </row>
    <row r="194" spans="1:1">
      <c r="A194" s="39">
        <f>IF('3757 - Wall Stickers (S)'!B194 = "", "", IF('3757-S-WUO_ERR'!A194 = "", "Validated", HYPERLINK("#" &amp; ADDRESS(ROW('3757-S-WUO_TRK'!A194), '3757-S-WUO_TRK'!A194), _xlfn.TEXTAFTER('3757-S-WUO_ERR'!A194, ":"))))</f>
        <v>0</v>
      </c>
    </row>
    <row r="195" spans="1:1">
      <c r="A195" s="39">
        <f>IF('3757 - Wall Stickers (S)'!B195 = "", "", IF('3757-S-WUO_ERR'!A195 = "", "Validated", HYPERLINK("#" &amp; ADDRESS(ROW('3757-S-WUO_TRK'!A195), '3757-S-WUO_TRK'!A195), _xlfn.TEXTAFTER('3757-S-WUO_ERR'!A195, ":"))))</f>
        <v>0</v>
      </c>
    </row>
    <row r="196" spans="1:1">
      <c r="A196" s="39">
        <f>IF('3757 - Wall Stickers (S)'!B196 = "", "", IF('3757-S-WUO_ERR'!A196 = "", "Validated", HYPERLINK("#" &amp; ADDRESS(ROW('3757-S-WUO_TRK'!A196), '3757-S-WUO_TRK'!A196), _xlfn.TEXTAFTER('3757-S-WUO_ERR'!A196, ":"))))</f>
        <v>0</v>
      </c>
    </row>
    <row r="197" spans="1:1">
      <c r="A197" s="39">
        <f>IF('3757 - Wall Stickers (S)'!B197 = "", "", IF('3757-S-WUO_ERR'!A197 = "", "Validated", HYPERLINK("#" &amp; ADDRESS(ROW('3757-S-WUO_TRK'!A197), '3757-S-WUO_TRK'!A197), _xlfn.TEXTAFTER('3757-S-WUO_ERR'!A197, ":"))))</f>
        <v>0</v>
      </c>
    </row>
    <row r="198" spans="1:1">
      <c r="A198" s="39">
        <f>IF('3757 - Wall Stickers (S)'!B198 = "", "", IF('3757-S-WUO_ERR'!A198 = "", "Validated", HYPERLINK("#" &amp; ADDRESS(ROW('3757-S-WUO_TRK'!A198), '3757-S-WUO_TRK'!A198), _xlfn.TEXTAFTER('3757-S-WUO_ERR'!A198, ":"))))</f>
        <v>0</v>
      </c>
    </row>
    <row r="199" spans="1:1">
      <c r="A199" s="39">
        <f>IF('3757 - Wall Stickers (S)'!B199 = "", "", IF('3757-S-WUO_ERR'!A199 = "", "Validated", HYPERLINK("#" &amp; ADDRESS(ROW('3757-S-WUO_TRK'!A199), '3757-S-WUO_TRK'!A199), _xlfn.TEXTAFTER('3757-S-WUO_ERR'!A199, ":"))))</f>
        <v>0</v>
      </c>
    </row>
    <row r="200" spans="1:1">
      <c r="A200" s="39">
        <f>IF('3757 - Wall Stickers (S)'!B200 = "", "", IF('3757-S-WUO_ERR'!A200 = "", "Validated", HYPERLINK("#" &amp; ADDRESS(ROW('3757-S-WUO_TRK'!A200), '3757-S-WUO_TRK'!A200), _xlfn.TEXTAFTER('3757-S-WUO_ERR'!A200, ":"))))</f>
        <v>0</v>
      </c>
    </row>
    <row r="201" spans="1:1">
      <c r="A201" s="39">
        <f>IF('3757 - Wall Stickers (S)'!B201 = "", "", IF('3757-S-WUO_ERR'!A201 = "", "Validated", HYPERLINK("#" &amp; ADDRESS(ROW('3757-S-WUO_TRK'!A201), '3757-S-WUO_TRK'!A201), _xlfn.TEXTAFTER('3757-S-WUO_ERR'!A201, ":"))))</f>
        <v>0</v>
      </c>
    </row>
    <row r="202" spans="1:1">
      <c r="A202" s="39">
        <f>IF('3757 - Wall Stickers (S)'!B202 = "", "", IF('3757-S-WUO_ERR'!A202 = "", "Validated", HYPERLINK("#" &amp; ADDRESS(ROW('3757-S-WUO_TRK'!A202), '3757-S-WUO_TRK'!A202), _xlfn.TEXTAFTER('3757-S-WUO_ERR'!A202, ":"))))</f>
        <v>0</v>
      </c>
    </row>
    <row r="203" spans="1:1">
      <c r="A203" s="39">
        <f>IF('3757 - Wall Stickers (S)'!B203 = "", "", IF('3757-S-WUO_ERR'!A203 = "", "Validated", HYPERLINK("#" &amp; ADDRESS(ROW('3757-S-WUO_TRK'!A203), '3757-S-WUO_TRK'!A203), _xlfn.TEXTAFTER('3757-S-WUO_ERR'!A203, ":"))))</f>
        <v>0</v>
      </c>
    </row>
    <row r="204" spans="1:1">
      <c r="A204" s="39">
        <f>IF('3757 - Wall Stickers (S)'!B204 = "", "", IF('3757-S-WUO_ERR'!A204 = "", "Validated", HYPERLINK("#" &amp; ADDRESS(ROW('3757-S-WUO_TRK'!A204), '3757-S-WUO_TRK'!A204), _xlfn.TEXTAFTER('3757-S-WUO_ERR'!A204, ":"))))</f>
        <v>0</v>
      </c>
    </row>
    <row r="205" spans="1:1">
      <c r="A205" s="39">
        <f>IF('3757 - Wall Stickers (S)'!B205 = "", "", IF('3757-S-WUO_ERR'!A205 = "", "Validated", HYPERLINK("#" &amp; ADDRESS(ROW('3757-S-WUO_TRK'!A205), '3757-S-WUO_TRK'!A205), _xlfn.TEXTAFTER('3757-S-WUO_ERR'!A205, ":"))))</f>
        <v>0</v>
      </c>
    </row>
    <row r="206" spans="1:1">
      <c r="A206" s="39">
        <f>IF('3757 - Wall Stickers (S)'!B206 = "", "", IF('3757-S-WUO_ERR'!A206 = "", "Validated", HYPERLINK("#" &amp; ADDRESS(ROW('3757-S-WUO_TRK'!A206), '3757-S-WUO_TRK'!A206), _xlfn.TEXTAFTER('3757-S-WUO_ERR'!A206, ":"))))</f>
        <v>0</v>
      </c>
    </row>
    <row r="207" spans="1:1">
      <c r="A207" s="39">
        <f>IF('3757 - Wall Stickers (S)'!B207 = "", "", IF('3757-S-WUO_ERR'!A207 = "", "Validated", HYPERLINK("#" &amp; ADDRESS(ROW('3757-S-WUO_TRK'!A207), '3757-S-WUO_TRK'!A207), _xlfn.TEXTAFTER('3757-S-WUO_ERR'!A207, ":"))))</f>
        <v>0</v>
      </c>
    </row>
    <row r="208" spans="1:1">
      <c r="A208" s="39">
        <f>IF('3757 - Wall Stickers (S)'!B208 = "", "", IF('3757-S-WUO_ERR'!A208 = "", "Validated", HYPERLINK("#" &amp; ADDRESS(ROW('3757-S-WUO_TRK'!A208), '3757-S-WUO_TRK'!A208), _xlfn.TEXTAFTER('3757-S-WUO_ERR'!A208, ":"))))</f>
        <v>0</v>
      </c>
    </row>
    <row r="209" spans="1:1">
      <c r="A209" s="39">
        <f>IF('3757 - Wall Stickers (S)'!B209 = "", "", IF('3757-S-WUO_ERR'!A209 = "", "Validated", HYPERLINK("#" &amp; ADDRESS(ROW('3757-S-WUO_TRK'!A209), '3757-S-WUO_TRK'!A209), _xlfn.TEXTAFTER('3757-S-WUO_ERR'!A209, ":"))))</f>
        <v>0</v>
      </c>
    </row>
    <row r="210" spans="1:1">
      <c r="A210" s="39">
        <f>IF('3757 - Wall Stickers (S)'!B210 = "", "", IF('3757-S-WUO_ERR'!A210 = "", "Validated", HYPERLINK("#" &amp; ADDRESS(ROW('3757-S-WUO_TRK'!A210), '3757-S-WUO_TRK'!A210), _xlfn.TEXTAFTER('3757-S-WUO_ERR'!A210, ":"))))</f>
        <v>0</v>
      </c>
    </row>
    <row r="211" spans="1:1">
      <c r="A211" s="39">
        <f>IF('3757 - Wall Stickers (S)'!B211 = "", "", IF('3757-S-WUO_ERR'!A211 = "", "Validated", HYPERLINK("#" &amp; ADDRESS(ROW('3757-S-WUO_TRK'!A211), '3757-S-WUO_TRK'!A211), _xlfn.TEXTAFTER('3757-S-WUO_ERR'!A211, ":"))))</f>
        <v>0</v>
      </c>
    </row>
    <row r="212" spans="1:1">
      <c r="A212" s="39">
        <f>IF('3757 - Wall Stickers (S)'!B212 = "", "", IF('3757-S-WUO_ERR'!A212 = "", "Validated", HYPERLINK("#" &amp; ADDRESS(ROW('3757-S-WUO_TRK'!A212), '3757-S-WUO_TRK'!A212), _xlfn.TEXTAFTER('3757-S-WUO_ERR'!A212, ":"))))</f>
        <v>0</v>
      </c>
    </row>
    <row r="213" spans="1:1">
      <c r="A213" s="39">
        <f>IF('3757 - Wall Stickers (S)'!B213 = "", "", IF('3757-S-WUO_ERR'!A213 = "", "Validated", HYPERLINK("#" &amp; ADDRESS(ROW('3757-S-WUO_TRK'!A213), '3757-S-WUO_TRK'!A213), _xlfn.TEXTAFTER('3757-S-WUO_ERR'!A213, ":"))))</f>
        <v>0</v>
      </c>
    </row>
    <row r="214" spans="1:1">
      <c r="A214" s="39">
        <f>IF('3757 - Wall Stickers (S)'!B214 = "", "", IF('3757-S-WUO_ERR'!A214 = "", "Validated", HYPERLINK("#" &amp; ADDRESS(ROW('3757-S-WUO_TRK'!A214), '3757-S-WUO_TRK'!A214), _xlfn.TEXTAFTER('3757-S-WUO_ERR'!A214, ":"))))</f>
        <v>0</v>
      </c>
    </row>
    <row r="215" spans="1:1">
      <c r="A215" s="39">
        <f>IF('3757 - Wall Stickers (S)'!B215 = "", "", IF('3757-S-WUO_ERR'!A215 = "", "Validated", HYPERLINK("#" &amp; ADDRESS(ROW('3757-S-WUO_TRK'!A215), '3757-S-WUO_TRK'!A215), _xlfn.TEXTAFTER('3757-S-WUO_ERR'!A215, ":"))))</f>
        <v>0</v>
      </c>
    </row>
    <row r="216" spans="1:1">
      <c r="A216" s="39">
        <f>IF('3757 - Wall Stickers (S)'!B216 = "", "", IF('3757-S-WUO_ERR'!A216 = "", "Validated", HYPERLINK("#" &amp; ADDRESS(ROW('3757-S-WUO_TRK'!A216), '3757-S-WUO_TRK'!A216), _xlfn.TEXTAFTER('3757-S-WUO_ERR'!A216, ":"))))</f>
        <v>0</v>
      </c>
    </row>
    <row r="217" spans="1:1">
      <c r="A217" s="39">
        <f>IF('3757 - Wall Stickers (S)'!B217 = "", "", IF('3757-S-WUO_ERR'!A217 = "", "Validated", HYPERLINK("#" &amp; ADDRESS(ROW('3757-S-WUO_TRK'!A217), '3757-S-WUO_TRK'!A217), _xlfn.TEXTAFTER('3757-S-WUO_ERR'!A217, ":"))))</f>
        <v>0</v>
      </c>
    </row>
    <row r="218" spans="1:1">
      <c r="A218" s="39">
        <f>IF('3757 - Wall Stickers (S)'!B218 = "", "", IF('3757-S-WUO_ERR'!A218 = "", "Validated", HYPERLINK("#" &amp; ADDRESS(ROW('3757-S-WUO_TRK'!A218), '3757-S-WUO_TRK'!A218), _xlfn.TEXTAFTER('3757-S-WUO_ERR'!A218, ":"))))</f>
        <v>0</v>
      </c>
    </row>
    <row r="219" spans="1:1">
      <c r="A219" s="39">
        <f>IF('3757 - Wall Stickers (S)'!B219 = "", "", IF('3757-S-WUO_ERR'!A219 = "", "Validated", HYPERLINK("#" &amp; ADDRESS(ROW('3757-S-WUO_TRK'!A219), '3757-S-WUO_TRK'!A219), _xlfn.TEXTAFTER('3757-S-WUO_ERR'!A219, ":"))))</f>
        <v>0</v>
      </c>
    </row>
    <row r="220" spans="1:1">
      <c r="A220" s="39">
        <f>IF('3757 - Wall Stickers (S)'!B220 = "", "", IF('3757-S-WUO_ERR'!A220 = "", "Validated", HYPERLINK("#" &amp; ADDRESS(ROW('3757-S-WUO_TRK'!A220), '3757-S-WUO_TRK'!A220), _xlfn.TEXTAFTER('3757-S-WUO_ERR'!A220, ":"))))</f>
        <v>0</v>
      </c>
    </row>
    <row r="221" spans="1:1">
      <c r="A221" s="39">
        <f>IF('3757 - Wall Stickers (S)'!B221 = "", "", IF('3757-S-WUO_ERR'!A221 = "", "Validated", HYPERLINK("#" &amp; ADDRESS(ROW('3757-S-WUO_TRK'!A221), '3757-S-WUO_TRK'!A221), _xlfn.TEXTAFTER('3757-S-WUO_ERR'!A221, ":"))))</f>
        <v>0</v>
      </c>
    </row>
    <row r="222" spans="1:1">
      <c r="A222" s="39">
        <f>IF('3757 - Wall Stickers (S)'!B222 = "", "", IF('3757-S-WUO_ERR'!A222 = "", "Validated", HYPERLINK("#" &amp; ADDRESS(ROW('3757-S-WUO_TRK'!A222), '3757-S-WUO_TRK'!A222), _xlfn.TEXTAFTER('3757-S-WUO_ERR'!A222, ":"))))</f>
        <v>0</v>
      </c>
    </row>
    <row r="223" spans="1:1">
      <c r="A223" s="39">
        <f>IF('3757 - Wall Stickers (S)'!B223 = "", "", IF('3757-S-WUO_ERR'!A223 = "", "Validated", HYPERLINK("#" &amp; ADDRESS(ROW('3757-S-WUO_TRK'!A223), '3757-S-WUO_TRK'!A223), _xlfn.TEXTAFTER('3757-S-WUO_ERR'!A223, ":"))))</f>
        <v>0</v>
      </c>
    </row>
    <row r="224" spans="1:1">
      <c r="A224" s="39">
        <f>IF('3757 - Wall Stickers (S)'!B224 = "", "", IF('3757-S-WUO_ERR'!A224 = "", "Validated", HYPERLINK("#" &amp; ADDRESS(ROW('3757-S-WUO_TRK'!A224), '3757-S-WUO_TRK'!A224), _xlfn.TEXTAFTER('3757-S-WUO_ERR'!A224, ":"))))</f>
        <v>0</v>
      </c>
    </row>
    <row r="225" spans="1:1">
      <c r="A225" s="39">
        <f>IF('3757 - Wall Stickers (S)'!B225 = "", "", IF('3757-S-WUO_ERR'!A225 = "", "Validated", HYPERLINK("#" &amp; ADDRESS(ROW('3757-S-WUO_TRK'!A225), '3757-S-WUO_TRK'!A225), _xlfn.TEXTAFTER('3757-S-WUO_ERR'!A225, ":"))))</f>
        <v>0</v>
      </c>
    </row>
    <row r="226" spans="1:1">
      <c r="A226" s="39">
        <f>IF('3757 - Wall Stickers (S)'!B226 = "", "", IF('3757-S-WUO_ERR'!A226 = "", "Validated", HYPERLINK("#" &amp; ADDRESS(ROW('3757-S-WUO_TRK'!A226), '3757-S-WUO_TRK'!A226), _xlfn.TEXTAFTER('3757-S-WUO_ERR'!A226, ":"))))</f>
        <v>0</v>
      </c>
    </row>
    <row r="227" spans="1:1">
      <c r="A227" s="39">
        <f>IF('3757 - Wall Stickers (S)'!B227 = "", "", IF('3757-S-WUO_ERR'!A227 = "", "Validated", HYPERLINK("#" &amp; ADDRESS(ROW('3757-S-WUO_TRK'!A227), '3757-S-WUO_TRK'!A227), _xlfn.TEXTAFTER('3757-S-WUO_ERR'!A227, ":"))))</f>
        <v>0</v>
      </c>
    </row>
    <row r="228" spans="1:1">
      <c r="A228" s="39">
        <f>IF('3757 - Wall Stickers (S)'!B228 = "", "", IF('3757-S-WUO_ERR'!A228 = "", "Validated", HYPERLINK("#" &amp; ADDRESS(ROW('3757-S-WUO_TRK'!A228), '3757-S-WUO_TRK'!A228), _xlfn.TEXTAFTER('3757-S-WUO_ERR'!A228, ":"))))</f>
        <v>0</v>
      </c>
    </row>
    <row r="229" spans="1:1">
      <c r="A229" s="39">
        <f>IF('3757 - Wall Stickers (S)'!B229 = "", "", IF('3757-S-WUO_ERR'!A229 = "", "Validated", HYPERLINK("#" &amp; ADDRESS(ROW('3757-S-WUO_TRK'!A229), '3757-S-WUO_TRK'!A229), _xlfn.TEXTAFTER('3757-S-WUO_ERR'!A229, ":"))))</f>
        <v>0</v>
      </c>
    </row>
    <row r="230" spans="1:1">
      <c r="A230" s="39">
        <f>IF('3757 - Wall Stickers (S)'!B230 = "", "", IF('3757-S-WUO_ERR'!A230 = "", "Validated", HYPERLINK("#" &amp; ADDRESS(ROW('3757-S-WUO_TRK'!A230), '3757-S-WUO_TRK'!A230), _xlfn.TEXTAFTER('3757-S-WUO_ERR'!A230, ":"))))</f>
        <v>0</v>
      </c>
    </row>
    <row r="231" spans="1:1">
      <c r="A231" s="39">
        <f>IF('3757 - Wall Stickers (S)'!B231 = "", "", IF('3757-S-WUO_ERR'!A231 = "", "Validated", HYPERLINK("#" &amp; ADDRESS(ROW('3757-S-WUO_TRK'!A231), '3757-S-WUO_TRK'!A231), _xlfn.TEXTAFTER('3757-S-WUO_ERR'!A231, ":"))))</f>
        <v>0</v>
      </c>
    </row>
    <row r="232" spans="1:1">
      <c r="A232" s="39">
        <f>IF('3757 - Wall Stickers (S)'!B232 = "", "", IF('3757-S-WUO_ERR'!A232 = "", "Validated", HYPERLINK("#" &amp; ADDRESS(ROW('3757-S-WUO_TRK'!A232), '3757-S-WUO_TRK'!A232), _xlfn.TEXTAFTER('3757-S-WUO_ERR'!A232, ":"))))</f>
        <v>0</v>
      </c>
    </row>
    <row r="233" spans="1:1">
      <c r="A233" s="39">
        <f>IF('3757 - Wall Stickers (S)'!B233 = "", "", IF('3757-S-WUO_ERR'!A233 = "", "Validated", HYPERLINK("#" &amp; ADDRESS(ROW('3757-S-WUO_TRK'!A233), '3757-S-WUO_TRK'!A233), _xlfn.TEXTAFTER('3757-S-WUO_ERR'!A233, ":"))))</f>
        <v>0</v>
      </c>
    </row>
    <row r="234" spans="1:1">
      <c r="A234" s="39">
        <f>IF('3757 - Wall Stickers (S)'!B234 = "", "", IF('3757-S-WUO_ERR'!A234 = "", "Validated", HYPERLINK("#" &amp; ADDRESS(ROW('3757-S-WUO_TRK'!A234), '3757-S-WUO_TRK'!A234), _xlfn.TEXTAFTER('3757-S-WUO_ERR'!A234, ":"))))</f>
        <v>0</v>
      </c>
    </row>
    <row r="235" spans="1:1">
      <c r="A235" s="39">
        <f>IF('3757 - Wall Stickers (S)'!B235 = "", "", IF('3757-S-WUO_ERR'!A235 = "", "Validated", HYPERLINK("#" &amp; ADDRESS(ROW('3757-S-WUO_TRK'!A235), '3757-S-WUO_TRK'!A235), _xlfn.TEXTAFTER('3757-S-WUO_ERR'!A235, ":"))))</f>
        <v>0</v>
      </c>
    </row>
    <row r="236" spans="1:1">
      <c r="A236" s="39">
        <f>IF('3757 - Wall Stickers (S)'!B236 = "", "", IF('3757-S-WUO_ERR'!A236 = "", "Validated", HYPERLINK("#" &amp; ADDRESS(ROW('3757-S-WUO_TRK'!A236), '3757-S-WUO_TRK'!A236), _xlfn.TEXTAFTER('3757-S-WUO_ERR'!A236, ":"))))</f>
        <v>0</v>
      </c>
    </row>
    <row r="237" spans="1:1">
      <c r="A237" s="39">
        <f>IF('3757 - Wall Stickers (S)'!B237 = "", "", IF('3757-S-WUO_ERR'!A237 = "", "Validated", HYPERLINK("#" &amp; ADDRESS(ROW('3757-S-WUO_TRK'!A237), '3757-S-WUO_TRK'!A237), _xlfn.TEXTAFTER('3757-S-WUO_ERR'!A237, ":"))))</f>
        <v>0</v>
      </c>
    </row>
    <row r="238" spans="1:1">
      <c r="A238" s="39">
        <f>IF('3757 - Wall Stickers (S)'!B238 = "", "", IF('3757-S-WUO_ERR'!A238 = "", "Validated", HYPERLINK("#" &amp; ADDRESS(ROW('3757-S-WUO_TRK'!A238), '3757-S-WUO_TRK'!A238), _xlfn.TEXTAFTER('3757-S-WUO_ERR'!A238, ":"))))</f>
        <v>0</v>
      </c>
    </row>
    <row r="239" spans="1:1">
      <c r="A239" s="39">
        <f>IF('3757 - Wall Stickers (S)'!B239 = "", "", IF('3757-S-WUO_ERR'!A239 = "", "Validated", HYPERLINK("#" &amp; ADDRESS(ROW('3757-S-WUO_TRK'!A239), '3757-S-WUO_TRK'!A239), _xlfn.TEXTAFTER('3757-S-WUO_ERR'!A239, ":"))))</f>
        <v>0</v>
      </c>
    </row>
    <row r="240" spans="1:1">
      <c r="A240" s="39">
        <f>IF('3757 - Wall Stickers (S)'!B240 = "", "", IF('3757-S-WUO_ERR'!A240 = "", "Validated", HYPERLINK("#" &amp; ADDRESS(ROW('3757-S-WUO_TRK'!A240), '3757-S-WUO_TRK'!A240), _xlfn.TEXTAFTER('3757-S-WUO_ERR'!A240, ":"))))</f>
        <v>0</v>
      </c>
    </row>
    <row r="241" spans="1:1">
      <c r="A241" s="39">
        <f>IF('3757 - Wall Stickers (S)'!B241 = "", "", IF('3757-S-WUO_ERR'!A241 = "", "Validated", HYPERLINK("#" &amp; ADDRESS(ROW('3757-S-WUO_TRK'!A241), '3757-S-WUO_TRK'!A241), _xlfn.TEXTAFTER('3757-S-WUO_ERR'!A241, ":"))))</f>
        <v>0</v>
      </c>
    </row>
    <row r="242" spans="1:1">
      <c r="A242" s="39">
        <f>IF('3757 - Wall Stickers (S)'!B242 = "", "", IF('3757-S-WUO_ERR'!A242 = "", "Validated", HYPERLINK("#" &amp; ADDRESS(ROW('3757-S-WUO_TRK'!A242), '3757-S-WUO_TRK'!A242), _xlfn.TEXTAFTER('3757-S-WUO_ERR'!A242, ":"))))</f>
        <v>0</v>
      </c>
    </row>
    <row r="243" spans="1:1">
      <c r="A243" s="39">
        <f>IF('3757 - Wall Stickers (S)'!B243 = "", "", IF('3757-S-WUO_ERR'!A243 = "", "Validated", HYPERLINK("#" &amp; ADDRESS(ROW('3757-S-WUO_TRK'!A243), '3757-S-WUO_TRK'!A243), _xlfn.TEXTAFTER('3757-S-WUO_ERR'!A243, ":"))))</f>
        <v>0</v>
      </c>
    </row>
    <row r="244" spans="1:1">
      <c r="A244" s="39">
        <f>IF('3757 - Wall Stickers (S)'!B244 = "", "", IF('3757-S-WUO_ERR'!A244 = "", "Validated", HYPERLINK("#" &amp; ADDRESS(ROW('3757-S-WUO_TRK'!A244), '3757-S-WUO_TRK'!A244), _xlfn.TEXTAFTER('3757-S-WUO_ERR'!A244, ":"))))</f>
        <v>0</v>
      </c>
    </row>
    <row r="245" spans="1:1">
      <c r="A245" s="39">
        <f>IF('3757 - Wall Stickers (S)'!B245 = "", "", IF('3757-S-WUO_ERR'!A245 = "", "Validated", HYPERLINK("#" &amp; ADDRESS(ROW('3757-S-WUO_TRK'!A245), '3757-S-WUO_TRK'!A245), _xlfn.TEXTAFTER('3757-S-WUO_ERR'!A245, ":"))))</f>
        <v>0</v>
      </c>
    </row>
    <row r="246" spans="1:1">
      <c r="A246" s="39">
        <f>IF('3757 - Wall Stickers (S)'!B246 = "", "", IF('3757-S-WUO_ERR'!A246 = "", "Validated", HYPERLINK("#" &amp; ADDRESS(ROW('3757-S-WUO_TRK'!A246), '3757-S-WUO_TRK'!A246), _xlfn.TEXTAFTER('3757-S-WUO_ERR'!A246, ":"))))</f>
        <v>0</v>
      </c>
    </row>
    <row r="247" spans="1:1">
      <c r="A247" s="39">
        <f>IF('3757 - Wall Stickers (S)'!B247 = "", "", IF('3757-S-WUO_ERR'!A247 = "", "Validated", HYPERLINK("#" &amp; ADDRESS(ROW('3757-S-WUO_TRK'!A247), '3757-S-WUO_TRK'!A247), _xlfn.TEXTAFTER('3757-S-WUO_ERR'!A247, ":"))))</f>
        <v>0</v>
      </c>
    </row>
    <row r="248" spans="1:1">
      <c r="A248" s="39">
        <f>IF('3757 - Wall Stickers (S)'!B248 = "", "", IF('3757-S-WUO_ERR'!A248 = "", "Validated", HYPERLINK("#" &amp; ADDRESS(ROW('3757-S-WUO_TRK'!A248), '3757-S-WUO_TRK'!A248), _xlfn.TEXTAFTER('3757-S-WUO_ERR'!A248, ":"))))</f>
        <v>0</v>
      </c>
    </row>
    <row r="249" spans="1:1">
      <c r="A249" s="39">
        <f>IF('3757 - Wall Stickers (S)'!B249 = "", "", IF('3757-S-WUO_ERR'!A249 = "", "Validated", HYPERLINK("#" &amp; ADDRESS(ROW('3757-S-WUO_TRK'!A249), '3757-S-WUO_TRK'!A249), _xlfn.TEXTAFTER('3757-S-WUO_ERR'!A249, ":"))))</f>
        <v>0</v>
      </c>
    </row>
    <row r="250" spans="1:1">
      <c r="A250" s="39">
        <f>IF('3757 - Wall Stickers (S)'!B250 = "", "", IF('3757-S-WUO_ERR'!A250 = "", "Validated", HYPERLINK("#" &amp; ADDRESS(ROW('3757-S-WUO_TRK'!A250), '3757-S-WUO_TRK'!A250), _xlfn.TEXTAFTER('3757-S-WUO_ERR'!A250, ":"))))</f>
        <v>0</v>
      </c>
    </row>
    <row r="251" spans="1:1">
      <c r="A251" s="39">
        <f>IF('3757 - Wall Stickers (S)'!B251 = "", "", IF('3757-S-WUO_ERR'!A251 = "", "Validated", HYPERLINK("#" &amp; ADDRESS(ROW('3757-S-WUO_TRK'!A251), '3757-S-WUO_TRK'!A251), _xlfn.TEXTAFTER('3757-S-WUO_ERR'!A251, ":"))))</f>
        <v>0</v>
      </c>
    </row>
    <row r="252" spans="1:1">
      <c r="A252" s="39">
        <f>IF('3757 - Wall Stickers (S)'!B252 = "", "", IF('3757-S-WUO_ERR'!A252 = "", "Validated", HYPERLINK("#" &amp; ADDRESS(ROW('3757-S-WUO_TRK'!A252), '3757-S-WUO_TRK'!A252), _xlfn.TEXTAFTER('3757-S-WUO_ERR'!A252, ":"))))</f>
        <v>0</v>
      </c>
    </row>
    <row r="253" spans="1:1">
      <c r="A253" s="39">
        <f>IF('3757 - Wall Stickers (S)'!B253 = "", "", IF('3757-S-WUO_ERR'!A253 = "", "Validated", HYPERLINK("#" &amp; ADDRESS(ROW('3757-S-WUO_TRK'!A253), '3757-S-WUO_TRK'!A253), _xlfn.TEXTAFTER('3757-S-WUO_ERR'!A253, ":"))))</f>
        <v>0</v>
      </c>
    </row>
    <row r="254" spans="1:1">
      <c r="A254" s="39">
        <f>IF('3757 - Wall Stickers (S)'!B254 = "", "", IF('3757-S-WUO_ERR'!A254 = "", "Validated", HYPERLINK("#" &amp; ADDRESS(ROW('3757-S-WUO_TRK'!A254), '3757-S-WUO_TRK'!A254), _xlfn.TEXTAFTER('3757-S-WUO_ERR'!A254, ":"))))</f>
        <v>0</v>
      </c>
    </row>
    <row r="255" spans="1:1">
      <c r="A255" s="39">
        <f>IF('3757 - Wall Stickers (S)'!B255 = "", "", IF('3757-S-WUO_ERR'!A255 = "", "Validated", HYPERLINK("#" &amp; ADDRESS(ROW('3757-S-WUO_TRK'!A255), '3757-S-WUO_TRK'!A255), _xlfn.TEXTAFTER('3757-S-WUO_ERR'!A255, ":"))))</f>
        <v>0</v>
      </c>
    </row>
    <row r="256" spans="1:1">
      <c r="A256" s="39">
        <f>IF('3757 - Wall Stickers (S)'!B256 = "", "", IF('3757-S-WUO_ERR'!A256 = "", "Validated", HYPERLINK("#" &amp; ADDRESS(ROW('3757-S-WUO_TRK'!A256), '3757-S-WUO_TRK'!A256), _xlfn.TEXTAFTER('3757-S-WUO_ERR'!A256, ":"))))</f>
        <v>0</v>
      </c>
    </row>
    <row r="257" spans="1:1">
      <c r="A257" s="39">
        <f>IF('3757 - Wall Stickers (S)'!B257 = "", "", IF('3757-S-WUO_ERR'!A257 = "", "Validated", HYPERLINK("#" &amp; ADDRESS(ROW('3757-S-WUO_TRK'!A257), '3757-S-WUO_TRK'!A257), _xlfn.TEXTAFTER('3757-S-WUO_ERR'!A257, ":"))))</f>
        <v>0</v>
      </c>
    </row>
    <row r="258" spans="1:1">
      <c r="A258" s="39">
        <f>IF('3757 - Wall Stickers (S)'!B258 = "", "", IF('3757-S-WUO_ERR'!A258 = "", "Validated", HYPERLINK("#" &amp; ADDRESS(ROW('3757-S-WUO_TRK'!A258), '3757-S-WUO_TRK'!A258), _xlfn.TEXTAFTER('3757-S-WUO_ERR'!A258, ":"))))</f>
        <v>0</v>
      </c>
    </row>
    <row r="259" spans="1:1">
      <c r="A259" s="39">
        <f>IF('3757 - Wall Stickers (S)'!B259 = "", "", IF('3757-S-WUO_ERR'!A259 = "", "Validated", HYPERLINK("#" &amp; ADDRESS(ROW('3757-S-WUO_TRK'!A259), '3757-S-WUO_TRK'!A259), _xlfn.TEXTAFTER('3757-S-WUO_ERR'!A259, ":"))))</f>
        <v>0</v>
      </c>
    </row>
    <row r="260" spans="1:1">
      <c r="A260" s="39">
        <f>IF('3757 - Wall Stickers (S)'!B260 = "", "", IF('3757-S-WUO_ERR'!A260 = "", "Validated", HYPERLINK("#" &amp; ADDRESS(ROW('3757-S-WUO_TRK'!A260), '3757-S-WUO_TRK'!A260), _xlfn.TEXTAFTER('3757-S-WUO_ERR'!A260, ":"))))</f>
        <v>0</v>
      </c>
    </row>
    <row r="261" spans="1:1">
      <c r="A261" s="39">
        <f>IF('3757 - Wall Stickers (S)'!B261 = "", "", IF('3757-S-WUO_ERR'!A261 = "", "Validated", HYPERLINK("#" &amp; ADDRESS(ROW('3757-S-WUO_TRK'!A261), '3757-S-WUO_TRK'!A261), _xlfn.TEXTAFTER('3757-S-WUO_ERR'!A261, ":"))))</f>
        <v>0</v>
      </c>
    </row>
    <row r="262" spans="1:1">
      <c r="A262" s="39">
        <f>IF('3757 - Wall Stickers (S)'!B262 = "", "", IF('3757-S-WUO_ERR'!A262 = "", "Validated", HYPERLINK("#" &amp; ADDRESS(ROW('3757-S-WUO_TRK'!A262), '3757-S-WUO_TRK'!A262), _xlfn.TEXTAFTER('3757-S-WUO_ERR'!A262, ":"))))</f>
        <v>0</v>
      </c>
    </row>
    <row r="263" spans="1:1">
      <c r="A263" s="39">
        <f>IF('3757 - Wall Stickers (S)'!B263 = "", "", IF('3757-S-WUO_ERR'!A263 = "", "Validated", HYPERLINK("#" &amp; ADDRESS(ROW('3757-S-WUO_TRK'!A263), '3757-S-WUO_TRK'!A263), _xlfn.TEXTAFTER('3757-S-WUO_ERR'!A263, ":"))))</f>
        <v>0</v>
      </c>
    </row>
    <row r="264" spans="1:1">
      <c r="A264" s="39">
        <f>IF('3757 - Wall Stickers (S)'!B264 = "", "", IF('3757-S-WUO_ERR'!A264 = "", "Validated", HYPERLINK("#" &amp; ADDRESS(ROW('3757-S-WUO_TRK'!A264), '3757-S-WUO_TRK'!A264), _xlfn.TEXTAFTER('3757-S-WUO_ERR'!A264, ":"))))</f>
        <v>0</v>
      </c>
    </row>
    <row r="265" spans="1:1">
      <c r="A265" s="39">
        <f>IF('3757 - Wall Stickers (S)'!B265 = "", "", IF('3757-S-WUO_ERR'!A265 = "", "Validated", HYPERLINK("#" &amp; ADDRESS(ROW('3757-S-WUO_TRK'!A265), '3757-S-WUO_TRK'!A265), _xlfn.TEXTAFTER('3757-S-WUO_ERR'!A265, ":"))))</f>
        <v>0</v>
      </c>
    </row>
    <row r="266" spans="1:1">
      <c r="A266" s="39">
        <f>IF('3757 - Wall Stickers (S)'!B266 = "", "", IF('3757-S-WUO_ERR'!A266 = "", "Validated", HYPERLINK("#" &amp; ADDRESS(ROW('3757-S-WUO_TRK'!A266), '3757-S-WUO_TRK'!A266), _xlfn.TEXTAFTER('3757-S-WUO_ERR'!A266, ":"))))</f>
        <v>0</v>
      </c>
    </row>
    <row r="267" spans="1:1">
      <c r="A267" s="39">
        <f>IF('3757 - Wall Stickers (S)'!B267 = "", "", IF('3757-S-WUO_ERR'!A267 = "", "Validated", HYPERLINK("#" &amp; ADDRESS(ROW('3757-S-WUO_TRK'!A267), '3757-S-WUO_TRK'!A267), _xlfn.TEXTAFTER('3757-S-WUO_ERR'!A267, ":"))))</f>
        <v>0</v>
      </c>
    </row>
    <row r="268" spans="1:1">
      <c r="A268" s="39">
        <f>IF('3757 - Wall Stickers (S)'!B268 = "", "", IF('3757-S-WUO_ERR'!A268 = "", "Validated", HYPERLINK("#" &amp; ADDRESS(ROW('3757-S-WUO_TRK'!A268), '3757-S-WUO_TRK'!A268), _xlfn.TEXTAFTER('3757-S-WUO_ERR'!A268, ":"))))</f>
        <v>0</v>
      </c>
    </row>
    <row r="269" spans="1:1">
      <c r="A269" s="39">
        <f>IF('3757 - Wall Stickers (S)'!B269 = "", "", IF('3757-S-WUO_ERR'!A269 = "", "Validated", HYPERLINK("#" &amp; ADDRESS(ROW('3757-S-WUO_TRK'!A269), '3757-S-WUO_TRK'!A269), _xlfn.TEXTAFTER('3757-S-WUO_ERR'!A269, ":"))))</f>
        <v>0</v>
      </c>
    </row>
    <row r="270" spans="1:1">
      <c r="A270" s="39">
        <f>IF('3757 - Wall Stickers (S)'!B270 = "", "", IF('3757-S-WUO_ERR'!A270 = "", "Validated", HYPERLINK("#" &amp; ADDRESS(ROW('3757-S-WUO_TRK'!A270), '3757-S-WUO_TRK'!A270), _xlfn.TEXTAFTER('3757-S-WUO_ERR'!A270, ":"))))</f>
        <v>0</v>
      </c>
    </row>
    <row r="271" spans="1:1">
      <c r="A271" s="39">
        <f>IF('3757 - Wall Stickers (S)'!B271 = "", "", IF('3757-S-WUO_ERR'!A271 = "", "Validated", HYPERLINK("#" &amp; ADDRESS(ROW('3757-S-WUO_TRK'!A271), '3757-S-WUO_TRK'!A271), _xlfn.TEXTAFTER('3757-S-WUO_ERR'!A271, ":"))))</f>
        <v>0</v>
      </c>
    </row>
    <row r="272" spans="1:1">
      <c r="A272" s="39">
        <f>IF('3757 - Wall Stickers (S)'!B272 = "", "", IF('3757-S-WUO_ERR'!A272 = "", "Validated", HYPERLINK("#" &amp; ADDRESS(ROW('3757-S-WUO_TRK'!A272), '3757-S-WUO_TRK'!A272), _xlfn.TEXTAFTER('3757-S-WUO_ERR'!A272, ":"))))</f>
        <v>0</v>
      </c>
    </row>
    <row r="273" spans="1:1">
      <c r="A273" s="39">
        <f>IF('3757 - Wall Stickers (S)'!B273 = "", "", IF('3757-S-WUO_ERR'!A273 = "", "Validated", HYPERLINK("#" &amp; ADDRESS(ROW('3757-S-WUO_TRK'!A273), '3757-S-WUO_TRK'!A273), _xlfn.TEXTAFTER('3757-S-WUO_ERR'!A273, ":"))))</f>
        <v>0</v>
      </c>
    </row>
    <row r="274" spans="1:1">
      <c r="A274" s="39">
        <f>IF('3757 - Wall Stickers (S)'!B274 = "", "", IF('3757-S-WUO_ERR'!A274 = "", "Validated", HYPERLINK("#" &amp; ADDRESS(ROW('3757-S-WUO_TRK'!A274), '3757-S-WUO_TRK'!A274), _xlfn.TEXTAFTER('3757-S-WUO_ERR'!A274, ":"))))</f>
        <v>0</v>
      </c>
    </row>
    <row r="275" spans="1:1">
      <c r="A275" s="39">
        <f>IF('3757 - Wall Stickers (S)'!B275 = "", "", IF('3757-S-WUO_ERR'!A275 = "", "Validated", HYPERLINK("#" &amp; ADDRESS(ROW('3757-S-WUO_TRK'!A275), '3757-S-WUO_TRK'!A275), _xlfn.TEXTAFTER('3757-S-WUO_ERR'!A275, ":"))))</f>
        <v>0</v>
      </c>
    </row>
    <row r="276" spans="1:1">
      <c r="A276" s="39">
        <f>IF('3757 - Wall Stickers (S)'!B276 = "", "", IF('3757-S-WUO_ERR'!A276 = "", "Validated", HYPERLINK("#" &amp; ADDRESS(ROW('3757-S-WUO_TRK'!A276), '3757-S-WUO_TRK'!A276), _xlfn.TEXTAFTER('3757-S-WUO_ERR'!A276, ":"))))</f>
        <v>0</v>
      </c>
    </row>
    <row r="277" spans="1:1">
      <c r="A277" s="39">
        <f>IF('3757 - Wall Stickers (S)'!B277 = "", "", IF('3757-S-WUO_ERR'!A277 = "", "Validated", HYPERLINK("#" &amp; ADDRESS(ROW('3757-S-WUO_TRK'!A277), '3757-S-WUO_TRK'!A277), _xlfn.TEXTAFTER('3757-S-WUO_ERR'!A277, ":"))))</f>
        <v>0</v>
      </c>
    </row>
    <row r="278" spans="1:1">
      <c r="A278" s="39">
        <f>IF('3757 - Wall Stickers (S)'!B278 = "", "", IF('3757-S-WUO_ERR'!A278 = "", "Validated", HYPERLINK("#" &amp; ADDRESS(ROW('3757-S-WUO_TRK'!A278), '3757-S-WUO_TRK'!A278), _xlfn.TEXTAFTER('3757-S-WUO_ERR'!A278, ":"))))</f>
        <v>0</v>
      </c>
    </row>
    <row r="279" spans="1:1">
      <c r="A279" s="39">
        <f>IF('3757 - Wall Stickers (S)'!B279 = "", "", IF('3757-S-WUO_ERR'!A279 = "", "Validated", HYPERLINK("#" &amp; ADDRESS(ROW('3757-S-WUO_TRK'!A279), '3757-S-WUO_TRK'!A279), _xlfn.TEXTAFTER('3757-S-WUO_ERR'!A279, ":"))))</f>
        <v>0</v>
      </c>
    </row>
    <row r="280" spans="1:1">
      <c r="A280" s="39">
        <f>IF('3757 - Wall Stickers (S)'!B280 = "", "", IF('3757-S-WUO_ERR'!A280 = "", "Validated", HYPERLINK("#" &amp; ADDRESS(ROW('3757-S-WUO_TRK'!A280), '3757-S-WUO_TRK'!A280), _xlfn.TEXTAFTER('3757-S-WUO_ERR'!A280, ":"))))</f>
        <v>0</v>
      </c>
    </row>
    <row r="281" spans="1:1">
      <c r="A281" s="39">
        <f>IF('3757 - Wall Stickers (S)'!B281 = "", "", IF('3757-S-WUO_ERR'!A281 = "", "Validated", HYPERLINK("#" &amp; ADDRESS(ROW('3757-S-WUO_TRK'!A281), '3757-S-WUO_TRK'!A281), _xlfn.TEXTAFTER('3757-S-WUO_ERR'!A281, ":"))))</f>
        <v>0</v>
      </c>
    </row>
    <row r="282" spans="1:1">
      <c r="A282" s="39">
        <f>IF('3757 - Wall Stickers (S)'!B282 = "", "", IF('3757-S-WUO_ERR'!A282 = "", "Validated", HYPERLINK("#" &amp; ADDRESS(ROW('3757-S-WUO_TRK'!A282), '3757-S-WUO_TRK'!A282), _xlfn.TEXTAFTER('3757-S-WUO_ERR'!A282, ":"))))</f>
        <v>0</v>
      </c>
    </row>
    <row r="283" spans="1:1">
      <c r="A283" s="39">
        <f>IF('3757 - Wall Stickers (S)'!B283 = "", "", IF('3757-S-WUO_ERR'!A283 = "", "Validated", HYPERLINK("#" &amp; ADDRESS(ROW('3757-S-WUO_TRK'!A283), '3757-S-WUO_TRK'!A283), _xlfn.TEXTAFTER('3757-S-WUO_ERR'!A283, ":"))))</f>
        <v>0</v>
      </c>
    </row>
    <row r="284" spans="1:1">
      <c r="A284" s="39">
        <f>IF('3757 - Wall Stickers (S)'!B284 = "", "", IF('3757-S-WUO_ERR'!A284 = "", "Validated", HYPERLINK("#" &amp; ADDRESS(ROW('3757-S-WUO_TRK'!A284), '3757-S-WUO_TRK'!A284), _xlfn.TEXTAFTER('3757-S-WUO_ERR'!A284, ":"))))</f>
        <v>0</v>
      </c>
    </row>
    <row r="285" spans="1:1">
      <c r="A285" s="39">
        <f>IF('3757 - Wall Stickers (S)'!B285 = "", "", IF('3757-S-WUO_ERR'!A285 = "", "Validated", HYPERLINK("#" &amp; ADDRESS(ROW('3757-S-WUO_TRK'!A285), '3757-S-WUO_TRK'!A285), _xlfn.TEXTAFTER('3757-S-WUO_ERR'!A285, ":"))))</f>
        <v>0</v>
      </c>
    </row>
    <row r="286" spans="1:1">
      <c r="A286" s="39">
        <f>IF('3757 - Wall Stickers (S)'!B286 = "", "", IF('3757-S-WUO_ERR'!A286 = "", "Validated", HYPERLINK("#" &amp; ADDRESS(ROW('3757-S-WUO_TRK'!A286), '3757-S-WUO_TRK'!A286), _xlfn.TEXTAFTER('3757-S-WUO_ERR'!A286, ":"))))</f>
        <v>0</v>
      </c>
    </row>
    <row r="287" spans="1:1">
      <c r="A287" s="39">
        <f>IF('3757 - Wall Stickers (S)'!B287 = "", "", IF('3757-S-WUO_ERR'!A287 = "", "Validated", HYPERLINK("#" &amp; ADDRESS(ROW('3757-S-WUO_TRK'!A287), '3757-S-WUO_TRK'!A287), _xlfn.TEXTAFTER('3757-S-WUO_ERR'!A287, ":"))))</f>
        <v>0</v>
      </c>
    </row>
    <row r="288" spans="1:1">
      <c r="A288" s="39">
        <f>IF('3757 - Wall Stickers (S)'!B288 = "", "", IF('3757-S-WUO_ERR'!A288 = "", "Validated", HYPERLINK("#" &amp; ADDRESS(ROW('3757-S-WUO_TRK'!A288), '3757-S-WUO_TRK'!A288), _xlfn.TEXTAFTER('3757-S-WUO_ERR'!A288, ":"))))</f>
        <v>0</v>
      </c>
    </row>
    <row r="289" spans="1:1">
      <c r="A289" s="39">
        <f>IF('3757 - Wall Stickers (S)'!B289 = "", "", IF('3757-S-WUO_ERR'!A289 = "", "Validated", HYPERLINK("#" &amp; ADDRESS(ROW('3757-S-WUO_TRK'!A289), '3757-S-WUO_TRK'!A289), _xlfn.TEXTAFTER('3757-S-WUO_ERR'!A289, ":"))))</f>
        <v>0</v>
      </c>
    </row>
    <row r="290" spans="1:1">
      <c r="A290" s="39">
        <f>IF('3757 - Wall Stickers (S)'!B290 = "", "", IF('3757-S-WUO_ERR'!A290 = "", "Validated", HYPERLINK("#" &amp; ADDRESS(ROW('3757-S-WUO_TRK'!A290), '3757-S-WUO_TRK'!A290), _xlfn.TEXTAFTER('3757-S-WUO_ERR'!A290, ":"))))</f>
        <v>0</v>
      </c>
    </row>
    <row r="291" spans="1:1">
      <c r="A291" s="39">
        <f>IF('3757 - Wall Stickers (S)'!B291 = "", "", IF('3757-S-WUO_ERR'!A291 = "", "Validated", HYPERLINK("#" &amp; ADDRESS(ROW('3757-S-WUO_TRK'!A291), '3757-S-WUO_TRK'!A291), _xlfn.TEXTAFTER('3757-S-WUO_ERR'!A291, ":"))))</f>
        <v>0</v>
      </c>
    </row>
    <row r="292" spans="1:1">
      <c r="A292" s="39">
        <f>IF('3757 - Wall Stickers (S)'!B292 = "", "", IF('3757-S-WUO_ERR'!A292 = "", "Validated", HYPERLINK("#" &amp; ADDRESS(ROW('3757-S-WUO_TRK'!A292), '3757-S-WUO_TRK'!A292), _xlfn.TEXTAFTER('3757-S-WUO_ERR'!A292, ":"))))</f>
        <v>0</v>
      </c>
    </row>
    <row r="293" spans="1:1">
      <c r="A293" s="39">
        <f>IF('3757 - Wall Stickers (S)'!B293 = "", "", IF('3757-S-WUO_ERR'!A293 = "", "Validated", HYPERLINK("#" &amp; ADDRESS(ROW('3757-S-WUO_TRK'!A293), '3757-S-WUO_TRK'!A293), _xlfn.TEXTAFTER('3757-S-WUO_ERR'!A293, ":"))))</f>
        <v>0</v>
      </c>
    </row>
    <row r="294" spans="1:1">
      <c r="A294" s="39">
        <f>IF('3757 - Wall Stickers (S)'!B294 = "", "", IF('3757-S-WUO_ERR'!A294 = "", "Validated", HYPERLINK("#" &amp; ADDRESS(ROW('3757-S-WUO_TRK'!A294), '3757-S-WUO_TRK'!A294), _xlfn.TEXTAFTER('3757-S-WUO_ERR'!A294, ":"))))</f>
        <v>0</v>
      </c>
    </row>
    <row r="295" spans="1:1">
      <c r="A295" s="39">
        <f>IF('3757 - Wall Stickers (S)'!B295 = "", "", IF('3757-S-WUO_ERR'!A295 = "", "Validated", HYPERLINK("#" &amp; ADDRESS(ROW('3757-S-WUO_TRK'!A295), '3757-S-WUO_TRK'!A295), _xlfn.TEXTAFTER('3757-S-WUO_ERR'!A295, ":"))))</f>
        <v>0</v>
      </c>
    </row>
    <row r="296" spans="1:1">
      <c r="A296" s="39">
        <f>IF('3757 - Wall Stickers (S)'!B296 = "", "", IF('3757-S-WUO_ERR'!A296 = "", "Validated", HYPERLINK("#" &amp; ADDRESS(ROW('3757-S-WUO_TRK'!A296), '3757-S-WUO_TRK'!A296), _xlfn.TEXTAFTER('3757-S-WUO_ERR'!A296, ":"))))</f>
        <v>0</v>
      </c>
    </row>
    <row r="297" spans="1:1">
      <c r="A297" s="39">
        <f>IF('3757 - Wall Stickers (S)'!B297 = "", "", IF('3757-S-WUO_ERR'!A297 = "", "Validated", HYPERLINK("#" &amp; ADDRESS(ROW('3757-S-WUO_TRK'!A297), '3757-S-WUO_TRK'!A297), _xlfn.TEXTAFTER('3757-S-WUO_ERR'!A297, ":"))))</f>
        <v>0</v>
      </c>
    </row>
    <row r="298" spans="1:1">
      <c r="A298" s="39">
        <f>IF('3757 - Wall Stickers (S)'!B298 = "", "", IF('3757-S-WUO_ERR'!A298 = "", "Validated", HYPERLINK("#" &amp; ADDRESS(ROW('3757-S-WUO_TRK'!A298), '3757-S-WUO_TRK'!A298), _xlfn.TEXTAFTER('3757-S-WUO_ERR'!A298, ":"))))</f>
        <v>0</v>
      </c>
    </row>
    <row r="299" spans="1:1">
      <c r="A299" s="39">
        <f>IF('3757 - Wall Stickers (S)'!B299 = "", "", IF('3757-S-WUO_ERR'!A299 = "", "Validated", HYPERLINK("#" &amp; ADDRESS(ROW('3757-S-WUO_TRK'!A299), '3757-S-WUO_TRK'!A299), _xlfn.TEXTAFTER('3757-S-WUO_ERR'!A299, ":"))))</f>
        <v>0</v>
      </c>
    </row>
    <row r="300" spans="1:1">
      <c r="A300" s="39">
        <f>IF('3757 - Wall Stickers (S)'!B300 = "", "", IF('3757-S-WUO_ERR'!A300 = "", "Validated", HYPERLINK("#" &amp; ADDRESS(ROW('3757-S-WUO_TRK'!A300), '3757-S-WUO_TRK'!A300), _xlfn.TEXTAFTER('3757-S-WUO_ERR'!A300, ":"))))</f>
        <v>0</v>
      </c>
    </row>
    <row r="301" spans="1:1">
      <c r="A301" s="39">
        <f>IF('3757 - Wall Stickers (S)'!B301 = "", "", IF('3757-S-WUO_ERR'!A301 = "", "Validated", HYPERLINK("#" &amp; ADDRESS(ROW('3757-S-WUO_TRK'!A301), '3757-S-WUO_TRK'!A301), _xlfn.TEXTAFTER('3757-S-WUO_ERR'!A301, ":"))))</f>
        <v>0</v>
      </c>
    </row>
    <row r="302" spans="1:1">
      <c r="A302" s="39">
        <f>IF('3757 - Wall Stickers (S)'!B302 = "", "", IF('3757-S-WUO_ERR'!A302 = "", "Validated", HYPERLINK("#" &amp; ADDRESS(ROW('3757-S-WUO_TRK'!A302), '3757-S-WUO_TRK'!A302), _xlfn.TEXTAFTER('3757-S-WUO_ERR'!A302, ":"))))</f>
        <v>0</v>
      </c>
    </row>
    <row r="303" spans="1:1">
      <c r="A303" s="39">
        <f>IF('3757 - Wall Stickers (S)'!B303 = "", "", IF('3757-S-WUO_ERR'!A303 = "", "Validated", HYPERLINK("#" &amp; ADDRESS(ROW('3757-S-WUO_TRK'!A303), '3757-S-WUO_TRK'!A303), _xlfn.TEXTAFTER('3757-S-WUO_ERR'!A303, ":"))))</f>
        <v>0</v>
      </c>
    </row>
    <row r="304" spans="1:1">
      <c r="A304" s="39">
        <f>IF('3757 - Wall Stickers (S)'!B304 = "", "", IF('3757-S-WUO_ERR'!A304 = "", "Validated", HYPERLINK("#" &amp; ADDRESS(ROW('3757-S-WUO_TRK'!A304), '3757-S-WUO_TRK'!A304), _xlfn.TEXTAFTER('3757-S-WUO_ERR'!A304, ":"))))</f>
        <v>0</v>
      </c>
    </row>
    <row r="305" spans="1:1">
      <c r="A305" s="39">
        <f>IF('3757 - Wall Stickers (S)'!B305 = "", "", IF('3757-S-WUO_ERR'!A305 = "", "Validated", HYPERLINK("#" &amp; ADDRESS(ROW('3757-S-WUO_TRK'!A305), '3757-S-WUO_TRK'!A305), _xlfn.TEXTAFTER('3757-S-WUO_ERR'!A305, ":"))))</f>
        <v>0</v>
      </c>
    </row>
    <row r="306" spans="1:1">
      <c r="A306" s="39">
        <f>IF('3757 - Wall Stickers (S)'!B306 = "", "", IF('3757-S-WUO_ERR'!A306 = "", "Validated", HYPERLINK("#" &amp; ADDRESS(ROW('3757-S-WUO_TRK'!A306), '3757-S-WUO_TRK'!A306), _xlfn.TEXTAFTER('3757-S-WUO_ERR'!A306, ":"))))</f>
        <v>0</v>
      </c>
    </row>
    <row r="307" spans="1:1">
      <c r="A307" s="39">
        <f>IF('3757 - Wall Stickers (S)'!B307 = "", "", IF('3757-S-WUO_ERR'!A307 = "", "Validated", HYPERLINK("#" &amp; ADDRESS(ROW('3757-S-WUO_TRK'!A307), '3757-S-WUO_TRK'!A307), _xlfn.TEXTAFTER('3757-S-WUO_ERR'!A307, ":"))))</f>
        <v>0</v>
      </c>
    </row>
    <row r="308" spans="1:1">
      <c r="A308" s="39">
        <f>IF('3757 - Wall Stickers (S)'!B308 = "", "", IF('3757-S-WUO_ERR'!A308 = "", "Validated", HYPERLINK("#" &amp; ADDRESS(ROW('3757-S-WUO_TRK'!A308), '3757-S-WUO_TRK'!A308), _xlfn.TEXTAFTER('3757-S-WUO_ERR'!A308, ":"))))</f>
        <v>0</v>
      </c>
    </row>
    <row r="309" spans="1:1">
      <c r="A309" s="39">
        <f>IF('3757 - Wall Stickers (S)'!B309 = "", "", IF('3757-S-WUO_ERR'!A309 = "", "Validated", HYPERLINK("#" &amp; ADDRESS(ROW('3757-S-WUO_TRK'!A309), '3757-S-WUO_TRK'!A309), _xlfn.TEXTAFTER('3757-S-WUO_ERR'!A309, ":"))))</f>
        <v>0</v>
      </c>
    </row>
    <row r="310" spans="1:1">
      <c r="A310" s="39">
        <f>IF('3757 - Wall Stickers (S)'!B310 = "", "", IF('3757-S-WUO_ERR'!A310 = "", "Validated", HYPERLINK("#" &amp; ADDRESS(ROW('3757-S-WUO_TRK'!A310), '3757-S-WUO_TRK'!A310), _xlfn.TEXTAFTER('3757-S-WUO_ERR'!A310, ":"))))</f>
        <v>0</v>
      </c>
    </row>
    <row r="311" spans="1:1">
      <c r="A311" s="39">
        <f>IF('3757 - Wall Stickers (S)'!B311 = "", "", IF('3757-S-WUO_ERR'!A311 = "", "Validated", HYPERLINK("#" &amp; ADDRESS(ROW('3757-S-WUO_TRK'!A311), '3757-S-WUO_TRK'!A311), _xlfn.TEXTAFTER('3757-S-WUO_ERR'!A311, ":"))))</f>
        <v>0</v>
      </c>
    </row>
    <row r="312" spans="1:1">
      <c r="A312" s="39">
        <f>IF('3757 - Wall Stickers (S)'!B312 = "", "", IF('3757-S-WUO_ERR'!A312 = "", "Validated", HYPERLINK("#" &amp; ADDRESS(ROW('3757-S-WUO_TRK'!A312), '3757-S-WUO_TRK'!A312), _xlfn.TEXTAFTER('3757-S-WUO_ERR'!A312, ":"))))</f>
        <v>0</v>
      </c>
    </row>
    <row r="313" spans="1:1">
      <c r="A313" s="39">
        <f>IF('3757 - Wall Stickers (S)'!B313 = "", "", IF('3757-S-WUO_ERR'!A313 = "", "Validated", HYPERLINK("#" &amp; ADDRESS(ROW('3757-S-WUO_TRK'!A313), '3757-S-WUO_TRK'!A313), _xlfn.TEXTAFTER('3757-S-WUO_ERR'!A313, ":"))))</f>
        <v>0</v>
      </c>
    </row>
    <row r="314" spans="1:1">
      <c r="A314" s="39">
        <f>IF('3757 - Wall Stickers (S)'!B314 = "", "", IF('3757-S-WUO_ERR'!A314 = "", "Validated", HYPERLINK("#" &amp; ADDRESS(ROW('3757-S-WUO_TRK'!A314), '3757-S-WUO_TRK'!A314), _xlfn.TEXTAFTER('3757-S-WUO_ERR'!A314, ":"))))</f>
        <v>0</v>
      </c>
    </row>
    <row r="315" spans="1:1">
      <c r="A315" s="39">
        <f>IF('3757 - Wall Stickers (S)'!B315 = "", "", IF('3757-S-WUO_ERR'!A315 = "", "Validated", HYPERLINK("#" &amp; ADDRESS(ROW('3757-S-WUO_TRK'!A315), '3757-S-WUO_TRK'!A315), _xlfn.TEXTAFTER('3757-S-WUO_ERR'!A315, ":"))))</f>
        <v>0</v>
      </c>
    </row>
    <row r="316" spans="1:1">
      <c r="A316" s="39">
        <f>IF('3757 - Wall Stickers (S)'!B316 = "", "", IF('3757-S-WUO_ERR'!A316 = "", "Validated", HYPERLINK("#" &amp; ADDRESS(ROW('3757-S-WUO_TRK'!A316), '3757-S-WUO_TRK'!A316), _xlfn.TEXTAFTER('3757-S-WUO_ERR'!A316, ":"))))</f>
        <v>0</v>
      </c>
    </row>
    <row r="317" spans="1:1">
      <c r="A317" s="39">
        <f>IF('3757 - Wall Stickers (S)'!B317 = "", "", IF('3757-S-WUO_ERR'!A317 = "", "Validated", HYPERLINK("#" &amp; ADDRESS(ROW('3757-S-WUO_TRK'!A317), '3757-S-WUO_TRK'!A317), _xlfn.TEXTAFTER('3757-S-WUO_ERR'!A317, ":"))))</f>
        <v>0</v>
      </c>
    </row>
    <row r="318" spans="1:1">
      <c r="A318" s="39">
        <f>IF('3757 - Wall Stickers (S)'!B318 = "", "", IF('3757-S-WUO_ERR'!A318 = "", "Validated", HYPERLINK("#" &amp; ADDRESS(ROW('3757-S-WUO_TRK'!A318), '3757-S-WUO_TRK'!A318), _xlfn.TEXTAFTER('3757-S-WUO_ERR'!A318, ":"))))</f>
        <v>0</v>
      </c>
    </row>
    <row r="319" spans="1:1">
      <c r="A319" s="39">
        <f>IF('3757 - Wall Stickers (S)'!B319 = "", "", IF('3757-S-WUO_ERR'!A319 = "", "Validated", HYPERLINK("#" &amp; ADDRESS(ROW('3757-S-WUO_TRK'!A319), '3757-S-WUO_TRK'!A319), _xlfn.TEXTAFTER('3757-S-WUO_ERR'!A319, ":"))))</f>
        <v>0</v>
      </c>
    </row>
    <row r="320" spans="1:1">
      <c r="A320" s="39">
        <f>IF('3757 - Wall Stickers (S)'!B320 = "", "", IF('3757-S-WUO_ERR'!A320 = "", "Validated", HYPERLINK("#" &amp; ADDRESS(ROW('3757-S-WUO_TRK'!A320), '3757-S-WUO_TRK'!A320), _xlfn.TEXTAFTER('3757-S-WUO_ERR'!A320, ":"))))</f>
        <v>0</v>
      </c>
    </row>
    <row r="321" spans="1:1">
      <c r="A321" s="39">
        <f>IF('3757 - Wall Stickers (S)'!B321 = "", "", IF('3757-S-WUO_ERR'!A321 = "", "Validated", HYPERLINK("#" &amp; ADDRESS(ROW('3757-S-WUO_TRK'!A321), '3757-S-WUO_TRK'!A321), _xlfn.TEXTAFTER('3757-S-WUO_ERR'!A321, ":"))))</f>
        <v>0</v>
      </c>
    </row>
    <row r="322" spans="1:1">
      <c r="A322" s="39">
        <f>IF('3757 - Wall Stickers (S)'!B322 = "", "", IF('3757-S-WUO_ERR'!A322 = "", "Validated", HYPERLINK("#" &amp; ADDRESS(ROW('3757-S-WUO_TRK'!A322), '3757-S-WUO_TRK'!A322), _xlfn.TEXTAFTER('3757-S-WUO_ERR'!A322, ":"))))</f>
        <v>0</v>
      </c>
    </row>
    <row r="323" spans="1:1">
      <c r="A323" s="39">
        <f>IF('3757 - Wall Stickers (S)'!B323 = "", "", IF('3757-S-WUO_ERR'!A323 = "", "Validated", HYPERLINK("#" &amp; ADDRESS(ROW('3757-S-WUO_TRK'!A323), '3757-S-WUO_TRK'!A323), _xlfn.TEXTAFTER('3757-S-WUO_ERR'!A323, ":"))))</f>
        <v>0</v>
      </c>
    </row>
    <row r="324" spans="1:1">
      <c r="A324" s="39">
        <f>IF('3757 - Wall Stickers (S)'!B324 = "", "", IF('3757-S-WUO_ERR'!A324 = "", "Validated", HYPERLINK("#" &amp; ADDRESS(ROW('3757-S-WUO_TRK'!A324), '3757-S-WUO_TRK'!A324), _xlfn.TEXTAFTER('3757-S-WUO_ERR'!A324, ":"))))</f>
        <v>0</v>
      </c>
    </row>
    <row r="325" spans="1:1">
      <c r="A325" s="39">
        <f>IF('3757 - Wall Stickers (S)'!B325 = "", "", IF('3757-S-WUO_ERR'!A325 = "", "Validated", HYPERLINK("#" &amp; ADDRESS(ROW('3757-S-WUO_TRK'!A325), '3757-S-WUO_TRK'!A325), _xlfn.TEXTAFTER('3757-S-WUO_ERR'!A325, ":"))))</f>
        <v>0</v>
      </c>
    </row>
    <row r="326" spans="1:1">
      <c r="A326" s="39">
        <f>IF('3757 - Wall Stickers (S)'!B326 = "", "", IF('3757-S-WUO_ERR'!A326 = "", "Validated", HYPERLINK("#" &amp; ADDRESS(ROW('3757-S-WUO_TRK'!A326), '3757-S-WUO_TRK'!A326), _xlfn.TEXTAFTER('3757-S-WUO_ERR'!A326, ":"))))</f>
        <v>0</v>
      </c>
    </row>
    <row r="327" spans="1:1">
      <c r="A327" s="39">
        <f>IF('3757 - Wall Stickers (S)'!B327 = "", "", IF('3757-S-WUO_ERR'!A327 = "", "Validated", HYPERLINK("#" &amp; ADDRESS(ROW('3757-S-WUO_TRK'!A327), '3757-S-WUO_TRK'!A327), _xlfn.TEXTAFTER('3757-S-WUO_ERR'!A327, ":"))))</f>
        <v>0</v>
      </c>
    </row>
    <row r="328" spans="1:1">
      <c r="A328" s="39">
        <f>IF('3757 - Wall Stickers (S)'!B328 = "", "", IF('3757-S-WUO_ERR'!A328 = "", "Validated", HYPERLINK("#" &amp; ADDRESS(ROW('3757-S-WUO_TRK'!A328), '3757-S-WUO_TRK'!A328), _xlfn.TEXTAFTER('3757-S-WUO_ERR'!A328, ":"))))</f>
        <v>0</v>
      </c>
    </row>
    <row r="329" spans="1:1">
      <c r="A329" s="39">
        <f>IF('3757 - Wall Stickers (S)'!B329 = "", "", IF('3757-S-WUO_ERR'!A329 = "", "Validated", HYPERLINK("#" &amp; ADDRESS(ROW('3757-S-WUO_TRK'!A329), '3757-S-WUO_TRK'!A329), _xlfn.TEXTAFTER('3757-S-WUO_ERR'!A329, ":"))))</f>
        <v>0</v>
      </c>
    </row>
    <row r="330" spans="1:1">
      <c r="A330" s="39">
        <f>IF('3757 - Wall Stickers (S)'!B330 = "", "", IF('3757-S-WUO_ERR'!A330 = "", "Validated", HYPERLINK("#" &amp; ADDRESS(ROW('3757-S-WUO_TRK'!A330), '3757-S-WUO_TRK'!A330), _xlfn.TEXTAFTER('3757-S-WUO_ERR'!A330, ":"))))</f>
        <v>0</v>
      </c>
    </row>
    <row r="331" spans="1:1">
      <c r="A331" s="39">
        <f>IF('3757 - Wall Stickers (S)'!B331 = "", "", IF('3757-S-WUO_ERR'!A331 = "", "Validated", HYPERLINK("#" &amp; ADDRESS(ROW('3757-S-WUO_TRK'!A331), '3757-S-WUO_TRK'!A331), _xlfn.TEXTAFTER('3757-S-WUO_ERR'!A331, ":"))))</f>
        <v>0</v>
      </c>
    </row>
    <row r="332" spans="1:1">
      <c r="A332" s="39">
        <f>IF('3757 - Wall Stickers (S)'!B332 = "", "", IF('3757-S-WUO_ERR'!A332 = "", "Validated", HYPERLINK("#" &amp; ADDRESS(ROW('3757-S-WUO_TRK'!A332), '3757-S-WUO_TRK'!A332), _xlfn.TEXTAFTER('3757-S-WUO_ERR'!A332, ":"))))</f>
        <v>0</v>
      </c>
    </row>
    <row r="333" spans="1:1">
      <c r="A333" s="39">
        <f>IF('3757 - Wall Stickers (S)'!B333 = "", "", IF('3757-S-WUO_ERR'!A333 = "", "Validated", HYPERLINK("#" &amp; ADDRESS(ROW('3757-S-WUO_TRK'!A333), '3757-S-WUO_TRK'!A333), _xlfn.TEXTAFTER('3757-S-WUO_ERR'!A333, ":"))))</f>
        <v>0</v>
      </c>
    </row>
    <row r="334" spans="1:1">
      <c r="A334" s="39">
        <f>IF('3757 - Wall Stickers (S)'!B334 = "", "", IF('3757-S-WUO_ERR'!A334 = "", "Validated", HYPERLINK("#" &amp; ADDRESS(ROW('3757-S-WUO_TRK'!A334), '3757-S-WUO_TRK'!A334), _xlfn.TEXTAFTER('3757-S-WUO_ERR'!A334, ":"))))</f>
        <v>0</v>
      </c>
    </row>
    <row r="335" spans="1:1">
      <c r="A335" s="39">
        <f>IF('3757 - Wall Stickers (S)'!B335 = "", "", IF('3757-S-WUO_ERR'!A335 = "", "Validated", HYPERLINK("#" &amp; ADDRESS(ROW('3757-S-WUO_TRK'!A335), '3757-S-WUO_TRK'!A335), _xlfn.TEXTAFTER('3757-S-WUO_ERR'!A335, ":"))))</f>
        <v>0</v>
      </c>
    </row>
    <row r="336" spans="1:1">
      <c r="A336" s="39">
        <f>IF('3757 - Wall Stickers (S)'!B336 = "", "", IF('3757-S-WUO_ERR'!A336 = "", "Validated", HYPERLINK("#" &amp; ADDRESS(ROW('3757-S-WUO_TRK'!A336), '3757-S-WUO_TRK'!A336), _xlfn.TEXTAFTER('3757-S-WUO_ERR'!A336, ":"))))</f>
        <v>0</v>
      </c>
    </row>
    <row r="337" spans="1:1">
      <c r="A337" s="39">
        <f>IF('3757 - Wall Stickers (S)'!B337 = "", "", IF('3757-S-WUO_ERR'!A337 = "", "Validated", HYPERLINK("#" &amp; ADDRESS(ROW('3757-S-WUO_TRK'!A337), '3757-S-WUO_TRK'!A337), _xlfn.TEXTAFTER('3757-S-WUO_ERR'!A337, ":"))))</f>
        <v>0</v>
      </c>
    </row>
    <row r="338" spans="1:1">
      <c r="A338" s="39">
        <f>IF('3757 - Wall Stickers (S)'!B338 = "", "", IF('3757-S-WUO_ERR'!A338 = "", "Validated", HYPERLINK("#" &amp; ADDRESS(ROW('3757-S-WUO_TRK'!A338), '3757-S-WUO_TRK'!A338), _xlfn.TEXTAFTER('3757-S-WUO_ERR'!A338, ":"))))</f>
        <v>0</v>
      </c>
    </row>
    <row r="339" spans="1:1">
      <c r="A339" s="39">
        <f>IF('3757 - Wall Stickers (S)'!B339 = "", "", IF('3757-S-WUO_ERR'!A339 = "", "Validated", HYPERLINK("#" &amp; ADDRESS(ROW('3757-S-WUO_TRK'!A339), '3757-S-WUO_TRK'!A339), _xlfn.TEXTAFTER('3757-S-WUO_ERR'!A339, ":"))))</f>
        <v>0</v>
      </c>
    </row>
    <row r="340" spans="1:1">
      <c r="A340" s="39">
        <f>IF('3757 - Wall Stickers (S)'!B340 = "", "", IF('3757-S-WUO_ERR'!A340 = "", "Validated", HYPERLINK("#" &amp; ADDRESS(ROW('3757-S-WUO_TRK'!A340), '3757-S-WUO_TRK'!A340), _xlfn.TEXTAFTER('3757-S-WUO_ERR'!A340, ":"))))</f>
        <v>0</v>
      </c>
    </row>
    <row r="341" spans="1:1">
      <c r="A341" s="39">
        <f>IF('3757 - Wall Stickers (S)'!B341 = "", "", IF('3757-S-WUO_ERR'!A341 = "", "Validated", HYPERLINK("#" &amp; ADDRESS(ROW('3757-S-WUO_TRK'!A341), '3757-S-WUO_TRK'!A341), _xlfn.TEXTAFTER('3757-S-WUO_ERR'!A341, ":"))))</f>
        <v>0</v>
      </c>
    </row>
    <row r="342" spans="1:1">
      <c r="A342" s="39">
        <f>IF('3757 - Wall Stickers (S)'!B342 = "", "", IF('3757-S-WUO_ERR'!A342 = "", "Validated", HYPERLINK("#" &amp; ADDRESS(ROW('3757-S-WUO_TRK'!A342), '3757-S-WUO_TRK'!A342), _xlfn.TEXTAFTER('3757-S-WUO_ERR'!A342, ":"))))</f>
        <v>0</v>
      </c>
    </row>
    <row r="343" spans="1:1">
      <c r="A343" s="39">
        <f>IF('3757 - Wall Stickers (S)'!B343 = "", "", IF('3757-S-WUO_ERR'!A343 = "", "Validated", HYPERLINK("#" &amp; ADDRESS(ROW('3757-S-WUO_TRK'!A343), '3757-S-WUO_TRK'!A343), _xlfn.TEXTAFTER('3757-S-WUO_ERR'!A343, ":"))))</f>
        <v>0</v>
      </c>
    </row>
    <row r="344" spans="1:1">
      <c r="A344" s="39">
        <f>IF('3757 - Wall Stickers (S)'!B344 = "", "", IF('3757-S-WUO_ERR'!A344 = "", "Validated", HYPERLINK("#" &amp; ADDRESS(ROW('3757-S-WUO_TRK'!A344), '3757-S-WUO_TRK'!A344), _xlfn.TEXTAFTER('3757-S-WUO_ERR'!A344, ":"))))</f>
        <v>0</v>
      </c>
    </row>
    <row r="345" spans="1:1">
      <c r="A345" s="39">
        <f>IF('3757 - Wall Stickers (S)'!B345 = "", "", IF('3757-S-WUO_ERR'!A345 = "", "Validated", HYPERLINK("#" &amp; ADDRESS(ROW('3757-S-WUO_TRK'!A345), '3757-S-WUO_TRK'!A345), _xlfn.TEXTAFTER('3757-S-WUO_ERR'!A345, ":"))))</f>
        <v>0</v>
      </c>
    </row>
    <row r="346" spans="1:1">
      <c r="A346" s="39">
        <f>IF('3757 - Wall Stickers (S)'!B346 = "", "", IF('3757-S-WUO_ERR'!A346 = "", "Validated", HYPERLINK("#" &amp; ADDRESS(ROW('3757-S-WUO_TRK'!A346), '3757-S-WUO_TRK'!A346), _xlfn.TEXTAFTER('3757-S-WUO_ERR'!A346, ":"))))</f>
        <v>0</v>
      </c>
    </row>
    <row r="347" spans="1:1">
      <c r="A347" s="39">
        <f>IF('3757 - Wall Stickers (S)'!B347 = "", "", IF('3757-S-WUO_ERR'!A347 = "", "Validated", HYPERLINK("#" &amp; ADDRESS(ROW('3757-S-WUO_TRK'!A347), '3757-S-WUO_TRK'!A347), _xlfn.TEXTAFTER('3757-S-WUO_ERR'!A347, ":"))))</f>
        <v>0</v>
      </c>
    </row>
    <row r="348" spans="1:1">
      <c r="A348" s="39">
        <f>IF('3757 - Wall Stickers (S)'!B348 = "", "", IF('3757-S-WUO_ERR'!A348 = "", "Validated", HYPERLINK("#" &amp; ADDRESS(ROW('3757-S-WUO_TRK'!A348), '3757-S-WUO_TRK'!A348), _xlfn.TEXTAFTER('3757-S-WUO_ERR'!A348, ":"))))</f>
        <v>0</v>
      </c>
    </row>
    <row r="349" spans="1:1">
      <c r="A349" s="39">
        <f>IF('3757 - Wall Stickers (S)'!B349 = "", "", IF('3757-S-WUO_ERR'!A349 = "", "Validated", HYPERLINK("#" &amp; ADDRESS(ROW('3757-S-WUO_TRK'!A349), '3757-S-WUO_TRK'!A349), _xlfn.TEXTAFTER('3757-S-WUO_ERR'!A349, ":"))))</f>
        <v>0</v>
      </c>
    </row>
    <row r="350" spans="1:1">
      <c r="A350" s="39">
        <f>IF('3757 - Wall Stickers (S)'!B350 = "", "", IF('3757-S-WUO_ERR'!A350 = "", "Validated", HYPERLINK("#" &amp; ADDRESS(ROW('3757-S-WUO_TRK'!A350), '3757-S-WUO_TRK'!A350), _xlfn.TEXTAFTER('3757-S-WUO_ERR'!A350, ":"))))</f>
        <v>0</v>
      </c>
    </row>
    <row r="351" spans="1:1">
      <c r="A351" s="39">
        <f>IF('3757 - Wall Stickers (S)'!B351 = "", "", IF('3757-S-WUO_ERR'!A351 = "", "Validated", HYPERLINK("#" &amp; ADDRESS(ROW('3757-S-WUO_TRK'!A351), '3757-S-WUO_TRK'!A351), _xlfn.TEXTAFTER('3757-S-WUO_ERR'!A351, ":"))))</f>
        <v>0</v>
      </c>
    </row>
    <row r="352" spans="1:1">
      <c r="A352" s="39">
        <f>IF('3757 - Wall Stickers (S)'!B352 = "", "", IF('3757-S-WUO_ERR'!A352 = "", "Validated", HYPERLINK("#" &amp; ADDRESS(ROW('3757-S-WUO_TRK'!A352), '3757-S-WUO_TRK'!A352), _xlfn.TEXTAFTER('3757-S-WUO_ERR'!A352, ":"))))</f>
        <v>0</v>
      </c>
    </row>
    <row r="353" spans="1:1">
      <c r="A353" s="39">
        <f>IF('3757 - Wall Stickers (S)'!B353 = "", "", IF('3757-S-WUO_ERR'!A353 = "", "Validated", HYPERLINK("#" &amp; ADDRESS(ROW('3757-S-WUO_TRK'!A353), '3757-S-WUO_TRK'!A353), _xlfn.TEXTAFTER('3757-S-WUO_ERR'!A353, ":"))))</f>
        <v>0</v>
      </c>
    </row>
    <row r="354" spans="1:1">
      <c r="A354" s="39">
        <f>IF('3757 - Wall Stickers (S)'!B354 = "", "", IF('3757-S-WUO_ERR'!A354 = "", "Validated", HYPERLINK("#" &amp; ADDRESS(ROW('3757-S-WUO_TRK'!A354), '3757-S-WUO_TRK'!A354), _xlfn.TEXTAFTER('3757-S-WUO_ERR'!A354, ":"))))</f>
        <v>0</v>
      </c>
    </row>
    <row r="355" spans="1:1">
      <c r="A355" s="39">
        <f>IF('3757 - Wall Stickers (S)'!B355 = "", "", IF('3757-S-WUO_ERR'!A355 = "", "Validated", HYPERLINK("#" &amp; ADDRESS(ROW('3757-S-WUO_TRK'!A355), '3757-S-WUO_TRK'!A355), _xlfn.TEXTAFTER('3757-S-WUO_ERR'!A355, ":"))))</f>
        <v>0</v>
      </c>
    </row>
    <row r="356" spans="1:1">
      <c r="A356" s="39">
        <f>IF('3757 - Wall Stickers (S)'!B356 = "", "", IF('3757-S-WUO_ERR'!A356 = "", "Validated", HYPERLINK("#" &amp; ADDRESS(ROW('3757-S-WUO_TRK'!A356), '3757-S-WUO_TRK'!A356), _xlfn.TEXTAFTER('3757-S-WUO_ERR'!A356, ":"))))</f>
        <v>0</v>
      </c>
    </row>
    <row r="357" spans="1:1">
      <c r="A357" s="39">
        <f>IF('3757 - Wall Stickers (S)'!B357 = "", "", IF('3757-S-WUO_ERR'!A357 = "", "Validated", HYPERLINK("#" &amp; ADDRESS(ROW('3757-S-WUO_TRK'!A357), '3757-S-WUO_TRK'!A357), _xlfn.TEXTAFTER('3757-S-WUO_ERR'!A357, ":"))))</f>
        <v>0</v>
      </c>
    </row>
    <row r="358" spans="1:1">
      <c r="A358" s="39">
        <f>IF('3757 - Wall Stickers (S)'!B358 = "", "", IF('3757-S-WUO_ERR'!A358 = "", "Validated", HYPERLINK("#" &amp; ADDRESS(ROW('3757-S-WUO_TRK'!A358), '3757-S-WUO_TRK'!A358), _xlfn.TEXTAFTER('3757-S-WUO_ERR'!A358, ":"))))</f>
        <v>0</v>
      </c>
    </row>
    <row r="359" spans="1:1">
      <c r="A359" s="39">
        <f>IF('3757 - Wall Stickers (S)'!B359 = "", "", IF('3757-S-WUO_ERR'!A359 = "", "Validated", HYPERLINK("#" &amp; ADDRESS(ROW('3757-S-WUO_TRK'!A359), '3757-S-WUO_TRK'!A359), _xlfn.TEXTAFTER('3757-S-WUO_ERR'!A359, ":"))))</f>
        <v>0</v>
      </c>
    </row>
    <row r="360" spans="1:1">
      <c r="A360" s="39">
        <f>IF('3757 - Wall Stickers (S)'!B360 = "", "", IF('3757-S-WUO_ERR'!A360 = "", "Validated", HYPERLINK("#" &amp; ADDRESS(ROW('3757-S-WUO_TRK'!A360), '3757-S-WUO_TRK'!A360), _xlfn.TEXTAFTER('3757-S-WUO_ERR'!A360, ":"))))</f>
        <v>0</v>
      </c>
    </row>
    <row r="361" spans="1:1">
      <c r="A361" s="39">
        <f>IF('3757 - Wall Stickers (S)'!B361 = "", "", IF('3757-S-WUO_ERR'!A361 = "", "Validated", HYPERLINK("#" &amp; ADDRESS(ROW('3757-S-WUO_TRK'!A361), '3757-S-WUO_TRK'!A361), _xlfn.TEXTAFTER('3757-S-WUO_ERR'!A361, ":"))))</f>
        <v>0</v>
      </c>
    </row>
    <row r="362" spans="1:1">
      <c r="A362" s="39">
        <f>IF('3757 - Wall Stickers (S)'!B362 = "", "", IF('3757-S-WUO_ERR'!A362 = "", "Validated", HYPERLINK("#" &amp; ADDRESS(ROW('3757-S-WUO_TRK'!A362), '3757-S-WUO_TRK'!A362), _xlfn.TEXTAFTER('3757-S-WUO_ERR'!A362, ":"))))</f>
        <v>0</v>
      </c>
    </row>
    <row r="363" spans="1:1">
      <c r="A363" s="39">
        <f>IF('3757 - Wall Stickers (S)'!B363 = "", "", IF('3757-S-WUO_ERR'!A363 = "", "Validated", HYPERLINK("#" &amp; ADDRESS(ROW('3757-S-WUO_TRK'!A363), '3757-S-WUO_TRK'!A363), _xlfn.TEXTAFTER('3757-S-WUO_ERR'!A363, ":"))))</f>
        <v>0</v>
      </c>
    </row>
    <row r="364" spans="1:1">
      <c r="A364" s="39">
        <f>IF('3757 - Wall Stickers (S)'!B364 = "", "", IF('3757-S-WUO_ERR'!A364 = "", "Validated", HYPERLINK("#" &amp; ADDRESS(ROW('3757-S-WUO_TRK'!A364), '3757-S-WUO_TRK'!A364), _xlfn.TEXTAFTER('3757-S-WUO_ERR'!A364, ":"))))</f>
        <v>0</v>
      </c>
    </row>
    <row r="365" spans="1:1">
      <c r="A365" s="39">
        <f>IF('3757 - Wall Stickers (S)'!B365 = "", "", IF('3757-S-WUO_ERR'!A365 = "", "Validated", HYPERLINK("#" &amp; ADDRESS(ROW('3757-S-WUO_TRK'!A365), '3757-S-WUO_TRK'!A365), _xlfn.TEXTAFTER('3757-S-WUO_ERR'!A365, ":"))))</f>
        <v>0</v>
      </c>
    </row>
    <row r="366" spans="1:1">
      <c r="A366" s="39">
        <f>IF('3757 - Wall Stickers (S)'!B366 = "", "", IF('3757-S-WUO_ERR'!A366 = "", "Validated", HYPERLINK("#" &amp; ADDRESS(ROW('3757-S-WUO_TRK'!A366), '3757-S-WUO_TRK'!A366), _xlfn.TEXTAFTER('3757-S-WUO_ERR'!A366, ":"))))</f>
        <v>0</v>
      </c>
    </row>
    <row r="367" spans="1:1">
      <c r="A367" s="39">
        <f>IF('3757 - Wall Stickers (S)'!B367 = "", "", IF('3757-S-WUO_ERR'!A367 = "", "Validated", HYPERLINK("#" &amp; ADDRESS(ROW('3757-S-WUO_TRK'!A367), '3757-S-WUO_TRK'!A367), _xlfn.TEXTAFTER('3757-S-WUO_ERR'!A367, ":"))))</f>
        <v>0</v>
      </c>
    </row>
    <row r="368" spans="1:1">
      <c r="A368" s="39">
        <f>IF('3757 - Wall Stickers (S)'!B368 = "", "", IF('3757-S-WUO_ERR'!A368 = "", "Validated", HYPERLINK("#" &amp; ADDRESS(ROW('3757-S-WUO_TRK'!A368), '3757-S-WUO_TRK'!A368), _xlfn.TEXTAFTER('3757-S-WUO_ERR'!A368, ":"))))</f>
        <v>0</v>
      </c>
    </row>
    <row r="369" spans="1:1">
      <c r="A369" s="39">
        <f>IF('3757 - Wall Stickers (S)'!B369 = "", "", IF('3757-S-WUO_ERR'!A369 = "", "Validated", HYPERLINK("#" &amp; ADDRESS(ROW('3757-S-WUO_TRK'!A369), '3757-S-WUO_TRK'!A369), _xlfn.TEXTAFTER('3757-S-WUO_ERR'!A369, ":"))))</f>
        <v>0</v>
      </c>
    </row>
    <row r="370" spans="1:1">
      <c r="A370" s="39">
        <f>IF('3757 - Wall Stickers (S)'!B370 = "", "", IF('3757-S-WUO_ERR'!A370 = "", "Validated", HYPERLINK("#" &amp; ADDRESS(ROW('3757-S-WUO_TRK'!A370), '3757-S-WUO_TRK'!A370), _xlfn.TEXTAFTER('3757-S-WUO_ERR'!A370, ":"))))</f>
        <v>0</v>
      </c>
    </row>
    <row r="371" spans="1:1">
      <c r="A371" s="39">
        <f>IF('3757 - Wall Stickers (S)'!B371 = "", "", IF('3757-S-WUO_ERR'!A371 = "", "Validated", HYPERLINK("#" &amp; ADDRESS(ROW('3757-S-WUO_TRK'!A371), '3757-S-WUO_TRK'!A371), _xlfn.TEXTAFTER('3757-S-WUO_ERR'!A371, ":"))))</f>
        <v>0</v>
      </c>
    </row>
    <row r="372" spans="1:1">
      <c r="A372" s="39">
        <f>IF('3757 - Wall Stickers (S)'!B372 = "", "", IF('3757-S-WUO_ERR'!A372 = "", "Validated", HYPERLINK("#" &amp; ADDRESS(ROW('3757-S-WUO_TRK'!A372), '3757-S-WUO_TRK'!A372), _xlfn.TEXTAFTER('3757-S-WUO_ERR'!A372, ":"))))</f>
        <v>0</v>
      </c>
    </row>
    <row r="373" spans="1:1">
      <c r="A373" s="39">
        <f>IF('3757 - Wall Stickers (S)'!B373 = "", "", IF('3757-S-WUO_ERR'!A373 = "", "Validated", HYPERLINK("#" &amp; ADDRESS(ROW('3757-S-WUO_TRK'!A373), '3757-S-WUO_TRK'!A373), _xlfn.TEXTAFTER('3757-S-WUO_ERR'!A373, ":"))))</f>
        <v>0</v>
      </c>
    </row>
    <row r="374" spans="1:1">
      <c r="A374" s="39">
        <f>IF('3757 - Wall Stickers (S)'!B374 = "", "", IF('3757-S-WUO_ERR'!A374 = "", "Validated", HYPERLINK("#" &amp; ADDRESS(ROW('3757-S-WUO_TRK'!A374), '3757-S-WUO_TRK'!A374), _xlfn.TEXTAFTER('3757-S-WUO_ERR'!A374, ":"))))</f>
        <v>0</v>
      </c>
    </row>
    <row r="375" spans="1:1">
      <c r="A375" s="39">
        <f>IF('3757 - Wall Stickers (S)'!B375 = "", "", IF('3757-S-WUO_ERR'!A375 = "", "Validated", HYPERLINK("#" &amp; ADDRESS(ROW('3757-S-WUO_TRK'!A375), '3757-S-WUO_TRK'!A375), _xlfn.TEXTAFTER('3757-S-WUO_ERR'!A375, ":"))))</f>
        <v>0</v>
      </c>
    </row>
    <row r="376" spans="1:1">
      <c r="A376" s="39">
        <f>IF('3757 - Wall Stickers (S)'!B376 = "", "", IF('3757-S-WUO_ERR'!A376 = "", "Validated", HYPERLINK("#" &amp; ADDRESS(ROW('3757-S-WUO_TRK'!A376), '3757-S-WUO_TRK'!A376), _xlfn.TEXTAFTER('3757-S-WUO_ERR'!A376, ":"))))</f>
        <v>0</v>
      </c>
    </row>
    <row r="377" spans="1:1">
      <c r="A377" s="39">
        <f>IF('3757 - Wall Stickers (S)'!B377 = "", "", IF('3757-S-WUO_ERR'!A377 = "", "Validated", HYPERLINK("#" &amp; ADDRESS(ROW('3757-S-WUO_TRK'!A377), '3757-S-WUO_TRK'!A377), _xlfn.TEXTAFTER('3757-S-WUO_ERR'!A377, ":"))))</f>
        <v>0</v>
      </c>
    </row>
    <row r="378" spans="1:1">
      <c r="A378" s="39">
        <f>IF('3757 - Wall Stickers (S)'!B378 = "", "", IF('3757-S-WUO_ERR'!A378 = "", "Validated", HYPERLINK("#" &amp; ADDRESS(ROW('3757-S-WUO_TRK'!A378), '3757-S-WUO_TRK'!A378), _xlfn.TEXTAFTER('3757-S-WUO_ERR'!A378, ":"))))</f>
        <v>0</v>
      </c>
    </row>
    <row r="379" spans="1:1">
      <c r="A379" s="39">
        <f>IF('3757 - Wall Stickers (S)'!B379 = "", "", IF('3757-S-WUO_ERR'!A379 = "", "Validated", HYPERLINK("#" &amp; ADDRESS(ROW('3757-S-WUO_TRK'!A379), '3757-S-WUO_TRK'!A379), _xlfn.TEXTAFTER('3757-S-WUO_ERR'!A379, ":"))))</f>
        <v>0</v>
      </c>
    </row>
    <row r="380" spans="1:1">
      <c r="A380" s="39">
        <f>IF('3757 - Wall Stickers (S)'!B380 = "", "", IF('3757-S-WUO_ERR'!A380 = "", "Validated", HYPERLINK("#" &amp; ADDRESS(ROW('3757-S-WUO_TRK'!A380), '3757-S-WUO_TRK'!A380), _xlfn.TEXTAFTER('3757-S-WUO_ERR'!A380, ":"))))</f>
        <v>0</v>
      </c>
    </row>
    <row r="381" spans="1:1">
      <c r="A381" s="39">
        <f>IF('3757 - Wall Stickers (S)'!B381 = "", "", IF('3757-S-WUO_ERR'!A381 = "", "Validated", HYPERLINK("#" &amp; ADDRESS(ROW('3757-S-WUO_TRK'!A381), '3757-S-WUO_TRK'!A381), _xlfn.TEXTAFTER('3757-S-WUO_ERR'!A381, ":"))))</f>
        <v>0</v>
      </c>
    </row>
    <row r="382" spans="1:1">
      <c r="A382" s="39">
        <f>IF('3757 - Wall Stickers (S)'!B382 = "", "", IF('3757-S-WUO_ERR'!A382 = "", "Validated", HYPERLINK("#" &amp; ADDRESS(ROW('3757-S-WUO_TRK'!A382), '3757-S-WUO_TRK'!A382), _xlfn.TEXTAFTER('3757-S-WUO_ERR'!A382, ":"))))</f>
        <v>0</v>
      </c>
    </row>
    <row r="383" spans="1:1">
      <c r="A383" s="39">
        <f>IF('3757 - Wall Stickers (S)'!B383 = "", "", IF('3757-S-WUO_ERR'!A383 = "", "Validated", HYPERLINK("#" &amp; ADDRESS(ROW('3757-S-WUO_TRK'!A383), '3757-S-WUO_TRK'!A383), _xlfn.TEXTAFTER('3757-S-WUO_ERR'!A383, ":"))))</f>
        <v>0</v>
      </c>
    </row>
    <row r="384" spans="1:1">
      <c r="A384" s="39">
        <f>IF('3757 - Wall Stickers (S)'!B384 = "", "", IF('3757-S-WUO_ERR'!A384 = "", "Validated", HYPERLINK("#" &amp; ADDRESS(ROW('3757-S-WUO_TRK'!A384), '3757-S-WUO_TRK'!A384), _xlfn.TEXTAFTER('3757-S-WUO_ERR'!A384, ":"))))</f>
        <v>0</v>
      </c>
    </row>
    <row r="385" spans="1:1">
      <c r="A385" s="39">
        <f>IF('3757 - Wall Stickers (S)'!B385 = "", "", IF('3757-S-WUO_ERR'!A385 = "", "Validated", HYPERLINK("#" &amp; ADDRESS(ROW('3757-S-WUO_TRK'!A385), '3757-S-WUO_TRK'!A385), _xlfn.TEXTAFTER('3757-S-WUO_ERR'!A385, ":"))))</f>
        <v>0</v>
      </c>
    </row>
    <row r="386" spans="1:1">
      <c r="A386" s="39">
        <f>IF('3757 - Wall Stickers (S)'!B386 = "", "", IF('3757-S-WUO_ERR'!A386 = "", "Validated", HYPERLINK("#" &amp; ADDRESS(ROW('3757-S-WUO_TRK'!A386), '3757-S-WUO_TRK'!A386), _xlfn.TEXTAFTER('3757-S-WUO_ERR'!A386, ":"))))</f>
        <v>0</v>
      </c>
    </row>
    <row r="387" spans="1:1">
      <c r="A387" s="39">
        <f>IF('3757 - Wall Stickers (S)'!B387 = "", "", IF('3757-S-WUO_ERR'!A387 = "", "Validated", HYPERLINK("#" &amp; ADDRESS(ROW('3757-S-WUO_TRK'!A387), '3757-S-WUO_TRK'!A387), _xlfn.TEXTAFTER('3757-S-WUO_ERR'!A387, ":"))))</f>
        <v>0</v>
      </c>
    </row>
    <row r="388" spans="1:1">
      <c r="A388" s="39">
        <f>IF('3757 - Wall Stickers (S)'!B388 = "", "", IF('3757-S-WUO_ERR'!A388 = "", "Validated", HYPERLINK("#" &amp; ADDRESS(ROW('3757-S-WUO_TRK'!A388), '3757-S-WUO_TRK'!A388), _xlfn.TEXTAFTER('3757-S-WUO_ERR'!A388, ":"))))</f>
        <v>0</v>
      </c>
    </row>
    <row r="389" spans="1:1">
      <c r="A389" s="39">
        <f>IF('3757 - Wall Stickers (S)'!B389 = "", "", IF('3757-S-WUO_ERR'!A389 = "", "Validated", HYPERLINK("#" &amp; ADDRESS(ROW('3757-S-WUO_TRK'!A389), '3757-S-WUO_TRK'!A389), _xlfn.TEXTAFTER('3757-S-WUO_ERR'!A389, ":"))))</f>
        <v>0</v>
      </c>
    </row>
    <row r="390" spans="1:1">
      <c r="A390" s="39">
        <f>IF('3757 - Wall Stickers (S)'!B390 = "", "", IF('3757-S-WUO_ERR'!A390 = "", "Validated", HYPERLINK("#" &amp; ADDRESS(ROW('3757-S-WUO_TRK'!A390), '3757-S-WUO_TRK'!A390), _xlfn.TEXTAFTER('3757-S-WUO_ERR'!A390, ":"))))</f>
        <v>0</v>
      </c>
    </row>
    <row r="391" spans="1:1">
      <c r="A391" s="39">
        <f>IF('3757 - Wall Stickers (S)'!B391 = "", "", IF('3757-S-WUO_ERR'!A391 = "", "Validated", HYPERLINK("#" &amp; ADDRESS(ROW('3757-S-WUO_TRK'!A391), '3757-S-WUO_TRK'!A391), _xlfn.TEXTAFTER('3757-S-WUO_ERR'!A391, ":"))))</f>
        <v>0</v>
      </c>
    </row>
    <row r="392" spans="1:1">
      <c r="A392" s="39">
        <f>IF('3757 - Wall Stickers (S)'!B392 = "", "", IF('3757-S-WUO_ERR'!A392 = "", "Validated", HYPERLINK("#" &amp; ADDRESS(ROW('3757-S-WUO_TRK'!A392), '3757-S-WUO_TRK'!A392), _xlfn.TEXTAFTER('3757-S-WUO_ERR'!A392, ":"))))</f>
        <v>0</v>
      </c>
    </row>
    <row r="393" spans="1:1">
      <c r="A393" s="39">
        <f>IF('3757 - Wall Stickers (S)'!B393 = "", "", IF('3757-S-WUO_ERR'!A393 = "", "Validated", HYPERLINK("#" &amp; ADDRESS(ROW('3757-S-WUO_TRK'!A393), '3757-S-WUO_TRK'!A393), _xlfn.TEXTAFTER('3757-S-WUO_ERR'!A393, ":"))))</f>
        <v>0</v>
      </c>
    </row>
    <row r="394" spans="1:1">
      <c r="A394" s="39">
        <f>IF('3757 - Wall Stickers (S)'!B394 = "", "", IF('3757-S-WUO_ERR'!A394 = "", "Validated", HYPERLINK("#" &amp; ADDRESS(ROW('3757-S-WUO_TRK'!A394), '3757-S-WUO_TRK'!A394), _xlfn.TEXTAFTER('3757-S-WUO_ERR'!A394, ":"))))</f>
        <v>0</v>
      </c>
    </row>
    <row r="395" spans="1:1">
      <c r="A395" s="39">
        <f>IF('3757 - Wall Stickers (S)'!B395 = "", "", IF('3757-S-WUO_ERR'!A395 = "", "Validated", HYPERLINK("#" &amp; ADDRESS(ROW('3757-S-WUO_TRK'!A395), '3757-S-WUO_TRK'!A395), _xlfn.TEXTAFTER('3757-S-WUO_ERR'!A395, ":"))))</f>
        <v>0</v>
      </c>
    </row>
    <row r="396" spans="1:1">
      <c r="A396" s="39">
        <f>IF('3757 - Wall Stickers (S)'!B396 = "", "", IF('3757-S-WUO_ERR'!A396 = "", "Validated", HYPERLINK("#" &amp; ADDRESS(ROW('3757-S-WUO_TRK'!A396), '3757-S-WUO_TRK'!A396), _xlfn.TEXTAFTER('3757-S-WUO_ERR'!A396, ":"))))</f>
        <v>0</v>
      </c>
    </row>
    <row r="397" spans="1:1">
      <c r="A397" s="39">
        <f>IF('3757 - Wall Stickers (S)'!B397 = "", "", IF('3757-S-WUO_ERR'!A397 = "", "Validated", HYPERLINK("#" &amp; ADDRESS(ROW('3757-S-WUO_TRK'!A397), '3757-S-WUO_TRK'!A397), _xlfn.TEXTAFTER('3757-S-WUO_ERR'!A397, ":"))))</f>
        <v>0</v>
      </c>
    </row>
    <row r="398" spans="1:1">
      <c r="A398" s="39">
        <f>IF('3757 - Wall Stickers (S)'!B398 = "", "", IF('3757-S-WUO_ERR'!A398 = "", "Validated", HYPERLINK("#" &amp; ADDRESS(ROW('3757-S-WUO_TRK'!A398), '3757-S-WUO_TRK'!A398), _xlfn.TEXTAFTER('3757-S-WUO_ERR'!A398, ":"))))</f>
        <v>0</v>
      </c>
    </row>
    <row r="399" spans="1:1">
      <c r="A399" s="39">
        <f>IF('3757 - Wall Stickers (S)'!B399 = "", "", IF('3757-S-WUO_ERR'!A399 = "", "Validated", HYPERLINK("#" &amp; ADDRESS(ROW('3757-S-WUO_TRK'!A399), '3757-S-WUO_TRK'!A399), _xlfn.TEXTAFTER('3757-S-WUO_ERR'!A399, ":"))))</f>
        <v>0</v>
      </c>
    </row>
    <row r="400" spans="1:1">
      <c r="A400" s="39">
        <f>IF('3757 - Wall Stickers (S)'!B400 = "", "", IF('3757-S-WUO_ERR'!A400 = "", "Validated", HYPERLINK("#" &amp; ADDRESS(ROW('3757-S-WUO_TRK'!A400), '3757-S-WUO_TRK'!A400), _xlfn.TEXTAFTER('3757-S-WUO_ERR'!A400, ":"))))</f>
        <v>0</v>
      </c>
    </row>
    <row r="401" spans="1:1">
      <c r="A401" s="39">
        <f>IF('3757 - Wall Stickers (S)'!B401 = "", "", IF('3757-S-WUO_ERR'!A401 = "", "Validated", HYPERLINK("#" &amp; ADDRESS(ROW('3757-S-WUO_TRK'!A401), '3757-S-WUO_TRK'!A401), _xlfn.TEXTAFTER('3757-S-WUO_ERR'!A401, ":"))))</f>
        <v>0</v>
      </c>
    </row>
    <row r="402" spans="1:1">
      <c r="A402" s="39">
        <f>IF('3757 - Wall Stickers (S)'!B402 = "", "", IF('3757-S-WUO_ERR'!A402 = "", "Validated", HYPERLINK("#" &amp; ADDRESS(ROW('3757-S-WUO_TRK'!A402), '3757-S-WUO_TRK'!A402), _xlfn.TEXTAFTER('3757-S-WUO_ERR'!A402, ":"))))</f>
        <v>0</v>
      </c>
    </row>
    <row r="403" spans="1:1">
      <c r="A403" s="39">
        <f>IF('3757 - Wall Stickers (S)'!B403 = "", "", IF('3757-S-WUO_ERR'!A403 = "", "Validated", HYPERLINK("#" &amp; ADDRESS(ROW('3757-S-WUO_TRK'!A403), '3757-S-WUO_TRK'!A403), _xlfn.TEXTAFTER('3757-S-WUO_ERR'!A403, ":"))))</f>
        <v>0</v>
      </c>
    </row>
    <row r="404" spans="1:1">
      <c r="A404" s="39">
        <f>IF('3757 - Wall Stickers (S)'!B404 = "", "", IF('3757-S-WUO_ERR'!A404 = "", "Validated", HYPERLINK("#" &amp; ADDRESS(ROW('3757-S-WUO_TRK'!A404), '3757-S-WUO_TRK'!A404), _xlfn.TEXTAFTER('3757-S-WUO_ERR'!A404, ":"))))</f>
        <v>0</v>
      </c>
    </row>
    <row r="405" spans="1:1">
      <c r="A405" s="39">
        <f>IF('3757 - Wall Stickers (S)'!B405 = "", "", IF('3757-S-WUO_ERR'!A405 = "", "Validated", HYPERLINK("#" &amp; ADDRESS(ROW('3757-S-WUO_TRK'!A405), '3757-S-WUO_TRK'!A405), _xlfn.TEXTAFTER('3757-S-WUO_ERR'!A405, ":"))))</f>
        <v>0</v>
      </c>
    </row>
    <row r="406" spans="1:1">
      <c r="A406" s="39">
        <f>IF('3757 - Wall Stickers (S)'!B406 = "", "", IF('3757-S-WUO_ERR'!A406 = "", "Validated", HYPERLINK("#" &amp; ADDRESS(ROW('3757-S-WUO_TRK'!A406), '3757-S-WUO_TRK'!A406), _xlfn.TEXTAFTER('3757-S-WUO_ERR'!A406, ":"))))</f>
        <v>0</v>
      </c>
    </row>
    <row r="407" spans="1:1">
      <c r="A407" s="39">
        <f>IF('3757 - Wall Stickers (S)'!B407 = "", "", IF('3757-S-WUO_ERR'!A407 = "", "Validated", HYPERLINK("#" &amp; ADDRESS(ROW('3757-S-WUO_TRK'!A407), '3757-S-WUO_TRK'!A407), _xlfn.TEXTAFTER('3757-S-WUO_ERR'!A407, ":"))))</f>
        <v>0</v>
      </c>
    </row>
    <row r="408" spans="1:1">
      <c r="A408" s="39">
        <f>IF('3757 - Wall Stickers (S)'!B408 = "", "", IF('3757-S-WUO_ERR'!A408 = "", "Validated", HYPERLINK("#" &amp; ADDRESS(ROW('3757-S-WUO_TRK'!A408), '3757-S-WUO_TRK'!A408), _xlfn.TEXTAFTER('3757-S-WUO_ERR'!A408, ":"))))</f>
        <v>0</v>
      </c>
    </row>
    <row r="409" spans="1:1">
      <c r="A409" s="39">
        <f>IF('3757 - Wall Stickers (S)'!B409 = "", "", IF('3757-S-WUO_ERR'!A409 = "", "Validated", HYPERLINK("#" &amp; ADDRESS(ROW('3757-S-WUO_TRK'!A409), '3757-S-WUO_TRK'!A409), _xlfn.TEXTAFTER('3757-S-WUO_ERR'!A409, ":"))))</f>
        <v>0</v>
      </c>
    </row>
    <row r="410" spans="1:1">
      <c r="A410" s="39">
        <f>IF('3757 - Wall Stickers (S)'!B410 = "", "", IF('3757-S-WUO_ERR'!A410 = "", "Validated", HYPERLINK("#" &amp; ADDRESS(ROW('3757-S-WUO_TRK'!A410), '3757-S-WUO_TRK'!A410), _xlfn.TEXTAFTER('3757-S-WUO_ERR'!A410, ":"))))</f>
        <v>0</v>
      </c>
    </row>
    <row r="411" spans="1:1">
      <c r="A411" s="39">
        <f>IF('3757 - Wall Stickers (S)'!B411 = "", "", IF('3757-S-WUO_ERR'!A411 = "", "Validated", HYPERLINK("#" &amp; ADDRESS(ROW('3757-S-WUO_TRK'!A411), '3757-S-WUO_TRK'!A411), _xlfn.TEXTAFTER('3757-S-WUO_ERR'!A411, ":"))))</f>
        <v>0</v>
      </c>
    </row>
    <row r="412" spans="1:1">
      <c r="A412" s="39">
        <f>IF('3757 - Wall Stickers (S)'!B412 = "", "", IF('3757-S-WUO_ERR'!A412 = "", "Validated", HYPERLINK("#" &amp; ADDRESS(ROW('3757-S-WUO_TRK'!A412), '3757-S-WUO_TRK'!A412), _xlfn.TEXTAFTER('3757-S-WUO_ERR'!A412, ":"))))</f>
        <v>0</v>
      </c>
    </row>
    <row r="413" spans="1:1">
      <c r="A413" s="39">
        <f>IF('3757 - Wall Stickers (S)'!B413 = "", "", IF('3757-S-WUO_ERR'!A413 = "", "Validated", HYPERLINK("#" &amp; ADDRESS(ROW('3757-S-WUO_TRK'!A413), '3757-S-WUO_TRK'!A413), _xlfn.TEXTAFTER('3757-S-WUO_ERR'!A413, ":"))))</f>
        <v>0</v>
      </c>
    </row>
    <row r="414" spans="1:1">
      <c r="A414" s="39">
        <f>IF('3757 - Wall Stickers (S)'!B414 = "", "", IF('3757-S-WUO_ERR'!A414 = "", "Validated", HYPERLINK("#" &amp; ADDRESS(ROW('3757-S-WUO_TRK'!A414), '3757-S-WUO_TRK'!A414), _xlfn.TEXTAFTER('3757-S-WUO_ERR'!A414, ":"))))</f>
        <v>0</v>
      </c>
    </row>
    <row r="415" spans="1:1">
      <c r="A415" s="39">
        <f>IF('3757 - Wall Stickers (S)'!B415 = "", "", IF('3757-S-WUO_ERR'!A415 = "", "Validated", HYPERLINK("#" &amp; ADDRESS(ROW('3757-S-WUO_TRK'!A415), '3757-S-WUO_TRK'!A415), _xlfn.TEXTAFTER('3757-S-WUO_ERR'!A415, ":"))))</f>
        <v>0</v>
      </c>
    </row>
    <row r="416" spans="1:1">
      <c r="A416" s="39">
        <f>IF('3757 - Wall Stickers (S)'!B416 = "", "", IF('3757-S-WUO_ERR'!A416 = "", "Validated", HYPERLINK("#" &amp; ADDRESS(ROW('3757-S-WUO_TRK'!A416), '3757-S-WUO_TRK'!A416), _xlfn.TEXTAFTER('3757-S-WUO_ERR'!A416, ":"))))</f>
        <v>0</v>
      </c>
    </row>
    <row r="417" spans="1:1">
      <c r="A417" s="39">
        <f>IF('3757 - Wall Stickers (S)'!B417 = "", "", IF('3757-S-WUO_ERR'!A417 = "", "Validated", HYPERLINK("#" &amp; ADDRESS(ROW('3757-S-WUO_TRK'!A417), '3757-S-WUO_TRK'!A417), _xlfn.TEXTAFTER('3757-S-WUO_ERR'!A417, ":"))))</f>
        <v>0</v>
      </c>
    </row>
    <row r="418" spans="1:1">
      <c r="A418" s="39">
        <f>IF('3757 - Wall Stickers (S)'!B418 = "", "", IF('3757-S-WUO_ERR'!A418 = "", "Validated", HYPERLINK("#" &amp; ADDRESS(ROW('3757-S-WUO_TRK'!A418), '3757-S-WUO_TRK'!A418), _xlfn.TEXTAFTER('3757-S-WUO_ERR'!A418, ":"))))</f>
        <v>0</v>
      </c>
    </row>
    <row r="419" spans="1:1">
      <c r="A419" s="39">
        <f>IF('3757 - Wall Stickers (S)'!B419 = "", "", IF('3757-S-WUO_ERR'!A419 = "", "Validated", HYPERLINK("#" &amp; ADDRESS(ROW('3757-S-WUO_TRK'!A419), '3757-S-WUO_TRK'!A419), _xlfn.TEXTAFTER('3757-S-WUO_ERR'!A419, ":"))))</f>
        <v>0</v>
      </c>
    </row>
    <row r="420" spans="1:1">
      <c r="A420" s="39">
        <f>IF('3757 - Wall Stickers (S)'!B420 = "", "", IF('3757-S-WUO_ERR'!A420 = "", "Validated", HYPERLINK("#" &amp; ADDRESS(ROW('3757-S-WUO_TRK'!A420), '3757-S-WUO_TRK'!A420), _xlfn.TEXTAFTER('3757-S-WUO_ERR'!A420, ":"))))</f>
        <v>0</v>
      </c>
    </row>
    <row r="421" spans="1:1">
      <c r="A421" s="39">
        <f>IF('3757 - Wall Stickers (S)'!B421 = "", "", IF('3757-S-WUO_ERR'!A421 = "", "Validated", HYPERLINK("#" &amp; ADDRESS(ROW('3757-S-WUO_TRK'!A421), '3757-S-WUO_TRK'!A421), _xlfn.TEXTAFTER('3757-S-WUO_ERR'!A421, ":"))))</f>
        <v>0</v>
      </c>
    </row>
    <row r="422" spans="1:1">
      <c r="A422" s="39">
        <f>IF('3757 - Wall Stickers (S)'!B422 = "", "", IF('3757-S-WUO_ERR'!A422 = "", "Validated", HYPERLINK("#" &amp; ADDRESS(ROW('3757-S-WUO_TRK'!A422), '3757-S-WUO_TRK'!A422), _xlfn.TEXTAFTER('3757-S-WUO_ERR'!A422, ":"))))</f>
        <v>0</v>
      </c>
    </row>
    <row r="423" spans="1:1">
      <c r="A423" s="39">
        <f>IF('3757 - Wall Stickers (S)'!B423 = "", "", IF('3757-S-WUO_ERR'!A423 = "", "Validated", HYPERLINK("#" &amp; ADDRESS(ROW('3757-S-WUO_TRK'!A423), '3757-S-WUO_TRK'!A423), _xlfn.TEXTAFTER('3757-S-WUO_ERR'!A423, ":"))))</f>
        <v>0</v>
      </c>
    </row>
    <row r="424" spans="1:1">
      <c r="A424" s="39">
        <f>IF('3757 - Wall Stickers (S)'!B424 = "", "", IF('3757-S-WUO_ERR'!A424 = "", "Validated", HYPERLINK("#" &amp; ADDRESS(ROW('3757-S-WUO_TRK'!A424), '3757-S-WUO_TRK'!A424), _xlfn.TEXTAFTER('3757-S-WUO_ERR'!A424, ":"))))</f>
        <v>0</v>
      </c>
    </row>
    <row r="425" spans="1:1">
      <c r="A425" s="39">
        <f>IF('3757 - Wall Stickers (S)'!B425 = "", "", IF('3757-S-WUO_ERR'!A425 = "", "Validated", HYPERLINK("#" &amp; ADDRESS(ROW('3757-S-WUO_TRK'!A425), '3757-S-WUO_TRK'!A425), _xlfn.TEXTAFTER('3757-S-WUO_ERR'!A425, ":"))))</f>
        <v>0</v>
      </c>
    </row>
    <row r="426" spans="1:1">
      <c r="A426" s="39">
        <f>IF('3757 - Wall Stickers (S)'!B426 = "", "", IF('3757-S-WUO_ERR'!A426 = "", "Validated", HYPERLINK("#" &amp; ADDRESS(ROW('3757-S-WUO_TRK'!A426), '3757-S-WUO_TRK'!A426), _xlfn.TEXTAFTER('3757-S-WUO_ERR'!A426, ":"))))</f>
        <v>0</v>
      </c>
    </row>
    <row r="427" spans="1:1">
      <c r="A427" s="39">
        <f>IF('3757 - Wall Stickers (S)'!B427 = "", "", IF('3757-S-WUO_ERR'!A427 = "", "Validated", HYPERLINK("#" &amp; ADDRESS(ROW('3757-S-WUO_TRK'!A427), '3757-S-WUO_TRK'!A427), _xlfn.TEXTAFTER('3757-S-WUO_ERR'!A427, ":"))))</f>
        <v>0</v>
      </c>
    </row>
    <row r="428" spans="1:1">
      <c r="A428" s="39">
        <f>IF('3757 - Wall Stickers (S)'!B428 = "", "", IF('3757-S-WUO_ERR'!A428 = "", "Validated", HYPERLINK("#" &amp; ADDRESS(ROW('3757-S-WUO_TRK'!A428), '3757-S-WUO_TRK'!A428), _xlfn.TEXTAFTER('3757-S-WUO_ERR'!A428, ":"))))</f>
        <v>0</v>
      </c>
    </row>
    <row r="429" spans="1:1">
      <c r="A429" s="39">
        <f>IF('3757 - Wall Stickers (S)'!B429 = "", "", IF('3757-S-WUO_ERR'!A429 = "", "Validated", HYPERLINK("#" &amp; ADDRESS(ROW('3757-S-WUO_TRK'!A429), '3757-S-WUO_TRK'!A429), _xlfn.TEXTAFTER('3757-S-WUO_ERR'!A429, ":"))))</f>
        <v>0</v>
      </c>
    </row>
    <row r="430" spans="1:1">
      <c r="A430" s="39">
        <f>IF('3757 - Wall Stickers (S)'!B430 = "", "", IF('3757-S-WUO_ERR'!A430 = "", "Validated", HYPERLINK("#" &amp; ADDRESS(ROW('3757-S-WUO_TRK'!A430), '3757-S-WUO_TRK'!A430), _xlfn.TEXTAFTER('3757-S-WUO_ERR'!A430, ":"))))</f>
        <v>0</v>
      </c>
    </row>
    <row r="431" spans="1:1">
      <c r="A431" s="39">
        <f>IF('3757 - Wall Stickers (S)'!B431 = "", "", IF('3757-S-WUO_ERR'!A431 = "", "Validated", HYPERLINK("#" &amp; ADDRESS(ROW('3757-S-WUO_TRK'!A431), '3757-S-WUO_TRK'!A431), _xlfn.TEXTAFTER('3757-S-WUO_ERR'!A431, ":"))))</f>
        <v>0</v>
      </c>
    </row>
    <row r="432" spans="1:1">
      <c r="A432" s="39">
        <f>IF('3757 - Wall Stickers (S)'!B432 = "", "", IF('3757-S-WUO_ERR'!A432 = "", "Validated", HYPERLINK("#" &amp; ADDRESS(ROW('3757-S-WUO_TRK'!A432), '3757-S-WUO_TRK'!A432), _xlfn.TEXTAFTER('3757-S-WUO_ERR'!A432, ":"))))</f>
        <v>0</v>
      </c>
    </row>
    <row r="433" spans="1:1">
      <c r="A433" s="39">
        <f>IF('3757 - Wall Stickers (S)'!B433 = "", "", IF('3757-S-WUO_ERR'!A433 = "", "Validated", HYPERLINK("#" &amp; ADDRESS(ROW('3757-S-WUO_TRK'!A433), '3757-S-WUO_TRK'!A433), _xlfn.TEXTAFTER('3757-S-WUO_ERR'!A433, ":"))))</f>
        <v>0</v>
      </c>
    </row>
    <row r="434" spans="1:1">
      <c r="A434" s="39">
        <f>IF('3757 - Wall Stickers (S)'!B434 = "", "", IF('3757-S-WUO_ERR'!A434 = "", "Validated", HYPERLINK("#" &amp; ADDRESS(ROW('3757-S-WUO_TRK'!A434), '3757-S-WUO_TRK'!A434), _xlfn.TEXTAFTER('3757-S-WUO_ERR'!A434, ":"))))</f>
        <v>0</v>
      </c>
    </row>
    <row r="435" spans="1:1">
      <c r="A435" s="39">
        <f>IF('3757 - Wall Stickers (S)'!B435 = "", "", IF('3757-S-WUO_ERR'!A435 = "", "Validated", HYPERLINK("#" &amp; ADDRESS(ROW('3757-S-WUO_TRK'!A435), '3757-S-WUO_TRK'!A435), _xlfn.TEXTAFTER('3757-S-WUO_ERR'!A435, ":"))))</f>
        <v>0</v>
      </c>
    </row>
    <row r="436" spans="1:1">
      <c r="A436" s="39">
        <f>IF('3757 - Wall Stickers (S)'!B436 = "", "", IF('3757-S-WUO_ERR'!A436 = "", "Validated", HYPERLINK("#" &amp; ADDRESS(ROW('3757-S-WUO_TRK'!A436), '3757-S-WUO_TRK'!A436), _xlfn.TEXTAFTER('3757-S-WUO_ERR'!A436, ":"))))</f>
        <v>0</v>
      </c>
    </row>
    <row r="437" spans="1:1">
      <c r="A437" s="39">
        <f>IF('3757 - Wall Stickers (S)'!B437 = "", "", IF('3757-S-WUO_ERR'!A437 = "", "Validated", HYPERLINK("#" &amp; ADDRESS(ROW('3757-S-WUO_TRK'!A437), '3757-S-WUO_TRK'!A437), _xlfn.TEXTAFTER('3757-S-WUO_ERR'!A437, ":"))))</f>
        <v>0</v>
      </c>
    </row>
    <row r="438" spans="1:1">
      <c r="A438" s="39">
        <f>IF('3757 - Wall Stickers (S)'!B438 = "", "", IF('3757-S-WUO_ERR'!A438 = "", "Validated", HYPERLINK("#" &amp; ADDRESS(ROW('3757-S-WUO_TRK'!A438), '3757-S-WUO_TRK'!A438), _xlfn.TEXTAFTER('3757-S-WUO_ERR'!A438, ":"))))</f>
        <v>0</v>
      </c>
    </row>
    <row r="439" spans="1:1">
      <c r="A439" s="39">
        <f>IF('3757 - Wall Stickers (S)'!B439 = "", "", IF('3757-S-WUO_ERR'!A439 = "", "Validated", HYPERLINK("#" &amp; ADDRESS(ROW('3757-S-WUO_TRK'!A439), '3757-S-WUO_TRK'!A439), _xlfn.TEXTAFTER('3757-S-WUO_ERR'!A439, ":"))))</f>
        <v>0</v>
      </c>
    </row>
    <row r="440" spans="1:1">
      <c r="A440" s="39">
        <f>IF('3757 - Wall Stickers (S)'!B440 = "", "", IF('3757-S-WUO_ERR'!A440 = "", "Validated", HYPERLINK("#" &amp; ADDRESS(ROW('3757-S-WUO_TRK'!A440), '3757-S-WUO_TRK'!A440), _xlfn.TEXTAFTER('3757-S-WUO_ERR'!A440, ":"))))</f>
        <v>0</v>
      </c>
    </row>
    <row r="441" spans="1:1">
      <c r="A441" s="39">
        <f>IF('3757 - Wall Stickers (S)'!B441 = "", "", IF('3757-S-WUO_ERR'!A441 = "", "Validated", HYPERLINK("#" &amp; ADDRESS(ROW('3757-S-WUO_TRK'!A441), '3757-S-WUO_TRK'!A441), _xlfn.TEXTAFTER('3757-S-WUO_ERR'!A441, ":"))))</f>
        <v>0</v>
      </c>
    </row>
    <row r="442" spans="1:1">
      <c r="A442" s="39">
        <f>IF('3757 - Wall Stickers (S)'!B442 = "", "", IF('3757-S-WUO_ERR'!A442 = "", "Validated", HYPERLINK("#" &amp; ADDRESS(ROW('3757-S-WUO_TRK'!A442), '3757-S-WUO_TRK'!A442), _xlfn.TEXTAFTER('3757-S-WUO_ERR'!A442, ":"))))</f>
        <v>0</v>
      </c>
    </row>
    <row r="443" spans="1:1">
      <c r="A443" s="39">
        <f>IF('3757 - Wall Stickers (S)'!B443 = "", "", IF('3757-S-WUO_ERR'!A443 = "", "Validated", HYPERLINK("#" &amp; ADDRESS(ROW('3757-S-WUO_TRK'!A443), '3757-S-WUO_TRK'!A443), _xlfn.TEXTAFTER('3757-S-WUO_ERR'!A443, ":"))))</f>
        <v>0</v>
      </c>
    </row>
    <row r="444" spans="1:1">
      <c r="A444" s="39">
        <f>IF('3757 - Wall Stickers (S)'!B444 = "", "", IF('3757-S-WUO_ERR'!A444 = "", "Validated", HYPERLINK("#" &amp; ADDRESS(ROW('3757-S-WUO_TRK'!A444), '3757-S-WUO_TRK'!A444), _xlfn.TEXTAFTER('3757-S-WUO_ERR'!A444, ":"))))</f>
        <v>0</v>
      </c>
    </row>
    <row r="445" spans="1:1">
      <c r="A445" s="39">
        <f>IF('3757 - Wall Stickers (S)'!B445 = "", "", IF('3757-S-WUO_ERR'!A445 = "", "Validated", HYPERLINK("#" &amp; ADDRESS(ROW('3757-S-WUO_TRK'!A445), '3757-S-WUO_TRK'!A445), _xlfn.TEXTAFTER('3757-S-WUO_ERR'!A445, ":"))))</f>
        <v>0</v>
      </c>
    </row>
    <row r="446" spans="1:1">
      <c r="A446" s="39">
        <f>IF('3757 - Wall Stickers (S)'!B446 = "", "", IF('3757-S-WUO_ERR'!A446 = "", "Validated", HYPERLINK("#" &amp; ADDRESS(ROW('3757-S-WUO_TRK'!A446), '3757-S-WUO_TRK'!A446), _xlfn.TEXTAFTER('3757-S-WUO_ERR'!A446, ":"))))</f>
        <v>0</v>
      </c>
    </row>
    <row r="447" spans="1:1">
      <c r="A447" s="39">
        <f>IF('3757 - Wall Stickers (S)'!B447 = "", "", IF('3757-S-WUO_ERR'!A447 = "", "Validated", HYPERLINK("#" &amp; ADDRESS(ROW('3757-S-WUO_TRK'!A447), '3757-S-WUO_TRK'!A447), _xlfn.TEXTAFTER('3757-S-WUO_ERR'!A447, ":"))))</f>
        <v>0</v>
      </c>
    </row>
    <row r="448" spans="1:1">
      <c r="A448" s="39">
        <f>IF('3757 - Wall Stickers (S)'!B448 = "", "", IF('3757-S-WUO_ERR'!A448 = "", "Validated", HYPERLINK("#" &amp; ADDRESS(ROW('3757-S-WUO_TRK'!A448), '3757-S-WUO_TRK'!A448), _xlfn.TEXTAFTER('3757-S-WUO_ERR'!A448, ":"))))</f>
        <v>0</v>
      </c>
    </row>
    <row r="449" spans="1:1">
      <c r="A449" s="39">
        <f>IF('3757 - Wall Stickers (S)'!B449 = "", "", IF('3757-S-WUO_ERR'!A449 = "", "Validated", HYPERLINK("#" &amp; ADDRESS(ROW('3757-S-WUO_TRK'!A449), '3757-S-WUO_TRK'!A449), _xlfn.TEXTAFTER('3757-S-WUO_ERR'!A449, ":"))))</f>
        <v>0</v>
      </c>
    </row>
    <row r="450" spans="1:1">
      <c r="A450" s="39">
        <f>IF('3757 - Wall Stickers (S)'!B450 = "", "", IF('3757-S-WUO_ERR'!A450 = "", "Validated", HYPERLINK("#" &amp; ADDRESS(ROW('3757-S-WUO_TRK'!A450), '3757-S-WUO_TRK'!A450), _xlfn.TEXTAFTER('3757-S-WUO_ERR'!A450, ":"))))</f>
        <v>0</v>
      </c>
    </row>
    <row r="451" spans="1:1">
      <c r="A451" s="39">
        <f>IF('3757 - Wall Stickers (S)'!B451 = "", "", IF('3757-S-WUO_ERR'!A451 = "", "Validated", HYPERLINK("#" &amp; ADDRESS(ROW('3757-S-WUO_TRK'!A451), '3757-S-WUO_TRK'!A451), _xlfn.TEXTAFTER('3757-S-WUO_ERR'!A451, ":"))))</f>
        <v>0</v>
      </c>
    </row>
    <row r="452" spans="1:1">
      <c r="A452" s="39">
        <f>IF('3757 - Wall Stickers (S)'!B452 = "", "", IF('3757-S-WUO_ERR'!A452 = "", "Validated", HYPERLINK("#" &amp; ADDRESS(ROW('3757-S-WUO_TRK'!A452), '3757-S-WUO_TRK'!A452), _xlfn.TEXTAFTER('3757-S-WUO_ERR'!A452, ":"))))</f>
        <v>0</v>
      </c>
    </row>
    <row r="453" spans="1:1">
      <c r="A453" s="39">
        <f>IF('3757 - Wall Stickers (S)'!B453 = "", "", IF('3757-S-WUO_ERR'!A453 = "", "Validated", HYPERLINK("#" &amp; ADDRESS(ROW('3757-S-WUO_TRK'!A453), '3757-S-WUO_TRK'!A453), _xlfn.TEXTAFTER('3757-S-WUO_ERR'!A453, ":"))))</f>
        <v>0</v>
      </c>
    </row>
    <row r="454" spans="1:1">
      <c r="A454" s="39">
        <f>IF('3757 - Wall Stickers (S)'!B454 = "", "", IF('3757-S-WUO_ERR'!A454 = "", "Validated", HYPERLINK("#" &amp; ADDRESS(ROW('3757-S-WUO_TRK'!A454), '3757-S-WUO_TRK'!A454), _xlfn.TEXTAFTER('3757-S-WUO_ERR'!A454, ":"))))</f>
        <v>0</v>
      </c>
    </row>
    <row r="455" spans="1:1">
      <c r="A455" s="39">
        <f>IF('3757 - Wall Stickers (S)'!B455 = "", "", IF('3757-S-WUO_ERR'!A455 = "", "Validated", HYPERLINK("#" &amp; ADDRESS(ROW('3757-S-WUO_TRK'!A455), '3757-S-WUO_TRK'!A455), _xlfn.TEXTAFTER('3757-S-WUO_ERR'!A455, ":"))))</f>
        <v>0</v>
      </c>
    </row>
    <row r="456" spans="1:1">
      <c r="A456" s="39">
        <f>IF('3757 - Wall Stickers (S)'!B456 = "", "", IF('3757-S-WUO_ERR'!A456 = "", "Validated", HYPERLINK("#" &amp; ADDRESS(ROW('3757-S-WUO_TRK'!A456), '3757-S-WUO_TRK'!A456), _xlfn.TEXTAFTER('3757-S-WUO_ERR'!A456, ":"))))</f>
        <v>0</v>
      </c>
    </row>
    <row r="457" spans="1:1">
      <c r="A457" s="39">
        <f>IF('3757 - Wall Stickers (S)'!B457 = "", "", IF('3757-S-WUO_ERR'!A457 = "", "Validated", HYPERLINK("#" &amp; ADDRESS(ROW('3757-S-WUO_TRK'!A457), '3757-S-WUO_TRK'!A457), _xlfn.TEXTAFTER('3757-S-WUO_ERR'!A457, ":"))))</f>
        <v>0</v>
      </c>
    </row>
    <row r="458" spans="1:1">
      <c r="A458" s="39">
        <f>IF('3757 - Wall Stickers (S)'!B458 = "", "", IF('3757-S-WUO_ERR'!A458 = "", "Validated", HYPERLINK("#" &amp; ADDRESS(ROW('3757-S-WUO_TRK'!A458), '3757-S-WUO_TRK'!A458), _xlfn.TEXTAFTER('3757-S-WUO_ERR'!A458, ":"))))</f>
        <v>0</v>
      </c>
    </row>
    <row r="459" spans="1:1">
      <c r="A459" s="39">
        <f>IF('3757 - Wall Stickers (S)'!B459 = "", "", IF('3757-S-WUO_ERR'!A459 = "", "Validated", HYPERLINK("#" &amp; ADDRESS(ROW('3757-S-WUO_TRK'!A459), '3757-S-WUO_TRK'!A459), _xlfn.TEXTAFTER('3757-S-WUO_ERR'!A459, ":"))))</f>
        <v>0</v>
      </c>
    </row>
    <row r="460" spans="1:1">
      <c r="A460" s="39">
        <f>IF('3757 - Wall Stickers (S)'!B460 = "", "", IF('3757-S-WUO_ERR'!A460 = "", "Validated", HYPERLINK("#" &amp; ADDRESS(ROW('3757-S-WUO_TRK'!A460), '3757-S-WUO_TRK'!A460), _xlfn.TEXTAFTER('3757-S-WUO_ERR'!A460, ":"))))</f>
        <v>0</v>
      </c>
    </row>
    <row r="461" spans="1:1">
      <c r="A461" s="39">
        <f>IF('3757 - Wall Stickers (S)'!B461 = "", "", IF('3757-S-WUO_ERR'!A461 = "", "Validated", HYPERLINK("#" &amp; ADDRESS(ROW('3757-S-WUO_TRK'!A461), '3757-S-WUO_TRK'!A461), _xlfn.TEXTAFTER('3757-S-WUO_ERR'!A461, ":"))))</f>
        <v>0</v>
      </c>
    </row>
    <row r="462" spans="1:1">
      <c r="A462" s="39">
        <f>IF('3757 - Wall Stickers (S)'!B462 = "", "", IF('3757-S-WUO_ERR'!A462 = "", "Validated", HYPERLINK("#" &amp; ADDRESS(ROW('3757-S-WUO_TRK'!A462), '3757-S-WUO_TRK'!A462), _xlfn.TEXTAFTER('3757-S-WUO_ERR'!A462, ":"))))</f>
        <v>0</v>
      </c>
    </row>
    <row r="463" spans="1:1">
      <c r="A463" s="39">
        <f>IF('3757 - Wall Stickers (S)'!B463 = "", "", IF('3757-S-WUO_ERR'!A463 = "", "Validated", HYPERLINK("#" &amp; ADDRESS(ROW('3757-S-WUO_TRK'!A463), '3757-S-WUO_TRK'!A463), _xlfn.TEXTAFTER('3757-S-WUO_ERR'!A463, ":"))))</f>
        <v>0</v>
      </c>
    </row>
    <row r="464" spans="1:1">
      <c r="A464" s="39">
        <f>IF('3757 - Wall Stickers (S)'!B464 = "", "", IF('3757-S-WUO_ERR'!A464 = "", "Validated", HYPERLINK("#" &amp; ADDRESS(ROW('3757-S-WUO_TRK'!A464), '3757-S-WUO_TRK'!A464), _xlfn.TEXTAFTER('3757-S-WUO_ERR'!A464, ":"))))</f>
        <v>0</v>
      </c>
    </row>
    <row r="465" spans="1:1">
      <c r="A465" s="39">
        <f>IF('3757 - Wall Stickers (S)'!B465 = "", "", IF('3757-S-WUO_ERR'!A465 = "", "Validated", HYPERLINK("#" &amp; ADDRESS(ROW('3757-S-WUO_TRK'!A465), '3757-S-WUO_TRK'!A465), _xlfn.TEXTAFTER('3757-S-WUO_ERR'!A465, ":"))))</f>
        <v>0</v>
      </c>
    </row>
    <row r="466" spans="1:1">
      <c r="A466" s="39">
        <f>IF('3757 - Wall Stickers (S)'!B466 = "", "", IF('3757-S-WUO_ERR'!A466 = "", "Validated", HYPERLINK("#" &amp; ADDRESS(ROW('3757-S-WUO_TRK'!A466), '3757-S-WUO_TRK'!A466), _xlfn.TEXTAFTER('3757-S-WUO_ERR'!A466, ":"))))</f>
        <v>0</v>
      </c>
    </row>
    <row r="467" spans="1:1">
      <c r="A467" s="39">
        <f>IF('3757 - Wall Stickers (S)'!B467 = "", "", IF('3757-S-WUO_ERR'!A467 = "", "Validated", HYPERLINK("#" &amp; ADDRESS(ROW('3757-S-WUO_TRK'!A467), '3757-S-WUO_TRK'!A467), _xlfn.TEXTAFTER('3757-S-WUO_ERR'!A467, ":"))))</f>
        <v>0</v>
      </c>
    </row>
    <row r="468" spans="1:1">
      <c r="A468" s="39">
        <f>IF('3757 - Wall Stickers (S)'!B468 = "", "", IF('3757-S-WUO_ERR'!A468 = "", "Validated", HYPERLINK("#" &amp; ADDRESS(ROW('3757-S-WUO_TRK'!A468), '3757-S-WUO_TRK'!A468), _xlfn.TEXTAFTER('3757-S-WUO_ERR'!A468, ":"))))</f>
        <v>0</v>
      </c>
    </row>
    <row r="469" spans="1:1">
      <c r="A469" s="39">
        <f>IF('3757 - Wall Stickers (S)'!B469 = "", "", IF('3757-S-WUO_ERR'!A469 = "", "Validated", HYPERLINK("#" &amp; ADDRESS(ROW('3757-S-WUO_TRK'!A469), '3757-S-WUO_TRK'!A469), _xlfn.TEXTAFTER('3757-S-WUO_ERR'!A469, ":"))))</f>
        <v>0</v>
      </c>
    </row>
    <row r="470" spans="1:1">
      <c r="A470" s="39">
        <f>IF('3757 - Wall Stickers (S)'!B470 = "", "", IF('3757-S-WUO_ERR'!A470 = "", "Validated", HYPERLINK("#" &amp; ADDRESS(ROW('3757-S-WUO_TRK'!A470), '3757-S-WUO_TRK'!A470), _xlfn.TEXTAFTER('3757-S-WUO_ERR'!A470, ":"))))</f>
        <v>0</v>
      </c>
    </row>
    <row r="471" spans="1:1">
      <c r="A471" s="39">
        <f>IF('3757 - Wall Stickers (S)'!B471 = "", "", IF('3757-S-WUO_ERR'!A471 = "", "Validated", HYPERLINK("#" &amp; ADDRESS(ROW('3757-S-WUO_TRK'!A471), '3757-S-WUO_TRK'!A471), _xlfn.TEXTAFTER('3757-S-WUO_ERR'!A471, ":"))))</f>
        <v>0</v>
      </c>
    </row>
    <row r="472" spans="1:1">
      <c r="A472" s="39">
        <f>IF('3757 - Wall Stickers (S)'!B472 = "", "", IF('3757-S-WUO_ERR'!A472 = "", "Validated", HYPERLINK("#" &amp; ADDRESS(ROW('3757-S-WUO_TRK'!A472), '3757-S-WUO_TRK'!A472), _xlfn.TEXTAFTER('3757-S-WUO_ERR'!A472, ":"))))</f>
        <v>0</v>
      </c>
    </row>
    <row r="473" spans="1:1">
      <c r="A473" s="39">
        <f>IF('3757 - Wall Stickers (S)'!B473 = "", "", IF('3757-S-WUO_ERR'!A473 = "", "Validated", HYPERLINK("#" &amp; ADDRESS(ROW('3757-S-WUO_TRK'!A473), '3757-S-WUO_TRK'!A473), _xlfn.TEXTAFTER('3757-S-WUO_ERR'!A473, ":"))))</f>
        <v>0</v>
      </c>
    </row>
    <row r="474" spans="1:1">
      <c r="A474" s="39">
        <f>IF('3757 - Wall Stickers (S)'!B474 = "", "", IF('3757-S-WUO_ERR'!A474 = "", "Validated", HYPERLINK("#" &amp; ADDRESS(ROW('3757-S-WUO_TRK'!A474), '3757-S-WUO_TRK'!A474), _xlfn.TEXTAFTER('3757-S-WUO_ERR'!A474, ":"))))</f>
        <v>0</v>
      </c>
    </row>
    <row r="475" spans="1:1">
      <c r="A475" s="39">
        <f>IF('3757 - Wall Stickers (S)'!B475 = "", "", IF('3757-S-WUO_ERR'!A475 = "", "Validated", HYPERLINK("#" &amp; ADDRESS(ROW('3757-S-WUO_TRK'!A475), '3757-S-WUO_TRK'!A475), _xlfn.TEXTAFTER('3757-S-WUO_ERR'!A475, ":"))))</f>
        <v>0</v>
      </c>
    </row>
    <row r="476" spans="1:1">
      <c r="A476" s="39">
        <f>IF('3757 - Wall Stickers (S)'!B476 = "", "", IF('3757-S-WUO_ERR'!A476 = "", "Validated", HYPERLINK("#" &amp; ADDRESS(ROW('3757-S-WUO_TRK'!A476), '3757-S-WUO_TRK'!A476), _xlfn.TEXTAFTER('3757-S-WUO_ERR'!A476, ":"))))</f>
        <v>0</v>
      </c>
    </row>
    <row r="477" spans="1:1">
      <c r="A477" s="39">
        <f>IF('3757 - Wall Stickers (S)'!B477 = "", "", IF('3757-S-WUO_ERR'!A477 = "", "Validated", HYPERLINK("#" &amp; ADDRESS(ROW('3757-S-WUO_TRK'!A477), '3757-S-WUO_TRK'!A477), _xlfn.TEXTAFTER('3757-S-WUO_ERR'!A477, ":"))))</f>
        <v>0</v>
      </c>
    </row>
    <row r="478" spans="1:1">
      <c r="A478" s="39">
        <f>IF('3757 - Wall Stickers (S)'!B478 = "", "", IF('3757-S-WUO_ERR'!A478 = "", "Validated", HYPERLINK("#" &amp; ADDRESS(ROW('3757-S-WUO_TRK'!A478), '3757-S-WUO_TRK'!A478), _xlfn.TEXTAFTER('3757-S-WUO_ERR'!A478, ":"))))</f>
        <v>0</v>
      </c>
    </row>
    <row r="479" spans="1:1">
      <c r="A479" s="39">
        <f>IF('3757 - Wall Stickers (S)'!B479 = "", "", IF('3757-S-WUO_ERR'!A479 = "", "Validated", HYPERLINK("#" &amp; ADDRESS(ROW('3757-S-WUO_TRK'!A479), '3757-S-WUO_TRK'!A479), _xlfn.TEXTAFTER('3757-S-WUO_ERR'!A479, ":"))))</f>
        <v>0</v>
      </c>
    </row>
    <row r="480" spans="1:1">
      <c r="A480" s="39">
        <f>IF('3757 - Wall Stickers (S)'!B480 = "", "", IF('3757-S-WUO_ERR'!A480 = "", "Validated", HYPERLINK("#" &amp; ADDRESS(ROW('3757-S-WUO_TRK'!A480), '3757-S-WUO_TRK'!A480), _xlfn.TEXTAFTER('3757-S-WUO_ERR'!A480, ":"))))</f>
        <v>0</v>
      </c>
    </row>
    <row r="481" spans="1:1">
      <c r="A481" s="39">
        <f>IF('3757 - Wall Stickers (S)'!B481 = "", "", IF('3757-S-WUO_ERR'!A481 = "", "Validated", HYPERLINK("#" &amp; ADDRESS(ROW('3757-S-WUO_TRK'!A481), '3757-S-WUO_TRK'!A481), _xlfn.TEXTAFTER('3757-S-WUO_ERR'!A481, ":"))))</f>
        <v>0</v>
      </c>
    </row>
    <row r="482" spans="1:1">
      <c r="A482" s="39">
        <f>IF('3757 - Wall Stickers (S)'!B482 = "", "", IF('3757-S-WUO_ERR'!A482 = "", "Validated", HYPERLINK("#" &amp; ADDRESS(ROW('3757-S-WUO_TRK'!A482), '3757-S-WUO_TRK'!A482), _xlfn.TEXTAFTER('3757-S-WUO_ERR'!A482, ":"))))</f>
        <v>0</v>
      </c>
    </row>
    <row r="483" spans="1:1">
      <c r="A483" s="39">
        <f>IF('3757 - Wall Stickers (S)'!B483 = "", "", IF('3757-S-WUO_ERR'!A483 = "", "Validated", HYPERLINK("#" &amp; ADDRESS(ROW('3757-S-WUO_TRK'!A483), '3757-S-WUO_TRK'!A483), _xlfn.TEXTAFTER('3757-S-WUO_ERR'!A483, ":"))))</f>
        <v>0</v>
      </c>
    </row>
    <row r="484" spans="1:1">
      <c r="A484" s="39">
        <f>IF('3757 - Wall Stickers (S)'!B484 = "", "", IF('3757-S-WUO_ERR'!A484 = "", "Validated", HYPERLINK("#" &amp; ADDRESS(ROW('3757-S-WUO_TRK'!A484), '3757-S-WUO_TRK'!A484), _xlfn.TEXTAFTER('3757-S-WUO_ERR'!A484, ":"))))</f>
        <v>0</v>
      </c>
    </row>
    <row r="485" spans="1:1">
      <c r="A485" s="39">
        <f>IF('3757 - Wall Stickers (S)'!B485 = "", "", IF('3757-S-WUO_ERR'!A485 = "", "Validated", HYPERLINK("#" &amp; ADDRESS(ROW('3757-S-WUO_TRK'!A485), '3757-S-WUO_TRK'!A485), _xlfn.TEXTAFTER('3757-S-WUO_ERR'!A485, ":"))))</f>
        <v>0</v>
      </c>
    </row>
    <row r="486" spans="1:1">
      <c r="A486" s="39">
        <f>IF('3757 - Wall Stickers (S)'!B486 = "", "", IF('3757-S-WUO_ERR'!A486 = "", "Validated", HYPERLINK("#" &amp; ADDRESS(ROW('3757-S-WUO_TRK'!A486), '3757-S-WUO_TRK'!A486), _xlfn.TEXTAFTER('3757-S-WUO_ERR'!A486, ":"))))</f>
        <v>0</v>
      </c>
    </row>
    <row r="487" spans="1:1">
      <c r="A487" s="39">
        <f>IF('3757 - Wall Stickers (S)'!B487 = "", "", IF('3757-S-WUO_ERR'!A487 = "", "Validated", HYPERLINK("#" &amp; ADDRESS(ROW('3757-S-WUO_TRK'!A487), '3757-S-WUO_TRK'!A487), _xlfn.TEXTAFTER('3757-S-WUO_ERR'!A487, ":"))))</f>
        <v>0</v>
      </c>
    </row>
    <row r="488" spans="1:1">
      <c r="A488" s="39">
        <f>IF('3757 - Wall Stickers (S)'!B488 = "", "", IF('3757-S-WUO_ERR'!A488 = "", "Validated", HYPERLINK("#" &amp; ADDRESS(ROW('3757-S-WUO_TRK'!A488), '3757-S-WUO_TRK'!A488), _xlfn.TEXTAFTER('3757-S-WUO_ERR'!A488, ":"))))</f>
        <v>0</v>
      </c>
    </row>
    <row r="489" spans="1:1">
      <c r="A489" s="39">
        <f>IF('3757 - Wall Stickers (S)'!B489 = "", "", IF('3757-S-WUO_ERR'!A489 = "", "Validated", HYPERLINK("#" &amp; ADDRESS(ROW('3757-S-WUO_TRK'!A489), '3757-S-WUO_TRK'!A489), _xlfn.TEXTAFTER('3757-S-WUO_ERR'!A489, ":"))))</f>
        <v>0</v>
      </c>
    </row>
    <row r="490" spans="1:1">
      <c r="A490" s="39">
        <f>IF('3757 - Wall Stickers (S)'!B490 = "", "", IF('3757-S-WUO_ERR'!A490 = "", "Validated", HYPERLINK("#" &amp; ADDRESS(ROW('3757-S-WUO_TRK'!A490), '3757-S-WUO_TRK'!A490), _xlfn.TEXTAFTER('3757-S-WUO_ERR'!A490, ":"))))</f>
        <v>0</v>
      </c>
    </row>
    <row r="491" spans="1:1">
      <c r="A491" s="39">
        <f>IF('3757 - Wall Stickers (S)'!B491 = "", "", IF('3757-S-WUO_ERR'!A491 = "", "Validated", HYPERLINK("#" &amp; ADDRESS(ROW('3757-S-WUO_TRK'!A491), '3757-S-WUO_TRK'!A491), _xlfn.TEXTAFTER('3757-S-WUO_ERR'!A491, ":"))))</f>
        <v>0</v>
      </c>
    </row>
    <row r="492" spans="1:1">
      <c r="A492" s="39">
        <f>IF('3757 - Wall Stickers (S)'!B492 = "", "", IF('3757-S-WUO_ERR'!A492 = "", "Validated", HYPERLINK("#" &amp; ADDRESS(ROW('3757-S-WUO_TRK'!A492), '3757-S-WUO_TRK'!A492), _xlfn.TEXTAFTER('3757-S-WUO_ERR'!A492, ":"))))</f>
        <v>0</v>
      </c>
    </row>
    <row r="493" spans="1:1">
      <c r="A493" s="39">
        <f>IF('3757 - Wall Stickers (S)'!B493 = "", "", IF('3757-S-WUO_ERR'!A493 = "", "Validated", HYPERLINK("#" &amp; ADDRESS(ROW('3757-S-WUO_TRK'!A493), '3757-S-WUO_TRK'!A493), _xlfn.TEXTAFTER('3757-S-WUO_ERR'!A493, ":"))))</f>
        <v>0</v>
      </c>
    </row>
    <row r="494" spans="1:1">
      <c r="A494" s="39">
        <f>IF('3757 - Wall Stickers (S)'!B494 = "", "", IF('3757-S-WUO_ERR'!A494 = "", "Validated", HYPERLINK("#" &amp; ADDRESS(ROW('3757-S-WUO_TRK'!A494), '3757-S-WUO_TRK'!A494), _xlfn.TEXTAFTER('3757-S-WUO_ERR'!A494, ":"))))</f>
        <v>0</v>
      </c>
    </row>
    <row r="495" spans="1:1">
      <c r="A495" s="39">
        <f>IF('3757 - Wall Stickers (S)'!B495 = "", "", IF('3757-S-WUO_ERR'!A495 = "", "Validated", HYPERLINK("#" &amp; ADDRESS(ROW('3757-S-WUO_TRK'!A495), '3757-S-WUO_TRK'!A495), _xlfn.TEXTAFTER('3757-S-WUO_ERR'!A495, ":"))))</f>
        <v>0</v>
      </c>
    </row>
    <row r="496" spans="1:1">
      <c r="A496" s="39">
        <f>IF('3757 - Wall Stickers (S)'!B496 = "", "", IF('3757-S-WUO_ERR'!A496 = "", "Validated", HYPERLINK("#" &amp; ADDRESS(ROW('3757-S-WUO_TRK'!A496), '3757-S-WUO_TRK'!A496), _xlfn.TEXTAFTER('3757-S-WUO_ERR'!A496, ":"))))</f>
        <v>0</v>
      </c>
    </row>
    <row r="497" spans="1:1">
      <c r="A497" s="39">
        <f>IF('3757 - Wall Stickers (S)'!B497 = "", "", IF('3757-S-WUO_ERR'!A497 = "", "Validated", HYPERLINK("#" &amp; ADDRESS(ROW('3757-S-WUO_TRK'!A497), '3757-S-WUO_TRK'!A497), _xlfn.TEXTAFTER('3757-S-WUO_ERR'!A497, ":"))))</f>
        <v>0</v>
      </c>
    </row>
    <row r="498" spans="1:1">
      <c r="A498" s="39">
        <f>IF('3757 - Wall Stickers (S)'!B498 = "", "", IF('3757-S-WUO_ERR'!A498 = "", "Validated", HYPERLINK("#" &amp; ADDRESS(ROW('3757-S-WUO_TRK'!A498), '3757-S-WUO_TRK'!A498), _xlfn.TEXTAFTER('3757-S-WUO_ERR'!A498, ":"))))</f>
        <v>0</v>
      </c>
    </row>
    <row r="499" spans="1:1">
      <c r="A499" s="39">
        <f>IF('3757 - Wall Stickers (S)'!B499 = "", "", IF('3757-S-WUO_ERR'!A499 = "", "Validated", HYPERLINK("#" &amp; ADDRESS(ROW('3757-S-WUO_TRK'!A499), '3757-S-WUO_TRK'!A499), _xlfn.TEXTAFTER('3757-S-WUO_ERR'!A499, ":"))))</f>
        <v>0</v>
      </c>
    </row>
    <row r="500" spans="1:1">
      <c r="A500" s="39">
        <f>IF('3757 - Wall Stickers (S)'!B500 = "", "", IF('3757-S-WUO_ERR'!A500 = "", "Validated", HYPERLINK("#" &amp; ADDRESS(ROW('3757-S-WUO_TRK'!A500), '3757-S-WUO_TRK'!A500), _xlfn.TEXTAFTER('3757-S-WUO_ERR'!A500, ":"))))</f>
        <v>0</v>
      </c>
    </row>
    <row r="501" spans="1:1">
      <c r="A501" s="39">
        <f>IF('3757 - Wall Stickers (S)'!B501 = "", "", IF('3757-S-WUO_ERR'!A501 = "", "Validated", HYPERLINK("#" &amp; ADDRESS(ROW('3757-S-WUO_TRK'!A501), '3757-S-WUO_TRK'!A501), _xlfn.TEXTAFTER('3757-S-WUO_ERR'!A501, ":"))))</f>
        <v>0</v>
      </c>
    </row>
    <row r="502" spans="1:1">
      <c r="A502" s="39">
        <f>IF('3757 - Wall Stickers (S)'!B502 = "", "", IF('3757-S-WUO_ERR'!A502 = "", "Validated", HYPERLINK("#" &amp; ADDRESS(ROW('3757-S-WUO_TRK'!A502), '3757-S-WUO_TRK'!A502), _xlfn.TEXTAFTER('3757-S-WUO_ERR'!A502, ":"))))</f>
        <v>0</v>
      </c>
    </row>
    <row r="503" spans="1:1">
      <c r="A503" s="39">
        <f>IF('3757 - Wall Stickers (S)'!B503 = "", "", IF('3757-S-WUO_ERR'!A503 = "", "Validated", HYPERLINK("#" &amp; ADDRESS(ROW('3757-S-WUO_TRK'!A503), '3757-S-WUO_TRK'!A503), _xlfn.TEXTAFTER('3757-S-WUO_ERR'!A503, ":"))))</f>
        <v>0</v>
      </c>
    </row>
    <row r="504" spans="1:1">
      <c r="A504" s="39">
        <f>IF('3757 - Wall Stickers (S)'!B504 = "", "", IF('3757-S-WUO_ERR'!A504 = "", "Validated", HYPERLINK("#" &amp; ADDRESS(ROW('3757-S-WUO_TRK'!A504), '3757-S-WUO_TRK'!A504), _xlfn.TEXTAFTER('3757-S-WUO_ERR'!A504, ":"))))</f>
        <v>0</v>
      </c>
    </row>
    <row r="505" spans="1:1">
      <c r="A505" s="39">
        <f>IF('3757 - Wall Stickers (S)'!B505 = "", "", IF('3757-S-WUO_ERR'!A505 = "", "Validated", HYPERLINK("#" &amp; ADDRESS(ROW('3757-S-WUO_TRK'!A505), '3757-S-WUO_TRK'!A505), _xlfn.TEXTAFTER('3757-S-WUO_ERR'!A505, ":"))))</f>
        <v>0</v>
      </c>
    </row>
    <row r="506" spans="1:1">
      <c r="A506" s="39">
        <f>IF('3757 - Wall Stickers (S)'!B506 = "", "", IF('3757-S-WUO_ERR'!A506 = "", "Validated", HYPERLINK("#" &amp; ADDRESS(ROW('3757-S-WUO_TRK'!A506), '3757-S-WUO_TRK'!A506), _xlfn.TEXTAFTER('3757-S-WUO_ERR'!A506, ":"))))</f>
        <v>0</v>
      </c>
    </row>
    <row r="507" spans="1:1">
      <c r="A507" s="39">
        <f>IF('3757 - Wall Stickers (S)'!B507 = "", "", IF('3757-S-WUO_ERR'!A507 = "", "Validated", HYPERLINK("#" &amp; ADDRESS(ROW('3757-S-WUO_TRK'!A507), '3757-S-WUO_TRK'!A507), _xlfn.TEXTAFTER('3757-S-WUO_ERR'!A507, ":"))))</f>
        <v>0</v>
      </c>
    </row>
    <row r="508" spans="1:1">
      <c r="A508" s="39">
        <f>IF('3757 - Wall Stickers (S)'!B508 = "", "", IF('3757-S-WUO_ERR'!A508 = "", "Validated", HYPERLINK("#" &amp; ADDRESS(ROW('3757-S-WUO_TRK'!A508), '3757-S-WUO_TRK'!A508), _xlfn.TEXTAFTER('3757-S-WUO_ERR'!A508, ":"))))</f>
        <v>0</v>
      </c>
    </row>
  </sheetData>
  <sheetProtection password="E034" sheet="1" objects="1" scenarios="1" formatColumns="0"/>
  <protectedRanges>
    <protectedRange sqref="B9:LA10008" name="Range1"/>
  </protectedRanges>
  <mergeCells count="10">
    <mergeCell ref="B3:E3"/>
    <mergeCell ref="F3:G3"/>
    <mergeCell ref="H3:O3"/>
    <mergeCell ref="P3:S3"/>
    <mergeCell ref="T3:AB3"/>
    <mergeCell ref="AC3:AN3"/>
    <mergeCell ref="AO3:GR3"/>
    <mergeCell ref="GS3:HD3"/>
    <mergeCell ref="HE3:JX3"/>
    <mergeCell ref="JY3:LA3"/>
  </mergeCells>
  <conditionalFormatting sqref="A9:A508">
    <cfRule type="expression" dxfId="7" priority="5">
      <formula>A9="Validated"</formula>
    </cfRule>
    <cfRule type="expression" dxfId="8" priority="6">
      <formula>OR(COUNTIF('3757-S-WUO_TRK'!B9:LA9,"Error"),COUNTIF('3757-S-WUO_TRK'!B9:LA9,"Required"))</formula>
    </cfRule>
    <cfRule type="expression" dxfId="9" priority="7">
      <formula>COUNTIF('3757-S-WUO_TRK'!B9:LA9,"Warning")</formula>
    </cfRule>
  </conditionalFormatting>
  <conditionalFormatting sqref="AA8">
    <cfRule type="notContainsBlanks" dxfId="10" priority="35">
      <formula>LEN(TRIM(AA8))&gt;0</formula>
    </cfRule>
    <cfRule type="containsBlanks" dxfId="11" priority="36">
      <formula>LEN(TRIM(AA8))=0</formula>
    </cfRule>
  </conditionalFormatting>
  <conditionalFormatting sqref="AA9:AA2508">
    <cfRule type="expression" dxfId="10" priority="37">
      <formula>AND($AA$8&lt;&gt;"",OR(AA9="",EXACT(AA9,$AA$8)))</formula>
    </cfRule>
  </conditionalFormatting>
  <conditionalFormatting sqref="AB8">
    <cfRule type="notContainsBlanks" dxfId="10" priority="38">
      <formula>LEN(TRIM(AB8))&gt;0</formula>
    </cfRule>
    <cfRule type="containsBlanks" dxfId="11" priority="39">
      <formula>LEN(TRIM(AB8))=0</formula>
    </cfRule>
  </conditionalFormatting>
  <conditionalFormatting sqref="AB9:AB2508">
    <cfRule type="expression" dxfId="10" priority="40">
      <formula>AND($AB$8&lt;&gt;"",OR(AB9="",EXACT(AB9,$AB$8)))</formula>
    </cfRule>
  </conditionalFormatting>
  <conditionalFormatting sqref="AC8">
    <cfRule type="notContainsBlanks" dxfId="10" priority="41">
      <formula>LEN(TRIM(AC8))&gt;0</formula>
    </cfRule>
    <cfRule type="containsBlanks" dxfId="11" priority="42">
      <formula>LEN(TRIM(AC8))=0</formula>
    </cfRule>
  </conditionalFormatting>
  <conditionalFormatting sqref="AC9:AC2508">
    <cfRule type="expression" dxfId="10" priority="43">
      <formula>AND($AC$8&lt;&gt;"",OR(AC9="",EXACT(AC9,$AC$8)))</formula>
    </cfRule>
  </conditionalFormatting>
  <conditionalFormatting sqref="AD8">
    <cfRule type="notContainsBlanks" dxfId="10" priority="44">
      <formula>LEN(TRIM(AD8))&gt;0</formula>
    </cfRule>
    <cfRule type="containsBlanks" dxfId="11" priority="45">
      <formula>LEN(TRIM(AD8))=0</formula>
    </cfRule>
  </conditionalFormatting>
  <conditionalFormatting sqref="AD9:AD2508">
    <cfRule type="expression" dxfId="10" priority="46">
      <formula>AND($AD$8&lt;&gt;"",OR(AD9="",EXACT(AD9,$AD$8)))</formula>
    </cfRule>
  </conditionalFormatting>
  <conditionalFormatting sqref="AE8">
    <cfRule type="notContainsBlanks" dxfId="10" priority="47">
      <formula>LEN(TRIM(AE8))&gt;0</formula>
    </cfRule>
    <cfRule type="containsBlanks" dxfId="11" priority="48">
      <formula>LEN(TRIM(AE8))=0</formula>
    </cfRule>
  </conditionalFormatting>
  <conditionalFormatting sqref="AE9:AE2508">
    <cfRule type="expression" dxfId="10" priority="49">
      <formula>AND($AE$8&lt;&gt;"",OR(AE9="",EXACT(AE9,$AE$8)))</formula>
    </cfRule>
  </conditionalFormatting>
  <conditionalFormatting sqref="AF8">
    <cfRule type="notContainsBlanks" dxfId="10" priority="50">
      <formula>LEN(TRIM(AF8))&gt;0</formula>
    </cfRule>
    <cfRule type="containsBlanks" dxfId="11" priority="51">
      <formula>LEN(TRIM(AF8))=0</formula>
    </cfRule>
  </conditionalFormatting>
  <conditionalFormatting sqref="AF9:AF2508">
    <cfRule type="expression" dxfId="10" priority="52">
      <formula>AND($AF$8&lt;&gt;"",OR(AF9="",EXACT(AF9,$AF$8)))</formula>
    </cfRule>
  </conditionalFormatting>
  <conditionalFormatting sqref="AG8">
    <cfRule type="notContainsBlanks" dxfId="10" priority="53">
      <formula>LEN(TRIM(AG8))&gt;0</formula>
    </cfRule>
    <cfRule type="containsBlanks" dxfId="11" priority="54">
      <formula>LEN(TRIM(AG8))=0</formula>
    </cfRule>
  </conditionalFormatting>
  <conditionalFormatting sqref="AG9:AG2508">
    <cfRule type="expression" dxfId="10" priority="55">
      <formula>AND($AG$8&lt;&gt;"",OR(AG9="",EXACT(AG9,$AG$8)))</formula>
    </cfRule>
  </conditionalFormatting>
  <conditionalFormatting sqref="AH8">
    <cfRule type="notContainsBlanks" dxfId="10" priority="56">
      <formula>LEN(TRIM(AH8))&gt;0</formula>
    </cfRule>
    <cfRule type="containsBlanks" dxfId="11" priority="57">
      <formula>LEN(TRIM(AH8))=0</formula>
    </cfRule>
  </conditionalFormatting>
  <conditionalFormatting sqref="AH9:AH2508">
    <cfRule type="expression" dxfId="10" priority="58">
      <formula>AND($AH$8&lt;&gt;"",OR(AH9="",EXACT(AH9,$AH$8)))</formula>
    </cfRule>
  </conditionalFormatting>
  <conditionalFormatting sqref="AI8">
    <cfRule type="notContainsBlanks" dxfId="10" priority="59">
      <formula>LEN(TRIM(AI8))&gt;0</formula>
    </cfRule>
    <cfRule type="containsBlanks" dxfId="11" priority="60">
      <formula>LEN(TRIM(AI8))=0</formula>
    </cfRule>
  </conditionalFormatting>
  <conditionalFormatting sqref="AI9:AI2508">
    <cfRule type="expression" dxfId="10" priority="61">
      <formula>AND($AI$8&lt;&gt;"",OR(AI9="",EXACT(AI9,$AI$8)))</formula>
    </cfRule>
  </conditionalFormatting>
  <conditionalFormatting sqref="AJ8">
    <cfRule type="notContainsBlanks" dxfId="10" priority="62">
      <formula>LEN(TRIM(AJ8))&gt;0</formula>
    </cfRule>
    <cfRule type="containsBlanks" dxfId="11" priority="63">
      <formula>LEN(TRIM(AJ8))=0</formula>
    </cfRule>
  </conditionalFormatting>
  <conditionalFormatting sqref="AJ9:AJ2508">
    <cfRule type="expression" dxfId="10" priority="64">
      <formula>AND($AJ$8&lt;&gt;"",OR(AJ9="",EXACT(AJ9,$AJ$8)))</formula>
    </cfRule>
  </conditionalFormatting>
  <conditionalFormatting sqref="AK8">
    <cfRule type="notContainsBlanks" dxfId="10" priority="65">
      <formula>LEN(TRIM(AK8))&gt;0</formula>
    </cfRule>
    <cfRule type="containsBlanks" dxfId="11" priority="66">
      <formula>LEN(TRIM(AK8))=0</formula>
    </cfRule>
  </conditionalFormatting>
  <conditionalFormatting sqref="AK9:AK2508">
    <cfRule type="expression" dxfId="10" priority="67">
      <formula>AND($AK$8&lt;&gt;"",OR(AK9="",EXACT(AK9,$AK$8)))</formula>
    </cfRule>
  </conditionalFormatting>
  <conditionalFormatting sqref="AL8">
    <cfRule type="notContainsBlanks" dxfId="10" priority="68">
      <formula>LEN(TRIM(AL8))&gt;0</formula>
    </cfRule>
    <cfRule type="containsBlanks" dxfId="11" priority="69">
      <formula>LEN(TRIM(AL8))=0</formula>
    </cfRule>
  </conditionalFormatting>
  <conditionalFormatting sqref="AL9:AL2508">
    <cfRule type="expression" dxfId="10" priority="70">
      <formula>AND($AL$8&lt;&gt;"",OR(AL9="",EXACT(AL9,$AL$8)))</formula>
    </cfRule>
  </conditionalFormatting>
  <conditionalFormatting sqref="AM8">
    <cfRule type="notContainsBlanks" dxfId="10" priority="71">
      <formula>LEN(TRIM(AM8))&gt;0</formula>
    </cfRule>
    <cfRule type="containsBlanks" dxfId="11" priority="72">
      <formula>LEN(TRIM(AM8))=0</formula>
    </cfRule>
  </conditionalFormatting>
  <conditionalFormatting sqref="AM9:AM2508">
    <cfRule type="expression" dxfId="10" priority="73">
      <formula>AND($AM$8&lt;&gt;"",OR(AM9="",EXACT(AM9,$AM$8)))</formula>
    </cfRule>
  </conditionalFormatting>
  <conditionalFormatting sqref="AN8">
    <cfRule type="notContainsBlanks" dxfId="10" priority="74">
      <formula>LEN(TRIM(AN8))&gt;0</formula>
    </cfRule>
    <cfRule type="containsBlanks" dxfId="11" priority="75">
      <formula>LEN(TRIM(AN8))=0</formula>
    </cfRule>
  </conditionalFormatting>
  <conditionalFormatting sqref="AN9:AN2508">
    <cfRule type="expression" dxfId="10" priority="76">
      <formula>AND($AN$8&lt;&gt;"",OR(AN9="",EXACT(AN9,$AN$8)))</formula>
    </cfRule>
  </conditionalFormatting>
  <conditionalFormatting sqref="AO8">
    <cfRule type="notContainsBlanks" dxfId="10" priority="77">
      <formula>LEN(TRIM(AO8))&gt;0</formula>
    </cfRule>
    <cfRule type="containsBlanks" dxfId="11" priority="78">
      <formula>LEN(TRIM(AO8))=0</formula>
    </cfRule>
  </conditionalFormatting>
  <conditionalFormatting sqref="AO9:AO2508">
    <cfRule type="expression" dxfId="10" priority="79">
      <formula>AND($AO$8&lt;&gt;"",OR(AO9="",EXACT(AO9,$AO$8)))</formula>
    </cfRule>
  </conditionalFormatting>
  <conditionalFormatting sqref="AP8">
    <cfRule type="notContainsBlanks" dxfId="10" priority="80">
      <formula>LEN(TRIM(AP8))&gt;0</formula>
    </cfRule>
    <cfRule type="containsBlanks" dxfId="11" priority="81">
      <formula>LEN(TRIM(AP8))=0</formula>
    </cfRule>
  </conditionalFormatting>
  <conditionalFormatting sqref="AP9:AP2508">
    <cfRule type="expression" dxfId="10" priority="82">
      <formula>AND($AP$8&lt;&gt;"",OR(AP9="",EXACT(AP9,$AP$8)))</formula>
    </cfRule>
  </conditionalFormatting>
  <conditionalFormatting sqref="AQ8">
    <cfRule type="notContainsBlanks" dxfId="10" priority="83">
      <formula>LEN(TRIM(AQ8))&gt;0</formula>
    </cfRule>
    <cfRule type="containsBlanks" dxfId="11" priority="84">
      <formula>LEN(TRIM(AQ8))=0</formula>
    </cfRule>
  </conditionalFormatting>
  <conditionalFormatting sqref="AQ9:AQ2508">
    <cfRule type="expression" dxfId="10" priority="85">
      <formula>AND($AQ$8&lt;&gt;"",OR(AQ9="",EXACT(AQ9,$AQ$8)))</formula>
    </cfRule>
  </conditionalFormatting>
  <conditionalFormatting sqref="AR8">
    <cfRule type="notContainsBlanks" dxfId="10" priority="86">
      <formula>LEN(TRIM(AR8))&gt;0</formula>
    </cfRule>
    <cfRule type="containsBlanks" dxfId="11" priority="87">
      <formula>LEN(TRIM(AR8))=0</formula>
    </cfRule>
  </conditionalFormatting>
  <conditionalFormatting sqref="AR9:AR2508">
    <cfRule type="expression" dxfId="10" priority="88">
      <formula>AND($AR$8&lt;&gt;"",OR(AR9="",EXACT(AR9,$AR$8)))</formula>
    </cfRule>
  </conditionalFormatting>
  <conditionalFormatting sqref="AS8">
    <cfRule type="notContainsBlanks" dxfId="10" priority="89">
      <formula>LEN(TRIM(AS8))&gt;0</formula>
    </cfRule>
    <cfRule type="containsBlanks" dxfId="11" priority="90">
      <formula>LEN(TRIM(AS8))=0</formula>
    </cfRule>
  </conditionalFormatting>
  <conditionalFormatting sqref="AS9:AS2508">
    <cfRule type="expression" dxfId="10" priority="91">
      <formula>AND($AS$8&lt;&gt;"",OR(AS9="",EXACT(AS9,$AS$8)))</formula>
    </cfRule>
  </conditionalFormatting>
  <conditionalFormatting sqref="AT8">
    <cfRule type="notContainsBlanks" dxfId="10" priority="92">
      <formula>LEN(TRIM(AT8))&gt;0</formula>
    </cfRule>
    <cfRule type="containsBlanks" dxfId="11" priority="93">
      <formula>LEN(TRIM(AT8))=0</formula>
    </cfRule>
  </conditionalFormatting>
  <conditionalFormatting sqref="AT9:AT2508">
    <cfRule type="expression" dxfId="10" priority="94">
      <formula>AND($AT$8&lt;&gt;"",OR(AT9="",EXACT(AT9,$AT$8)))</formula>
    </cfRule>
  </conditionalFormatting>
  <conditionalFormatting sqref="AU8">
    <cfRule type="notContainsBlanks" dxfId="10" priority="95">
      <formula>LEN(TRIM(AU8))&gt;0</formula>
    </cfRule>
    <cfRule type="containsBlanks" dxfId="11" priority="96">
      <formula>LEN(TRIM(AU8))=0</formula>
    </cfRule>
  </conditionalFormatting>
  <conditionalFormatting sqref="AU9:AU2508">
    <cfRule type="expression" dxfId="10" priority="97">
      <formula>AND($AU$8&lt;&gt;"",OR(AU9="",EXACT(AU9,$AU$8)))</formula>
    </cfRule>
  </conditionalFormatting>
  <conditionalFormatting sqref="AV8">
    <cfRule type="notContainsBlanks" dxfId="10" priority="98">
      <formula>LEN(TRIM(AV8))&gt;0</formula>
    </cfRule>
    <cfRule type="containsBlanks" dxfId="11" priority="99">
      <formula>LEN(TRIM(AV8))=0</formula>
    </cfRule>
  </conditionalFormatting>
  <conditionalFormatting sqref="AV9:AV2508">
    <cfRule type="expression" dxfId="10" priority="100">
      <formula>AND($AV$8&lt;&gt;"",OR(AV9="",EXACT(AV9,$AV$8)))</formula>
    </cfRule>
  </conditionalFormatting>
  <conditionalFormatting sqref="AW8">
    <cfRule type="notContainsBlanks" dxfId="10" priority="101">
      <formula>LEN(TRIM(AW8))&gt;0</formula>
    </cfRule>
    <cfRule type="containsBlanks" dxfId="11" priority="102">
      <formula>LEN(TRIM(AW8))=0</formula>
    </cfRule>
  </conditionalFormatting>
  <conditionalFormatting sqref="AW9:AW2508">
    <cfRule type="expression" dxfId="10" priority="103">
      <formula>AND($AW$8&lt;&gt;"",OR(AW9="",EXACT(AW9,$AW$8)))</formula>
    </cfRule>
  </conditionalFormatting>
  <conditionalFormatting sqref="AX8">
    <cfRule type="notContainsBlanks" dxfId="10" priority="104">
      <formula>LEN(TRIM(AX8))&gt;0</formula>
    </cfRule>
    <cfRule type="containsBlanks" dxfId="11" priority="105">
      <formula>LEN(TRIM(AX8))=0</formula>
    </cfRule>
  </conditionalFormatting>
  <conditionalFormatting sqref="AX9:AX2508">
    <cfRule type="expression" dxfId="10" priority="106">
      <formula>AND($AX$8&lt;&gt;"",OR(AX9="",EXACT(AX9,$AX$8)))</formula>
    </cfRule>
  </conditionalFormatting>
  <conditionalFormatting sqref="AY8">
    <cfRule type="notContainsBlanks" dxfId="10" priority="107">
      <formula>LEN(TRIM(AY8))&gt;0</formula>
    </cfRule>
    <cfRule type="containsBlanks" dxfId="11" priority="108">
      <formula>LEN(TRIM(AY8))=0</formula>
    </cfRule>
  </conditionalFormatting>
  <conditionalFormatting sqref="AY9:AY2508">
    <cfRule type="expression" dxfId="10" priority="109">
      <formula>AND($AY$8&lt;&gt;"",OR(AY9="",EXACT(AY9,$AY$8)))</formula>
    </cfRule>
  </conditionalFormatting>
  <conditionalFormatting sqref="AZ8">
    <cfRule type="notContainsBlanks" dxfId="10" priority="110">
      <formula>LEN(TRIM(AZ8))&gt;0</formula>
    </cfRule>
    <cfRule type="containsBlanks" dxfId="11" priority="111">
      <formula>LEN(TRIM(AZ8))=0</formula>
    </cfRule>
  </conditionalFormatting>
  <conditionalFormatting sqref="AZ9:AZ2508">
    <cfRule type="expression" dxfId="10" priority="112">
      <formula>AND($AZ$8&lt;&gt;"",OR(AZ9="",EXACT(AZ9,$AZ$8)))</formula>
    </cfRule>
  </conditionalFormatting>
  <conditionalFormatting sqref="B9:LA508">
    <cfRule type="expression" dxfId="3" priority="1">
      <formula>'3757-S-WUO_TRK'!B9="Error"</formula>
    </cfRule>
    <cfRule type="expression" dxfId="4" priority="2">
      <formula>'3757-S-WUO_TRK'!B9="Required"</formula>
    </cfRule>
    <cfRule type="expression" dxfId="5" priority="3">
      <formula>'3757-S-WUO_TRK'!B9="Warning"</formula>
    </cfRule>
    <cfRule type="expression" dxfId="6" priority="4">
      <formula>'3757-S-WUO_TRK'!B9="Disabled"</formula>
    </cfRule>
  </conditionalFormatting>
  <conditionalFormatting sqref="BA8">
    <cfRule type="notContainsBlanks" dxfId="10" priority="113">
      <formula>LEN(TRIM(BA8))&gt;0</formula>
    </cfRule>
    <cfRule type="containsBlanks" dxfId="11" priority="114">
      <formula>LEN(TRIM(BA8))=0</formula>
    </cfRule>
  </conditionalFormatting>
  <conditionalFormatting sqref="BA9:BA2508">
    <cfRule type="expression" dxfId="10" priority="115">
      <formula>AND($BA$8&lt;&gt;"",OR(BA9="",EXACT(BA9,$BA$8)))</formula>
    </cfRule>
  </conditionalFormatting>
  <conditionalFormatting sqref="BB8">
    <cfRule type="notContainsBlanks" dxfId="10" priority="116">
      <formula>LEN(TRIM(BB8))&gt;0</formula>
    </cfRule>
    <cfRule type="containsBlanks" dxfId="11" priority="117">
      <formula>LEN(TRIM(BB8))=0</formula>
    </cfRule>
  </conditionalFormatting>
  <conditionalFormatting sqref="BB9:BB2508">
    <cfRule type="expression" dxfId="10" priority="118">
      <formula>AND($BB$8&lt;&gt;"",OR(BB9="",EXACT(BB9,$BB$8)))</formula>
    </cfRule>
  </conditionalFormatting>
  <conditionalFormatting sqref="BC8">
    <cfRule type="notContainsBlanks" dxfId="10" priority="119">
      <formula>LEN(TRIM(BC8))&gt;0</formula>
    </cfRule>
    <cfRule type="containsBlanks" dxfId="11" priority="120">
      <formula>LEN(TRIM(BC8))=0</formula>
    </cfRule>
  </conditionalFormatting>
  <conditionalFormatting sqref="BC9:BC2508">
    <cfRule type="expression" dxfId="10" priority="121">
      <formula>AND($BC$8&lt;&gt;"",OR(BC9="",EXACT(BC9,$BC$8)))</formula>
    </cfRule>
  </conditionalFormatting>
  <conditionalFormatting sqref="BD8">
    <cfRule type="notContainsBlanks" dxfId="10" priority="122">
      <formula>LEN(TRIM(BD8))&gt;0</formula>
    </cfRule>
    <cfRule type="containsBlanks" dxfId="11" priority="123">
      <formula>LEN(TRIM(BD8))=0</formula>
    </cfRule>
  </conditionalFormatting>
  <conditionalFormatting sqref="BD9:BD2508">
    <cfRule type="expression" dxfId="10" priority="124">
      <formula>AND($BD$8&lt;&gt;"",OR(BD9="",EXACT(BD9,$BD$8)))</formula>
    </cfRule>
  </conditionalFormatting>
  <conditionalFormatting sqref="BE8">
    <cfRule type="notContainsBlanks" dxfId="10" priority="125">
      <formula>LEN(TRIM(BE8))&gt;0</formula>
    </cfRule>
    <cfRule type="containsBlanks" dxfId="11" priority="126">
      <formula>LEN(TRIM(BE8))=0</formula>
    </cfRule>
  </conditionalFormatting>
  <conditionalFormatting sqref="BE9:BE2508">
    <cfRule type="expression" dxfId="10" priority="127">
      <formula>AND($BE$8&lt;&gt;"",OR(BE9="",EXACT(BE9,$BE$8)))</formula>
    </cfRule>
  </conditionalFormatting>
  <conditionalFormatting sqref="BF8">
    <cfRule type="notContainsBlanks" dxfId="10" priority="128">
      <formula>LEN(TRIM(BF8))&gt;0</formula>
    </cfRule>
    <cfRule type="containsBlanks" dxfId="11" priority="129">
      <formula>LEN(TRIM(BF8))=0</formula>
    </cfRule>
  </conditionalFormatting>
  <conditionalFormatting sqref="BF9:BF2508">
    <cfRule type="expression" dxfId="10" priority="130">
      <formula>AND($BF$8&lt;&gt;"",OR(BF9="",EXACT(BF9,$BF$8)))</formula>
    </cfRule>
  </conditionalFormatting>
  <conditionalFormatting sqref="BG8">
    <cfRule type="notContainsBlanks" dxfId="10" priority="131">
      <formula>LEN(TRIM(BG8))&gt;0</formula>
    </cfRule>
    <cfRule type="containsBlanks" dxfId="11" priority="132">
      <formula>LEN(TRIM(BG8))=0</formula>
    </cfRule>
  </conditionalFormatting>
  <conditionalFormatting sqref="BG9:BG2508">
    <cfRule type="expression" dxfId="10" priority="133">
      <formula>AND($BG$8&lt;&gt;"",OR(BG9="",EXACT(BG9,$BG$8)))</formula>
    </cfRule>
  </conditionalFormatting>
  <conditionalFormatting sqref="BH8">
    <cfRule type="notContainsBlanks" dxfId="10" priority="134">
      <formula>LEN(TRIM(BH8))&gt;0</formula>
    </cfRule>
    <cfRule type="containsBlanks" dxfId="11" priority="135">
      <formula>LEN(TRIM(BH8))=0</formula>
    </cfRule>
  </conditionalFormatting>
  <conditionalFormatting sqref="BH9:BH2508">
    <cfRule type="expression" dxfId="10" priority="136">
      <formula>AND($BH$8&lt;&gt;"",OR(BH9="",EXACT(BH9,$BH$8)))</formula>
    </cfRule>
  </conditionalFormatting>
  <conditionalFormatting sqref="BI8">
    <cfRule type="notContainsBlanks" dxfId="10" priority="137">
      <formula>LEN(TRIM(BI8))&gt;0</formula>
    </cfRule>
    <cfRule type="containsBlanks" dxfId="11" priority="138">
      <formula>LEN(TRIM(BI8))=0</formula>
    </cfRule>
  </conditionalFormatting>
  <conditionalFormatting sqref="BI9:BI2508">
    <cfRule type="expression" dxfId="10" priority="139">
      <formula>AND($BI$8&lt;&gt;"",OR(BI9="",EXACT(BI9,$BI$8)))</formula>
    </cfRule>
  </conditionalFormatting>
  <conditionalFormatting sqref="BJ8">
    <cfRule type="notContainsBlanks" dxfId="10" priority="140">
      <formula>LEN(TRIM(BJ8))&gt;0</formula>
    </cfRule>
    <cfRule type="containsBlanks" dxfId="11" priority="141">
      <formula>LEN(TRIM(BJ8))=0</formula>
    </cfRule>
  </conditionalFormatting>
  <conditionalFormatting sqref="BJ9:BJ2508">
    <cfRule type="expression" dxfId="10" priority="142">
      <formula>AND($BJ$8&lt;&gt;"",OR(BJ9="",EXACT(BJ9,$BJ$8)))</formula>
    </cfRule>
  </conditionalFormatting>
  <conditionalFormatting sqref="BK8">
    <cfRule type="notContainsBlanks" dxfId="10" priority="143">
      <formula>LEN(TRIM(BK8))&gt;0</formula>
    </cfRule>
    <cfRule type="containsBlanks" dxfId="11" priority="144">
      <formula>LEN(TRIM(BK8))=0</formula>
    </cfRule>
  </conditionalFormatting>
  <conditionalFormatting sqref="BK9:BK2508">
    <cfRule type="expression" dxfId="10" priority="145">
      <formula>AND($BK$8&lt;&gt;"",OR(BK9="",EXACT(BK9,$BK$8)))</formula>
    </cfRule>
  </conditionalFormatting>
  <conditionalFormatting sqref="BL8">
    <cfRule type="notContainsBlanks" dxfId="10" priority="146">
      <formula>LEN(TRIM(BL8))&gt;0</formula>
    </cfRule>
    <cfRule type="containsBlanks" dxfId="11" priority="147">
      <formula>LEN(TRIM(BL8))=0</formula>
    </cfRule>
  </conditionalFormatting>
  <conditionalFormatting sqref="BL9:BL2508">
    <cfRule type="expression" dxfId="10" priority="148">
      <formula>AND($BL$8&lt;&gt;"",OR(BL9="",EXACT(BL9,$BL$8)))</formula>
    </cfRule>
  </conditionalFormatting>
  <conditionalFormatting sqref="BM8">
    <cfRule type="notContainsBlanks" dxfId="10" priority="149">
      <formula>LEN(TRIM(BM8))&gt;0</formula>
    </cfRule>
    <cfRule type="containsBlanks" dxfId="11" priority="150">
      <formula>LEN(TRIM(BM8))=0</formula>
    </cfRule>
  </conditionalFormatting>
  <conditionalFormatting sqref="BM9:BM2508">
    <cfRule type="expression" dxfId="10" priority="151">
      <formula>AND($BM$8&lt;&gt;"",OR(BM9="",EXACT(BM9,$BM$8)))</formula>
    </cfRule>
  </conditionalFormatting>
  <conditionalFormatting sqref="BN8">
    <cfRule type="notContainsBlanks" dxfId="10" priority="152">
      <formula>LEN(TRIM(BN8))&gt;0</formula>
    </cfRule>
    <cfRule type="containsBlanks" dxfId="11" priority="153">
      <formula>LEN(TRIM(BN8))=0</formula>
    </cfRule>
  </conditionalFormatting>
  <conditionalFormatting sqref="BN9:BN2508">
    <cfRule type="expression" dxfId="10" priority="154">
      <formula>AND($BN$8&lt;&gt;"",OR(BN9="",EXACT(BN9,$BN$8)))</formula>
    </cfRule>
  </conditionalFormatting>
  <conditionalFormatting sqref="BO8">
    <cfRule type="notContainsBlanks" dxfId="10" priority="155">
      <formula>LEN(TRIM(BO8))&gt;0</formula>
    </cfRule>
    <cfRule type="containsBlanks" dxfId="11" priority="156">
      <formula>LEN(TRIM(BO8))=0</formula>
    </cfRule>
  </conditionalFormatting>
  <conditionalFormatting sqref="BO9:BO2508">
    <cfRule type="expression" dxfId="10" priority="157">
      <formula>AND($BO$8&lt;&gt;"",OR(BO9="",EXACT(BO9,$BO$8)))</formula>
    </cfRule>
  </conditionalFormatting>
  <conditionalFormatting sqref="BP8">
    <cfRule type="notContainsBlanks" dxfId="10" priority="158">
      <formula>LEN(TRIM(BP8))&gt;0</formula>
    </cfRule>
    <cfRule type="containsBlanks" dxfId="11" priority="159">
      <formula>LEN(TRIM(BP8))=0</formula>
    </cfRule>
  </conditionalFormatting>
  <conditionalFormatting sqref="BP9:BP2508">
    <cfRule type="expression" dxfId="10" priority="160">
      <formula>AND($BP$8&lt;&gt;"",OR(BP9="",EXACT(BP9,$BP$8)))</formula>
    </cfRule>
  </conditionalFormatting>
  <conditionalFormatting sqref="BQ8">
    <cfRule type="notContainsBlanks" dxfId="10" priority="161">
      <formula>LEN(TRIM(BQ8))&gt;0</formula>
    </cfRule>
    <cfRule type="containsBlanks" dxfId="11" priority="162">
      <formula>LEN(TRIM(BQ8))=0</formula>
    </cfRule>
  </conditionalFormatting>
  <conditionalFormatting sqref="BQ9:BQ2508">
    <cfRule type="expression" dxfId="10" priority="163">
      <formula>AND($BQ$8&lt;&gt;"",OR(BQ9="",EXACT(BQ9,$BQ$8)))</formula>
    </cfRule>
  </conditionalFormatting>
  <conditionalFormatting sqref="BR8">
    <cfRule type="notContainsBlanks" dxfId="10" priority="164">
      <formula>LEN(TRIM(BR8))&gt;0</formula>
    </cfRule>
    <cfRule type="containsBlanks" dxfId="11" priority="165">
      <formula>LEN(TRIM(BR8))=0</formula>
    </cfRule>
  </conditionalFormatting>
  <conditionalFormatting sqref="BR9:BR2508">
    <cfRule type="expression" dxfId="10" priority="166">
      <formula>AND($BR$8&lt;&gt;"",OR(BR9="",EXACT(BR9,$BR$8)))</formula>
    </cfRule>
  </conditionalFormatting>
  <conditionalFormatting sqref="BS8">
    <cfRule type="notContainsBlanks" dxfId="10" priority="167">
      <formula>LEN(TRIM(BS8))&gt;0</formula>
    </cfRule>
    <cfRule type="containsBlanks" dxfId="11" priority="168">
      <formula>LEN(TRIM(BS8))=0</formula>
    </cfRule>
  </conditionalFormatting>
  <conditionalFormatting sqref="BS9:BS2508">
    <cfRule type="expression" dxfId="10" priority="169">
      <formula>AND($BS$8&lt;&gt;"",OR(BS9="",EXACT(BS9,$BS$8)))</formula>
    </cfRule>
  </conditionalFormatting>
  <conditionalFormatting sqref="BT8">
    <cfRule type="notContainsBlanks" dxfId="10" priority="170">
      <formula>LEN(TRIM(BT8))&gt;0</formula>
    </cfRule>
    <cfRule type="containsBlanks" dxfId="11" priority="171">
      <formula>LEN(TRIM(BT8))=0</formula>
    </cfRule>
  </conditionalFormatting>
  <conditionalFormatting sqref="BT9:BT2508">
    <cfRule type="expression" dxfId="10" priority="172">
      <formula>AND($BT$8&lt;&gt;"",OR(BT9="",EXACT(BT9,$BT$8)))</formula>
    </cfRule>
  </conditionalFormatting>
  <conditionalFormatting sqref="BU8">
    <cfRule type="notContainsBlanks" dxfId="10" priority="173">
      <formula>LEN(TRIM(BU8))&gt;0</formula>
    </cfRule>
    <cfRule type="containsBlanks" dxfId="11" priority="174">
      <formula>LEN(TRIM(BU8))=0</formula>
    </cfRule>
  </conditionalFormatting>
  <conditionalFormatting sqref="BU9:BU2508">
    <cfRule type="expression" dxfId="10" priority="175">
      <formula>AND($BU$8&lt;&gt;"",OR(BU9="",EXACT(BU9,$BU$8)))</formula>
    </cfRule>
  </conditionalFormatting>
  <conditionalFormatting sqref="BV8">
    <cfRule type="notContainsBlanks" dxfId="10" priority="176">
      <formula>LEN(TRIM(BV8))&gt;0</formula>
    </cfRule>
    <cfRule type="containsBlanks" dxfId="11" priority="177">
      <formula>LEN(TRIM(BV8))=0</formula>
    </cfRule>
  </conditionalFormatting>
  <conditionalFormatting sqref="BV9:BV2508">
    <cfRule type="expression" dxfId="10" priority="178">
      <formula>AND($BV$8&lt;&gt;"",OR(BV9="",EXACT(BV9,$BV$8)))</formula>
    </cfRule>
  </conditionalFormatting>
  <conditionalFormatting sqref="BW8">
    <cfRule type="notContainsBlanks" dxfId="10" priority="179">
      <formula>LEN(TRIM(BW8))&gt;0</formula>
    </cfRule>
    <cfRule type="containsBlanks" dxfId="11" priority="180">
      <formula>LEN(TRIM(BW8))=0</formula>
    </cfRule>
  </conditionalFormatting>
  <conditionalFormatting sqref="BW9:BW2508">
    <cfRule type="expression" dxfId="10" priority="181">
      <formula>AND($BW$8&lt;&gt;"",OR(BW9="",EXACT(BW9,$BW$8)))</formula>
    </cfRule>
  </conditionalFormatting>
  <conditionalFormatting sqref="BX8">
    <cfRule type="notContainsBlanks" dxfId="10" priority="182">
      <formula>LEN(TRIM(BX8))&gt;0</formula>
    </cfRule>
    <cfRule type="containsBlanks" dxfId="11" priority="183">
      <formula>LEN(TRIM(BX8))=0</formula>
    </cfRule>
  </conditionalFormatting>
  <conditionalFormatting sqref="BX9:BX2508">
    <cfRule type="expression" dxfId="10" priority="184">
      <formula>AND($BX$8&lt;&gt;"",OR(BX9="",EXACT(BX9,$BX$8)))</formula>
    </cfRule>
  </conditionalFormatting>
  <conditionalFormatting sqref="BY8">
    <cfRule type="notContainsBlanks" dxfId="10" priority="185">
      <formula>LEN(TRIM(BY8))&gt;0</formula>
    </cfRule>
    <cfRule type="containsBlanks" dxfId="11" priority="186">
      <formula>LEN(TRIM(BY8))=0</formula>
    </cfRule>
  </conditionalFormatting>
  <conditionalFormatting sqref="BY9:BY2508">
    <cfRule type="expression" dxfId="10" priority="187">
      <formula>AND($BY$8&lt;&gt;"",OR(BY9="",EXACT(BY9,$BY$8)))</formula>
    </cfRule>
  </conditionalFormatting>
  <conditionalFormatting sqref="BZ8">
    <cfRule type="notContainsBlanks" dxfId="10" priority="188">
      <formula>LEN(TRIM(BZ8))&gt;0</formula>
    </cfRule>
    <cfRule type="containsBlanks" dxfId="11" priority="189">
      <formula>LEN(TRIM(BZ8))=0</formula>
    </cfRule>
  </conditionalFormatting>
  <conditionalFormatting sqref="BZ9:BZ2508">
    <cfRule type="expression" dxfId="10" priority="190">
      <formula>AND($BZ$8&lt;&gt;"",OR(BZ9="",EXACT(BZ9,$BZ$8)))</formula>
    </cfRule>
  </conditionalFormatting>
  <conditionalFormatting sqref="CA8">
    <cfRule type="notContainsBlanks" dxfId="10" priority="191">
      <formula>LEN(TRIM(CA8))&gt;0</formula>
    </cfRule>
    <cfRule type="containsBlanks" dxfId="11" priority="192">
      <formula>LEN(TRIM(CA8))=0</formula>
    </cfRule>
  </conditionalFormatting>
  <conditionalFormatting sqref="CA9:CA2508">
    <cfRule type="expression" dxfId="10" priority="193">
      <formula>AND($CA$8&lt;&gt;"",OR(CA9="",EXACT(CA9,$CA$8)))</formula>
    </cfRule>
  </conditionalFormatting>
  <conditionalFormatting sqref="CB8">
    <cfRule type="notContainsBlanks" dxfId="10" priority="194">
      <formula>LEN(TRIM(CB8))&gt;0</formula>
    </cfRule>
    <cfRule type="containsBlanks" dxfId="11" priority="195">
      <formula>LEN(TRIM(CB8))=0</formula>
    </cfRule>
  </conditionalFormatting>
  <conditionalFormatting sqref="CB9:CB2508">
    <cfRule type="expression" dxfId="10" priority="196">
      <formula>AND($CB$8&lt;&gt;"",OR(CB9="",EXACT(CB9,$CB$8)))</formula>
    </cfRule>
  </conditionalFormatting>
  <conditionalFormatting sqref="CC8">
    <cfRule type="notContainsBlanks" dxfId="10" priority="197">
      <formula>LEN(TRIM(CC8))&gt;0</formula>
    </cfRule>
    <cfRule type="containsBlanks" dxfId="11" priority="198">
      <formula>LEN(TRIM(CC8))=0</formula>
    </cfRule>
  </conditionalFormatting>
  <conditionalFormatting sqref="CC9:CC2508">
    <cfRule type="expression" dxfId="10" priority="199">
      <formula>AND($CC$8&lt;&gt;"",OR(CC9="",EXACT(CC9,$CC$8)))</formula>
    </cfRule>
  </conditionalFormatting>
  <conditionalFormatting sqref="CD8">
    <cfRule type="notContainsBlanks" dxfId="10" priority="200">
      <formula>LEN(TRIM(CD8))&gt;0</formula>
    </cfRule>
    <cfRule type="containsBlanks" dxfId="11" priority="201">
      <formula>LEN(TRIM(CD8))=0</formula>
    </cfRule>
  </conditionalFormatting>
  <conditionalFormatting sqref="CD9:CD2508">
    <cfRule type="expression" dxfId="10" priority="202">
      <formula>AND($CD$8&lt;&gt;"",OR(CD9="",EXACT(CD9,$CD$8)))</formula>
    </cfRule>
  </conditionalFormatting>
  <conditionalFormatting sqref="CE8">
    <cfRule type="notContainsBlanks" dxfId="10" priority="203">
      <formula>LEN(TRIM(CE8))&gt;0</formula>
    </cfRule>
    <cfRule type="containsBlanks" dxfId="11" priority="204">
      <formula>LEN(TRIM(CE8))=0</formula>
    </cfRule>
  </conditionalFormatting>
  <conditionalFormatting sqref="CE9:CE2508">
    <cfRule type="expression" dxfId="10" priority="205">
      <formula>AND($CE$8&lt;&gt;"",OR(CE9="",EXACT(CE9,$CE$8)))</formula>
    </cfRule>
  </conditionalFormatting>
  <conditionalFormatting sqref="CF8">
    <cfRule type="notContainsBlanks" dxfId="10" priority="206">
      <formula>LEN(TRIM(CF8))&gt;0</formula>
    </cfRule>
    <cfRule type="containsBlanks" dxfId="11" priority="207">
      <formula>LEN(TRIM(CF8))=0</formula>
    </cfRule>
  </conditionalFormatting>
  <conditionalFormatting sqref="CF9:CF2508">
    <cfRule type="expression" dxfId="10" priority="208">
      <formula>AND($CF$8&lt;&gt;"",OR(CF9="",EXACT(CF9,$CF$8)))</formula>
    </cfRule>
  </conditionalFormatting>
  <conditionalFormatting sqref="CG8">
    <cfRule type="notContainsBlanks" dxfId="10" priority="209">
      <formula>LEN(TRIM(CG8))&gt;0</formula>
    </cfRule>
    <cfRule type="containsBlanks" dxfId="11" priority="210">
      <formula>LEN(TRIM(CG8))=0</formula>
    </cfRule>
  </conditionalFormatting>
  <conditionalFormatting sqref="CG9:CG2508">
    <cfRule type="expression" dxfId="10" priority="211">
      <formula>AND($CG$8&lt;&gt;"",OR(CG9="",EXACT(CG9,$CG$8)))</formula>
    </cfRule>
  </conditionalFormatting>
  <conditionalFormatting sqref="CH8">
    <cfRule type="notContainsBlanks" dxfId="10" priority="212">
      <formula>LEN(TRIM(CH8))&gt;0</formula>
    </cfRule>
    <cfRule type="containsBlanks" dxfId="11" priority="213">
      <formula>LEN(TRIM(CH8))=0</formula>
    </cfRule>
  </conditionalFormatting>
  <conditionalFormatting sqref="CH9:CH2508">
    <cfRule type="expression" dxfId="10" priority="214">
      <formula>AND($CH$8&lt;&gt;"",OR(CH9="",EXACT(CH9,$CH$8)))</formula>
    </cfRule>
  </conditionalFormatting>
  <conditionalFormatting sqref="CI8">
    <cfRule type="notContainsBlanks" dxfId="10" priority="215">
      <formula>LEN(TRIM(CI8))&gt;0</formula>
    </cfRule>
    <cfRule type="containsBlanks" dxfId="11" priority="216">
      <formula>LEN(TRIM(CI8))=0</formula>
    </cfRule>
  </conditionalFormatting>
  <conditionalFormatting sqref="CI9:CI2508">
    <cfRule type="expression" dxfId="10" priority="217">
      <formula>AND($CI$8&lt;&gt;"",OR(CI9="",EXACT(CI9,$CI$8)))</formula>
    </cfRule>
  </conditionalFormatting>
  <conditionalFormatting sqref="CJ8">
    <cfRule type="notContainsBlanks" dxfId="10" priority="218">
      <formula>LEN(TRIM(CJ8))&gt;0</formula>
    </cfRule>
    <cfRule type="containsBlanks" dxfId="11" priority="219">
      <formula>LEN(TRIM(CJ8))=0</formula>
    </cfRule>
  </conditionalFormatting>
  <conditionalFormatting sqref="CJ9:CJ2508">
    <cfRule type="expression" dxfId="10" priority="220">
      <formula>AND($CJ$8&lt;&gt;"",OR(CJ9="",EXACT(CJ9,$CJ$8)))</formula>
    </cfRule>
  </conditionalFormatting>
  <conditionalFormatting sqref="CK8">
    <cfRule type="notContainsBlanks" dxfId="10" priority="221">
      <formula>LEN(TRIM(CK8))&gt;0</formula>
    </cfRule>
    <cfRule type="containsBlanks" dxfId="11" priority="222">
      <formula>LEN(TRIM(CK8))=0</formula>
    </cfRule>
  </conditionalFormatting>
  <conditionalFormatting sqref="CK9:CK2508">
    <cfRule type="expression" dxfId="10" priority="223">
      <formula>AND($CK$8&lt;&gt;"",OR(CK9="",EXACT(CK9,$CK$8)))</formula>
    </cfRule>
  </conditionalFormatting>
  <conditionalFormatting sqref="CL8">
    <cfRule type="notContainsBlanks" dxfId="10" priority="224">
      <formula>LEN(TRIM(CL8))&gt;0</formula>
    </cfRule>
    <cfRule type="containsBlanks" dxfId="11" priority="225">
      <formula>LEN(TRIM(CL8))=0</formula>
    </cfRule>
  </conditionalFormatting>
  <conditionalFormatting sqref="CL9:CL2508">
    <cfRule type="expression" dxfId="10" priority="226">
      <formula>AND($CL$8&lt;&gt;"",OR(CL9="",EXACT(CL9,$CL$8)))</formula>
    </cfRule>
  </conditionalFormatting>
  <conditionalFormatting sqref="CM8">
    <cfRule type="notContainsBlanks" dxfId="10" priority="227">
      <formula>LEN(TRIM(CM8))&gt;0</formula>
    </cfRule>
    <cfRule type="containsBlanks" dxfId="11" priority="228">
      <formula>LEN(TRIM(CM8))=0</formula>
    </cfRule>
  </conditionalFormatting>
  <conditionalFormatting sqref="CM9:CM2508">
    <cfRule type="expression" dxfId="10" priority="229">
      <formula>AND($CM$8&lt;&gt;"",OR(CM9="",EXACT(CM9,$CM$8)))</formula>
    </cfRule>
  </conditionalFormatting>
  <conditionalFormatting sqref="CN8">
    <cfRule type="notContainsBlanks" dxfId="10" priority="230">
      <formula>LEN(TRIM(CN8))&gt;0</formula>
    </cfRule>
    <cfRule type="containsBlanks" dxfId="11" priority="231">
      <formula>LEN(TRIM(CN8))=0</formula>
    </cfRule>
  </conditionalFormatting>
  <conditionalFormatting sqref="CN9:CN2508">
    <cfRule type="expression" dxfId="10" priority="232">
      <formula>AND($CN$8&lt;&gt;"",OR(CN9="",EXACT(CN9,$CN$8)))</formula>
    </cfRule>
  </conditionalFormatting>
  <conditionalFormatting sqref="CO8">
    <cfRule type="notContainsBlanks" dxfId="10" priority="233">
      <formula>LEN(TRIM(CO8))&gt;0</formula>
    </cfRule>
    <cfRule type="containsBlanks" dxfId="11" priority="234">
      <formula>LEN(TRIM(CO8))=0</formula>
    </cfRule>
  </conditionalFormatting>
  <conditionalFormatting sqref="CO9:CO2508">
    <cfRule type="expression" dxfId="10" priority="235">
      <formula>AND($CO$8&lt;&gt;"",OR(CO9="",EXACT(CO9,$CO$8)))</formula>
    </cfRule>
  </conditionalFormatting>
  <conditionalFormatting sqref="CP8">
    <cfRule type="notContainsBlanks" dxfId="10" priority="236">
      <formula>LEN(TRIM(CP8))&gt;0</formula>
    </cfRule>
    <cfRule type="containsBlanks" dxfId="11" priority="237">
      <formula>LEN(TRIM(CP8))=0</formula>
    </cfRule>
  </conditionalFormatting>
  <conditionalFormatting sqref="CP9:CP2508">
    <cfRule type="expression" dxfId="10" priority="238">
      <formula>AND($CP$8&lt;&gt;"",OR(CP9="",EXACT(CP9,$CP$8)))</formula>
    </cfRule>
  </conditionalFormatting>
  <conditionalFormatting sqref="CQ8">
    <cfRule type="notContainsBlanks" dxfId="10" priority="239">
      <formula>LEN(TRIM(CQ8))&gt;0</formula>
    </cfRule>
    <cfRule type="containsBlanks" dxfId="11" priority="240">
      <formula>LEN(TRIM(CQ8))=0</formula>
    </cfRule>
  </conditionalFormatting>
  <conditionalFormatting sqref="CQ9:CQ2508">
    <cfRule type="expression" dxfId="10" priority="241">
      <formula>AND($CQ$8&lt;&gt;"",OR(CQ9="",EXACT(CQ9,$CQ$8)))</formula>
    </cfRule>
  </conditionalFormatting>
  <conditionalFormatting sqref="CR8">
    <cfRule type="notContainsBlanks" dxfId="10" priority="242">
      <formula>LEN(TRIM(CR8))&gt;0</formula>
    </cfRule>
    <cfRule type="containsBlanks" dxfId="11" priority="243">
      <formula>LEN(TRIM(CR8))=0</formula>
    </cfRule>
  </conditionalFormatting>
  <conditionalFormatting sqref="CR9:CR2508">
    <cfRule type="expression" dxfId="10" priority="244">
      <formula>AND($CR$8&lt;&gt;"",OR(CR9="",EXACT(CR9,$CR$8)))</formula>
    </cfRule>
  </conditionalFormatting>
  <conditionalFormatting sqref="CS8">
    <cfRule type="notContainsBlanks" dxfId="10" priority="245">
      <formula>LEN(TRIM(CS8))&gt;0</formula>
    </cfRule>
    <cfRule type="containsBlanks" dxfId="11" priority="246">
      <formula>LEN(TRIM(CS8))=0</formula>
    </cfRule>
  </conditionalFormatting>
  <conditionalFormatting sqref="CS9:CS2508">
    <cfRule type="expression" dxfId="10" priority="247">
      <formula>AND($CS$8&lt;&gt;"",OR(CS9="",EXACT(CS9,$CS$8)))</formula>
    </cfRule>
  </conditionalFormatting>
  <conditionalFormatting sqref="CT8">
    <cfRule type="notContainsBlanks" dxfId="10" priority="248">
      <formula>LEN(TRIM(CT8))&gt;0</formula>
    </cfRule>
    <cfRule type="containsBlanks" dxfId="11" priority="249">
      <formula>LEN(TRIM(CT8))=0</formula>
    </cfRule>
  </conditionalFormatting>
  <conditionalFormatting sqref="CT9:CT2508">
    <cfRule type="expression" dxfId="10" priority="250">
      <formula>AND($CT$8&lt;&gt;"",OR(CT9="",EXACT(CT9,$CT$8)))</formula>
    </cfRule>
  </conditionalFormatting>
  <conditionalFormatting sqref="CU8">
    <cfRule type="notContainsBlanks" dxfId="10" priority="251">
      <formula>LEN(TRIM(CU8))&gt;0</formula>
    </cfRule>
    <cfRule type="containsBlanks" dxfId="11" priority="252">
      <formula>LEN(TRIM(CU8))=0</formula>
    </cfRule>
  </conditionalFormatting>
  <conditionalFormatting sqref="CU9:CU2508">
    <cfRule type="expression" dxfId="10" priority="253">
      <formula>AND($CU$8&lt;&gt;"",OR(CU9="",EXACT(CU9,$CU$8)))</formula>
    </cfRule>
  </conditionalFormatting>
  <conditionalFormatting sqref="CV8">
    <cfRule type="notContainsBlanks" dxfId="10" priority="254">
      <formula>LEN(TRIM(CV8))&gt;0</formula>
    </cfRule>
    <cfRule type="containsBlanks" dxfId="11" priority="255">
      <formula>LEN(TRIM(CV8))=0</formula>
    </cfRule>
  </conditionalFormatting>
  <conditionalFormatting sqref="CV9:CV2508">
    <cfRule type="expression" dxfId="10" priority="256">
      <formula>AND($CV$8&lt;&gt;"",OR(CV9="",EXACT(CV9,$CV$8)))</formula>
    </cfRule>
  </conditionalFormatting>
  <conditionalFormatting sqref="CW8">
    <cfRule type="notContainsBlanks" dxfId="10" priority="257">
      <formula>LEN(TRIM(CW8))&gt;0</formula>
    </cfRule>
    <cfRule type="containsBlanks" dxfId="11" priority="258">
      <formula>LEN(TRIM(CW8))=0</formula>
    </cfRule>
  </conditionalFormatting>
  <conditionalFormatting sqref="CW9:CW2508">
    <cfRule type="expression" dxfId="10" priority="259">
      <formula>AND($CW$8&lt;&gt;"",OR(CW9="",EXACT(CW9,$CW$8)))</formula>
    </cfRule>
  </conditionalFormatting>
  <conditionalFormatting sqref="CX8">
    <cfRule type="notContainsBlanks" dxfId="10" priority="260">
      <formula>LEN(TRIM(CX8))&gt;0</formula>
    </cfRule>
    <cfRule type="containsBlanks" dxfId="11" priority="261">
      <formula>LEN(TRIM(CX8))=0</formula>
    </cfRule>
  </conditionalFormatting>
  <conditionalFormatting sqref="CX9:CX2508">
    <cfRule type="expression" dxfId="10" priority="262">
      <formula>AND($CX$8&lt;&gt;"",OR(CX9="",EXACT(CX9,$CX$8)))</formula>
    </cfRule>
  </conditionalFormatting>
  <conditionalFormatting sqref="CY8">
    <cfRule type="notContainsBlanks" dxfId="10" priority="263">
      <formula>LEN(TRIM(CY8))&gt;0</formula>
    </cfRule>
    <cfRule type="containsBlanks" dxfId="11" priority="264">
      <formula>LEN(TRIM(CY8))=0</formula>
    </cfRule>
  </conditionalFormatting>
  <conditionalFormatting sqref="CY9:CY2508">
    <cfRule type="expression" dxfId="10" priority="265">
      <formula>AND($CY$8&lt;&gt;"",OR(CY9="",EXACT(CY9,$CY$8)))</formula>
    </cfRule>
  </conditionalFormatting>
  <conditionalFormatting sqref="CZ8">
    <cfRule type="notContainsBlanks" dxfId="10" priority="266">
      <formula>LEN(TRIM(CZ8))&gt;0</formula>
    </cfRule>
    <cfRule type="containsBlanks" dxfId="11" priority="267">
      <formula>LEN(TRIM(CZ8))=0</formula>
    </cfRule>
  </conditionalFormatting>
  <conditionalFormatting sqref="CZ9:CZ2508">
    <cfRule type="expression" dxfId="10" priority="268">
      <formula>AND($CZ$8&lt;&gt;"",OR(CZ9="",EXACT(CZ9,$CZ$8)))</formula>
    </cfRule>
  </conditionalFormatting>
  <conditionalFormatting sqref="DA8">
    <cfRule type="notContainsBlanks" dxfId="10" priority="269">
      <formula>LEN(TRIM(DA8))&gt;0</formula>
    </cfRule>
    <cfRule type="containsBlanks" dxfId="11" priority="270">
      <formula>LEN(TRIM(DA8))=0</formula>
    </cfRule>
  </conditionalFormatting>
  <conditionalFormatting sqref="DA9:DA2508">
    <cfRule type="expression" dxfId="10" priority="271">
      <formula>AND($DA$8&lt;&gt;"",OR(DA9="",EXACT(DA9,$DA$8)))</formula>
    </cfRule>
  </conditionalFormatting>
  <conditionalFormatting sqref="DB8">
    <cfRule type="notContainsBlanks" dxfId="10" priority="272">
      <formula>LEN(TRIM(DB8))&gt;0</formula>
    </cfRule>
    <cfRule type="containsBlanks" dxfId="11" priority="273">
      <formula>LEN(TRIM(DB8))=0</formula>
    </cfRule>
  </conditionalFormatting>
  <conditionalFormatting sqref="DB9:DB2508">
    <cfRule type="expression" dxfId="10" priority="274">
      <formula>AND($DB$8&lt;&gt;"",OR(DB9="",EXACT(DB9,$DB$8)))</formula>
    </cfRule>
  </conditionalFormatting>
  <conditionalFormatting sqref="DC8">
    <cfRule type="notContainsBlanks" dxfId="10" priority="275">
      <formula>LEN(TRIM(DC8))&gt;0</formula>
    </cfRule>
    <cfRule type="containsBlanks" dxfId="11" priority="276">
      <formula>LEN(TRIM(DC8))=0</formula>
    </cfRule>
  </conditionalFormatting>
  <conditionalFormatting sqref="DC9:DC2508">
    <cfRule type="expression" dxfId="10" priority="277">
      <formula>AND($DC$8&lt;&gt;"",OR(DC9="",EXACT(DC9,$DC$8)))</formula>
    </cfRule>
  </conditionalFormatting>
  <conditionalFormatting sqref="DD8">
    <cfRule type="notContainsBlanks" dxfId="10" priority="278">
      <formula>LEN(TRIM(DD8))&gt;0</formula>
    </cfRule>
    <cfRule type="containsBlanks" dxfId="11" priority="279">
      <formula>LEN(TRIM(DD8))=0</formula>
    </cfRule>
  </conditionalFormatting>
  <conditionalFormatting sqref="DD9:DD2508">
    <cfRule type="expression" dxfId="10" priority="280">
      <formula>AND($DD$8&lt;&gt;"",OR(DD9="",EXACT(DD9,$DD$8)))</formula>
    </cfRule>
  </conditionalFormatting>
  <conditionalFormatting sqref="DE8">
    <cfRule type="notContainsBlanks" dxfId="10" priority="281">
      <formula>LEN(TRIM(DE8))&gt;0</formula>
    </cfRule>
    <cfRule type="containsBlanks" dxfId="11" priority="282">
      <formula>LEN(TRIM(DE8))=0</formula>
    </cfRule>
  </conditionalFormatting>
  <conditionalFormatting sqref="DE9:DE2508">
    <cfRule type="expression" dxfId="10" priority="283">
      <formula>AND($DE$8&lt;&gt;"",OR(DE9="",EXACT(DE9,$DE$8)))</formula>
    </cfRule>
  </conditionalFormatting>
  <conditionalFormatting sqref="DF8">
    <cfRule type="notContainsBlanks" dxfId="10" priority="284">
      <formula>LEN(TRIM(DF8))&gt;0</formula>
    </cfRule>
    <cfRule type="containsBlanks" dxfId="11" priority="285">
      <formula>LEN(TRIM(DF8))=0</formula>
    </cfRule>
  </conditionalFormatting>
  <conditionalFormatting sqref="DF9:DF2508">
    <cfRule type="expression" dxfId="10" priority="286">
      <formula>AND($DF$8&lt;&gt;"",OR(DF9="",EXACT(DF9,$DF$8)))</formula>
    </cfRule>
  </conditionalFormatting>
  <conditionalFormatting sqref="DG8">
    <cfRule type="notContainsBlanks" dxfId="10" priority="287">
      <formula>LEN(TRIM(DG8))&gt;0</formula>
    </cfRule>
    <cfRule type="containsBlanks" dxfId="11" priority="288">
      <formula>LEN(TRIM(DG8))=0</formula>
    </cfRule>
  </conditionalFormatting>
  <conditionalFormatting sqref="DG9:DG2508">
    <cfRule type="expression" dxfId="10" priority="289">
      <formula>AND($DG$8&lt;&gt;"",OR(DG9="",EXACT(DG9,$DG$8)))</formula>
    </cfRule>
  </conditionalFormatting>
  <conditionalFormatting sqref="DH8">
    <cfRule type="notContainsBlanks" dxfId="10" priority="290">
      <formula>LEN(TRIM(DH8))&gt;0</formula>
    </cfRule>
    <cfRule type="containsBlanks" dxfId="11" priority="291">
      <formula>LEN(TRIM(DH8))=0</formula>
    </cfRule>
  </conditionalFormatting>
  <conditionalFormatting sqref="DH9:DH2508">
    <cfRule type="expression" dxfId="10" priority="292">
      <formula>AND($DH$8&lt;&gt;"",OR(DH9="",EXACT(DH9,$DH$8)))</formula>
    </cfRule>
  </conditionalFormatting>
  <conditionalFormatting sqref="DI8">
    <cfRule type="notContainsBlanks" dxfId="10" priority="293">
      <formula>LEN(TRIM(DI8))&gt;0</formula>
    </cfRule>
    <cfRule type="containsBlanks" dxfId="11" priority="294">
      <formula>LEN(TRIM(DI8))=0</formula>
    </cfRule>
  </conditionalFormatting>
  <conditionalFormatting sqref="DI9:DI2508">
    <cfRule type="expression" dxfId="10" priority="295">
      <formula>AND($DI$8&lt;&gt;"",OR(DI9="",EXACT(DI9,$DI$8)))</formula>
    </cfRule>
  </conditionalFormatting>
  <conditionalFormatting sqref="DJ8">
    <cfRule type="notContainsBlanks" dxfId="10" priority="296">
      <formula>LEN(TRIM(DJ8))&gt;0</formula>
    </cfRule>
    <cfRule type="containsBlanks" dxfId="11" priority="297">
      <formula>LEN(TRIM(DJ8))=0</formula>
    </cfRule>
  </conditionalFormatting>
  <conditionalFormatting sqref="DJ9:DJ2508">
    <cfRule type="expression" dxfId="10" priority="298">
      <formula>AND($DJ$8&lt;&gt;"",OR(DJ9="",EXACT(DJ9,$DJ$8)))</formula>
    </cfRule>
  </conditionalFormatting>
  <conditionalFormatting sqref="DK8">
    <cfRule type="notContainsBlanks" dxfId="10" priority="299">
      <formula>LEN(TRIM(DK8))&gt;0</formula>
    </cfRule>
    <cfRule type="containsBlanks" dxfId="11" priority="300">
      <formula>LEN(TRIM(DK8))=0</formula>
    </cfRule>
  </conditionalFormatting>
  <conditionalFormatting sqref="DK9:DK2508">
    <cfRule type="expression" dxfId="10" priority="301">
      <formula>AND($DK$8&lt;&gt;"",OR(DK9="",EXACT(DK9,$DK$8)))</formula>
    </cfRule>
  </conditionalFormatting>
  <conditionalFormatting sqref="DL8">
    <cfRule type="notContainsBlanks" dxfId="10" priority="302">
      <formula>LEN(TRIM(DL8))&gt;0</formula>
    </cfRule>
    <cfRule type="containsBlanks" dxfId="11" priority="303">
      <formula>LEN(TRIM(DL8))=0</formula>
    </cfRule>
  </conditionalFormatting>
  <conditionalFormatting sqref="DL9:DL2508">
    <cfRule type="expression" dxfId="10" priority="304">
      <formula>AND($DL$8&lt;&gt;"",OR(DL9="",EXACT(DL9,$DL$8)))</formula>
    </cfRule>
  </conditionalFormatting>
  <conditionalFormatting sqref="DM8">
    <cfRule type="notContainsBlanks" dxfId="10" priority="305">
      <formula>LEN(TRIM(DM8))&gt;0</formula>
    </cfRule>
    <cfRule type="containsBlanks" dxfId="11" priority="306">
      <formula>LEN(TRIM(DM8))=0</formula>
    </cfRule>
  </conditionalFormatting>
  <conditionalFormatting sqref="DM9:DM2508">
    <cfRule type="expression" dxfId="10" priority="307">
      <formula>AND($DM$8&lt;&gt;"",OR(DM9="",EXACT(DM9,$DM$8)))</formula>
    </cfRule>
  </conditionalFormatting>
  <conditionalFormatting sqref="DN8">
    <cfRule type="notContainsBlanks" dxfId="10" priority="308">
      <formula>LEN(TRIM(DN8))&gt;0</formula>
    </cfRule>
    <cfRule type="containsBlanks" dxfId="11" priority="309">
      <formula>LEN(TRIM(DN8))=0</formula>
    </cfRule>
  </conditionalFormatting>
  <conditionalFormatting sqref="DN9:DN2508">
    <cfRule type="expression" dxfId="10" priority="310">
      <formula>AND($DN$8&lt;&gt;"",OR(DN9="",EXACT(DN9,$DN$8)))</formula>
    </cfRule>
  </conditionalFormatting>
  <conditionalFormatting sqref="DO8">
    <cfRule type="notContainsBlanks" dxfId="10" priority="311">
      <formula>LEN(TRIM(DO8))&gt;0</formula>
    </cfRule>
    <cfRule type="containsBlanks" dxfId="11" priority="312">
      <formula>LEN(TRIM(DO8))=0</formula>
    </cfRule>
  </conditionalFormatting>
  <conditionalFormatting sqref="DO9:DO2508">
    <cfRule type="expression" dxfId="10" priority="313">
      <formula>AND($DO$8&lt;&gt;"",OR(DO9="",EXACT(DO9,$DO$8)))</formula>
    </cfRule>
  </conditionalFormatting>
  <conditionalFormatting sqref="DP8">
    <cfRule type="notContainsBlanks" dxfId="10" priority="314">
      <formula>LEN(TRIM(DP8))&gt;0</formula>
    </cfRule>
    <cfRule type="containsBlanks" dxfId="11" priority="315">
      <formula>LEN(TRIM(DP8))=0</formula>
    </cfRule>
  </conditionalFormatting>
  <conditionalFormatting sqref="DP9:DP2508">
    <cfRule type="expression" dxfId="10" priority="316">
      <formula>AND($DP$8&lt;&gt;"",OR(DP9="",EXACT(DP9,$DP$8)))</formula>
    </cfRule>
  </conditionalFormatting>
  <conditionalFormatting sqref="DQ8">
    <cfRule type="notContainsBlanks" dxfId="10" priority="317">
      <formula>LEN(TRIM(DQ8))&gt;0</formula>
    </cfRule>
    <cfRule type="containsBlanks" dxfId="11" priority="318">
      <formula>LEN(TRIM(DQ8))=0</formula>
    </cfRule>
  </conditionalFormatting>
  <conditionalFormatting sqref="DQ9:DQ2508">
    <cfRule type="expression" dxfId="10" priority="319">
      <formula>AND($DQ$8&lt;&gt;"",OR(DQ9="",EXACT(DQ9,$DQ$8)))</formula>
    </cfRule>
  </conditionalFormatting>
  <conditionalFormatting sqref="DR8">
    <cfRule type="notContainsBlanks" dxfId="10" priority="320">
      <formula>LEN(TRIM(DR8))&gt;0</formula>
    </cfRule>
    <cfRule type="containsBlanks" dxfId="11" priority="321">
      <formula>LEN(TRIM(DR8))=0</formula>
    </cfRule>
  </conditionalFormatting>
  <conditionalFormatting sqref="DR9:DR2508">
    <cfRule type="expression" dxfId="10" priority="322">
      <formula>AND($DR$8&lt;&gt;"",OR(DR9="",EXACT(DR9,$DR$8)))</formula>
    </cfRule>
  </conditionalFormatting>
  <conditionalFormatting sqref="DS8">
    <cfRule type="notContainsBlanks" dxfId="10" priority="323">
      <formula>LEN(TRIM(DS8))&gt;0</formula>
    </cfRule>
    <cfRule type="containsBlanks" dxfId="11" priority="324">
      <formula>LEN(TRIM(DS8))=0</formula>
    </cfRule>
  </conditionalFormatting>
  <conditionalFormatting sqref="DS9:DS2508">
    <cfRule type="expression" dxfId="10" priority="325">
      <formula>AND($DS$8&lt;&gt;"",OR(DS9="",EXACT(DS9,$DS$8)))</formula>
    </cfRule>
  </conditionalFormatting>
  <conditionalFormatting sqref="DT8">
    <cfRule type="notContainsBlanks" dxfId="10" priority="326">
      <formula>LEN(TRIM(DT8))&gt;0</formula>
    </cfRule>
    <cfRule type="containsBlanks" dxfId="11" priority="327">
      <formula>LEN(TRIM(DT8))=0</formula>
    </cfRule>
  </conditionalFormatting>
  <conditionalFormatting sqref="DT9:DT2508">
    <cfRule type="expression" dxfId="10" priority="328">
      <formula>AND($DT$8&lt;&gt;"",OR(DT9="",EXACT(DT9,$DT$8)))</formula>
    </cfRule>
  </conditionalFormatting>
  <conditionalFormatting sqref="DU8">
    <cfRule type="notContainsBlanks" dxfId="10" priority="329">
      <formula>LEN(TRIM(DU8))&gt;0</formula>
    </cfRule>
    <cfRule type="containsBlanks" dxfId="11" priority="330">
      <formula>LEN(TRIM(DU8))=0</formula>
    </cfRule>
  </conditionalFormatting>
  <conditionalFormatting sqref="DU9:DU2508">
    <cfRule type="expression" dxfId="10" priority="331">
      <formula>AND($DU$8&lt;&gt;"",OR(DU9="",EXACT(DU9,$DU$8)))</formula>
    </cfRule>
  </conditionalFormatting>
  <conditionalFormatting sqref="DV8">
    <cfRule type="notContainsBlanks" dxfId="10" priority="332">
      <formula>LEN(TRIM(DV8))&gt;0</formula>
    </cfRule>
    <cfRule type="containsBlanks" dxfId="11" priority="333">
      <formula>LEN(TRIM(DV8))=0</formula>
    </cfRule>
  </conditionalFormatting>
  <conditionalFormatting sqref="DV9:DV2508">
    <cfRule type="expression" dxfId="10" priority="334">
      <formula>AND($DV$8&lt;&gt;"",OR(DV9="",EXACT(DV9,$DV$8)))</formula>
    </cfRule>
  </conditionalFormatting>
  <conditionalFormatting sqref="DW8">
    <cfRule type="notContainsBlanks" dxfId="10" priority="335">
      <formula>LEN(TRIM(DW8))&gt;0</formula>
    </cfRule>
    <cfRule type="containsBlanks" dxfId="11" priority="336">
      <formula>LEN(TRIM(DW8))=0</formula>
    </cfRule>
  </conditionalFormatting>
  <conditionalFormatting sqref="DW9:DW2508">
    <cfRule type="expression" dxfId="10" priority="337">
      <formula>AND($DW$8&lt;&gt;"",OR(DW9="",EXACT(DW9,$DW$8)))</formula>
    </cfRule>
  </conditionalFormatting>
  <conditionalFormatting sqref="DX8">
    <cfRule type="notContainsBlanks" dxfId="10" priority="338">
      <formula>LEN(TRIM(DX8))&gt;0</formula>
    </cfRule>
    <cfRule type="containsBlanks" dxfId="11" priority="339">
      <formula>LEN(TRIM(DX8))=0</formula>
    </cfRule>
  </conditionalFormatting>
  <conditionalFormatting sqref="DX9:DX2508">
    <cfRule type="expression" dxfId="10" priority="340">
      <formula>AND($DX$8&lt;&gt;"",OR(DX9="",EXACT(DX9,$DX$8)))</formula>
    </cfRule>
  </conditionalFormatting>
  <conditionalFormatting sqref="DY8">
    <cfRule type="notContainsBlanks" dxfId="10" priority="341">
      <formula>LEN(TRIM(DY8))&gt;0</formula>
    </cfRule>
    <cfRule type="containsBlanks" dxfId="11" priority="342">
      <formula>LEN(TRIM(DY8))=0</formula>
    </cfRule>
  </conditionalFormatting>
  <conditionalFormatting sqref="DY9:DY2508">
    <cfRule type="expression" dxfId="10" priority="343">
      <formula>AND($DY$8&lt;&gt;"",OR(DY9="",EXACT(DY9,$DY$8)))</formula>
    </cfRule>
  </conditionalFormatting>
  <conditionalFormatting sqref="DZ8">
    <cfRule type="notContainsBlanks" dxfId="10" priority="344">
      <formula>LEN(TRIM(DZ8))&gt;0</formula>
    </cfRule>
    <cfRule type="containsBlanks" dxfId="11" priority="345">
      <formula>LEN(TRIM(DZ8))=0</formula>
    </cfRule>
  </conditionalFormatting>
  <conditionalFormatting sqref="DZ9:DZ2508">
    <cfRule type="expression" dxfId="10" priority="346">
      <formula>AND($DZ$8&lt;&gt;"",OR(DZ9="",EXACT(DZ9,$DZ$8)))</formula>
    </cfRule>
  </conditionalFormatting>
  <conditionalFormatting sqref="EA8">
    <cfRule type="notContainsBlanks" dxfId="10" priority="347">
      <formula>LEN(TRIM(EA8))&gt;0</formula>
    </cfRule>
    <cfRule type="containsBlanks" dxfId="11" priority="348">
      <formula>LEN(TRIM(EA8))=0</formula>
    </cfRule>
  </conditionalFormatting>
  <conditionalFormatting sqref="EA9:EA2508">
    <cfRule type="expression" dxfId="10" priority="349">
      <formula>AND($EA$8&lt;&gt;"",OR(EA9="",EXACT(EA9,$EA$8)))</formula>
    </cfRule>
  </conditionalFormatting>
  <conditionalFormatting sqref="EB8">
    <cfRule type="notContainsBlanks" dxfId="10" priority="350">
      <formula>LEN(TRIM(EB8))&gt;0</formula>
    </cfRule>
    <cfRule type="containsBlanks" dxfId="11" priority="351">
      <formula>LEN(TRIM(EB8))=0</formula>
    </cfRule>
  </conditionalFormatting>
  <conditionalFormatting sqref="EB9:EB2508">
    <cfRule type="expression" dxfId="10" priority="352">
      <formula>AND($EB$8&lt;&gt;"",OR(EB9="",EXACT(EB9,$EB$8)))</formula>
    </cfRule>
  </conditionalFormatting>
  <conditionalFormatting sqref="EC8">
    <cfRule type="notContainsBlanks" dxfId="10" priority="353">
      <formula>LEN(TRIM(EC8))&gt;0</formula>
    </cfRule>
    <cfRule type="containsBlanks" dxfId="11" priority="354">
      <formula>LEN(TRIM(EC8))=0</formula>
    </cfRule>
  </conditionalFormatting>
  <conditionalFormatting sqref="EC9:EC2508">
    <cfRule type="expression" dxfId="10" priority="355">
      <formula>AND($EC$8&lt;&gt;"",OR(EC9="",EXACT(EC9,$EC$8)))</formula>
    </cfRule>
  </conditionalFormatting>
  <conditionalFormatting sqref="ED8">
    <cfRule type="notContainsBlanks" dxfId="10" priority="356">
      <formula>LEN(TRIM(ED8))&gt;0</formula>
    </cfRule>
    <cfRule type="containsBlanks" dxfId="11" priority="357">
      <formula>LEN(TRIM(ED8))=0</formula>
    </cfRule>
  </conditionalFormatting>
  <conditionalFormatting sqref="ED9:ED2508">
    <cfRule type="expression" dxfId="10" priority="358">
      <formula>AND($ED$8&lt;&gt;"",OR(ED9="",EXACT(ED9,$ED$8)))</formula>
    </cfRule>
  </conditionalFormatting>
  <conditionalFormatting sqref="EE8">
    <cfRule type="notContainsBlanks" dxfId="10" priority="359">
      <formula>LEN(TRIM(EE8))&gt;0</formula>
    </cfRule>
    <cfRule type="containsBlanks" dxfId="11" priority="360">
      <formula>LEN(TRIM(EE8))=0</formula>
    </cfRule>
  </conditionalFormatting>
  <conditionalFormatting sqref="EE9:EE2508">
    <cfRule type="expression" dxfId="10" priority="361">
      <formula>AND($EE$8&lt;&gt;"",OR(EE9="",EXACT(EE9,$EE$8)))</formula>
    </cfRule>
  </conditionalFormatting>
  <conditionalFormatting sqref="EF8">
    <cfRule type="notContainsBlanks" dxfId="10" priority="362">
      <formula>LEN(TRIM(EF8))&gt;0</formula>
    </cfRule>
    <cfRule type="containsBlanks" dxfId="11" priority="363">
      <formula>LEN(TRIM(EF8))=0</formula>
    </cfRule>
  </conditionalFormatting>
  <conditionalFormatting sqref="EF9:EF2508">
    <cfRule type="expression" dxfId="10" priority="364">
      <formula>AND($EF$8&lt;&gt;"",OR(EF9="",EXACT(EF9,$EF$8)))</formula>
    </cfRule>
  </conditionalFormatting>
  <conditionalFormatting sqref="EG8">
    <cfRule type="notContainsBlanks" dxfId="10" priority="365">
      <formula>LEN(TRIM(EG8))&gt;0</formula>
    </cfRule>
    <cfRule type="containsBlanks" dxfId="11" priority="366">
      <formula>LEN(TRIM(EG8))=0</formula>
    </cfRule>
  </conditionalFormatting>
  <conditionalFormatting sqref="EG9:EG2508">
    <cfRule type="expression" dxfId="10" priority="367">
      <formula>AND($EG$8&lt;&gt;"",OR(EG9="",EXACT(EG9,$EG$8)))</formula>
    </cfRule>
  </conditionalFormatting>
  <conditionalFormatting sqref="EH8">
    <cfRule type="notContainsBlanks" dxfId="10" priority="368">
      <formula>LEN(TRIM(EH8))&gt;0</formula>
    </cfRule>
    <cfRule type="containsBlanks" dxfId="11" priority="369">
      <formula>LEN(TRIM(EH8))=0</formula>
    </cfRule>
  </conditionalFormatting>
  <conditionalFormatting sqref="EH9:EH2508">
    <cfRule type="expression" dxfId="10" priority="370">
      <formula>AND($EH$8&lt;&gt;"",OR(EH9="",EXACT(EH9,$EH$8)))</formula>
    </cfRule>
  </conditionalFormatting>
  <conditionalFormatting sqref="EI8">
    <cfRule type="notContainsBlanks" dxfId="10" priority="371">
      <formula>LEN(TRIM(EI8))&gt;0</formula>
    </cfRule>
    <cfRule type="containsBlanks" dxfId="11" priority="372">
      <formula>LEN(TRIM(EI8))=0</formula>
    </cfRule>
  </conditionalFormatting>
  <conditionalFormatting sqref="EI9:EI2508">
    <cfRule type="expression" dxfId="10" priority="373">
      <formula>AND($EI$8&lt;&gt;"",OR(EI9="",EXACT(EI9,$EI$8)))</formula>
    </cfRule>
  </conditionalFormatting>
  <conditionalFormatting sqref="EJ8">
    <cfRule type="notContainsBlanks" dxfId="10" priority="374">
      <formula>LEN(TRIM(EJ8))&gt;0</formula>
    </cfRule>
    <cfRule type="containsBlanks" dxfId="11" priority="375">
      <formula>LEN(TRIM(EJ8))=0</formula>
    </cfRule>
  </conditionalFormatting>
  <conditionalFormatting sqref="EJ9:EJ2508">
    <cfRule type="expression" dxfId="10" priority="376">
      <formula>AND($EJ$8&lt;&gt;"",OR(EJ9="",EXACT(EJ9,$EJ$8)))</formula>
    </cfRule>
  </conditionalFormatting>
  <conditionalFormatting sqref="EK8">
    <cfRule type="notContainsBlanks" dxfId="10" priority="377">
      <formula>LEN(TRIM(EK8))&gt;0</formula>
    </cfRule>
    <cfRule type="containsBlanks" dxfId="11" priority="378">
      <formula>LEN(TRIM(EK8))=0</formula>
    </cfRule>
  </conditionalFormatting>
  <conditionalFormatting sqref="EK9:EK2508">
    <cfRule type="expression" dxfId="10" priority="379">
      <formula>AND($EK$8&lt;&gt;"",OR(EK9="",EXACT(EK9,$EK$8)))</formula>
    </cfRule>
  </conditionalFormatting>
  <conditionalFormatting sqref="EL8">
    <cfRule type="notContainsBlanks" dxfId="10" priority="380">
      <formula>LEN(TRIM(EL8))&gt;0</formula>
    </cfRule>
    <cfRule type="containsBlanks" dxfId="11" priority="381">
      <formula>LEN(TRIM(EL8))=0</formula>
    </cfRule>
  </conditionalFormatting>
  <conditionalFormatting sqref="EL9:EL2508">
    <cfRule type="expression" dxfId="10" priority="382">
      <formula>AND($EL$8&lt;&gt;"",OR(EL9="",EXACT(EL9,$EL$8)))</formula>
    </cfRule>
  </conditionalFormatting>
  <conditionalFormatting sqref="EM8">
    <cfRule type="notContainsBlanks" dxfId="10" priority="383">
      <formula>LEN(TRIM(EM8))&gt;0</formula>
    </cfRule>
    <cfRule type="containsBlanks" dxfId="11" priority="384">
      <formula>LEN(TRIM(EM8))=0</formula>
    </cfRule>
  </conditionalFormatting>
  <conditionalFormatting sqref="EM9:EM2508">
    <cfRule type="expression" dxfId="10" priority="385">
      <formula>AND($EM$8&lt;&gt;"",OR(EM9="",EXACT(EM9,$EM$8)))</formula>
    </cfRule>
  </conditionalFormatting>
  <conditionalFormatting sqref="EN8">
    <cfRule type="notContainsBlanks" dxfId="10" priority="386">
      <formula>LEN(TRIM(EN8))&gt;0</formula>
    </cfRule>
    <cfRule type="containsBlanks" dxfId="11" priority="387">
      <formula>LEN(TRIM(EN8))=0</formula>
    </cfRule>
  </conditionalFormatting>
  <conditionalFormatting sqref="EN9:EN2508">
    <cfRule type="expression" dxfId="10" priority="388">
      <formula>AND($EN$8&lt;&gt;"",OR(EN9="",EXACT(EN9,$EN$8)))</formula>
    </cfRule>
  </conditionalFormatting>
  <conditionalFormatting sqref="EO8">
    <cfRule type="notContainsBlanks" dxfId="10" priority="389">
      <formula>LEN(TRIM(EO8))&gt;0</formula>
    </cfRule>
    <cfRule type="containsBlanks" dxfId="11" priority="390">
      <formula>LEN(TRIM(EO8))=0</formula>
    </cfRule>
  </conditionalFormatting>
  <conditionalFormatting sqref="EO9:EO2508">
    <cfRule type="expression" dxfId="10" priority="391">
      <formula>AND($EO$8&lt;&gt;"",OR(EO9="",EXACT(EO9,$EO$8)))</formula>
    </cfRule>
  </conditionalFormatting>
  <conditionalFormatting sqref="EP8">
    <cfRule type="notContainsBlanks" dxfId="10" priority="392">
      <formula>LEN(TRIM(EP8))&gt;0</formula>
    </cfRule>
    <cfRule type="containsBlanks" dxfId="11" priority="393">
      <formula>LEN(TRIM(EP8))=0</formula>
    </cfRule>
  </conditionalFormatting>
  <conditionalFormatting sqref="EP9:EP2508">
    <cfRule type="expression" dxfId="10" priority="394">
      <formula>AND($EP$8&lt;&gt;"",OR(EP9="",EXACT(EP9,$EP$8)))</formula>
    </cfRule>
  </conditionalFormatting>
  <conditionalFormatting sqref="EQ8">
    <cfRule type="notContainsBlanks" dxfId="10" priority="395">
      <formula>LEN(TRIM(EQ8))&gt;0</formula>
    </cfRule>
    <cfRule type="containsBlanks" dxfId="11" priority="396">
      <formula>LEN(TRIM(EQ8))=0</formula>
    </cfRule>
  </conditionalFormatting>
  <conditionalFormatting sqref="EQ9:EQ2508">
    <cfRule type="expression" dxfId="10" priority="397">
      <formula>AND($EQ$8&lt;&gt;"",OR(EQ9="",EXACT(EQ9,$EQ$8)))</formula>
    </cfRule>
  </conditionalFormatting>
  <conditionalFormatting sqref="ER8">
    <cfRule type="notContainsBlanks" dxfId="10" priority="398">
      <formula>LEN(TRIM(ER8))&gt;0</formula>
    </cfRule>
    <cfRule type="containsBlanks" dxfId="11" priority="399">
      <formula>LEN(TRIM(ER8))=0</formula>
    </cfRule>
  </conditionalFormatting>
  <conditionalFormatting sqref="ER9:ER2508">
    <cfRule type="expression" dxfId="10" priority="400">
      <formula>AND($ER$8&lt;&gt;"",OR(ER9="",EXACT(ER9,$ER$8)))</formula>
    </cfRule>
  </conditionalFormatting>
  <conditionalFormatting sqref="ES8">
    <cfRule type="notContainsBlanks" dxfId="10" priority="401">
      <formula>LEN(TRIM(ES8))&gt;0</formula>
    </cfRule>
    <cfRule type="containsBlanks" dxfId="11" priority="402">
      <formula>LEN(TRIM(ES8))=0</formula>
    </cfRule>
  </conditionalFormatting>
  <conditionalFormatting sqref="ES9:ES2508">
    <cfRule type="expression" dxfId="10" priority="403">
      <formula>AND($ES$8&lt;&gt;"",OR(ES9="",EXACT(ES9,$ES$8)))</formula>
    </cfRule>
  </conditionalFormatting>
  <conditionalFormatting sqref="ET8">
    <cfRule type="notContainsBlanks" dxfId="10" priority="404">
      <formula>LEN(TRIM(ET8))&gt;0</formula>
    </cfRule>
    <cfRule type="containsBlanks" dxfId="11" priority="405">
      <formula>LEN(TRIM(ET8))=0</formula>
    </cfRule>
  </conditionalFormatting>
  <conditionalFormatting sqref="ET9:ET2508">
    <cfRule type="expression" dxfId="10" priority="406">
      <formula>AND($ET$8&lt;&gt;"",OR(ET9="",EXACT(ET9,$ET$8)))</formula>
    </cfRule>
  </conditionalFormatting>
  <conditionalFormatting sqref="EU8">
    <cfRule type="notContainsBlanks" dxfId="10" priority="407">
      <formula>LEN(TRIM(EU8))&gt;0</formula>
    </cfRule>
    <cfRule type="containsBlanks" dxfId="11" priority="408">
      <formula>LEN(TRIM(EU8))=0</formula>
    </cfRule>
  </conditionalFormatting>
  <conditionalFormatting sqref="EU9:EU2508">
    <cfRule type="expression" dxfId="10" priority="409">
      <formula>AND($EU$8&lt;&gt;"",OR(EU9="",EXACT(EU9,$EU$8)))</formula>
    </cfRule>
  </conditionalFormatting>
  <conditionalFormatting sqref="EV8">
    <cfRule type="notContainsBlanks" dxfId="10" priority="410">
      <formula>LEN(TRIM(EV8))&gt;0</formula>
    </cfRule>
    <cfRule type="containsBlanks" dxfId="11" priority="411">
      <formula>LEN(TRIM(EV8))=0</formula>
    </cfRule>
  </conditionalFormatting>
  <conditionalFormatting sqref="EV9:EV2508">
    <cfRule type="expression" dxfId="10" priority="412">
      <formula>AND($EV$8&lt;&gt;"",OR(EV9="",EXACT(EV9,$EV$8)))</formula>
    </cfRule>
  </conditionalFormatting>
  <conditionalFormatting sqref="EW8">
    <cfRule type="notContainsBlanks" dxfId="10" priority="413">
      <formula>LEN(TRIM(EW8))&gt;0</formula>
    </cfRule>
    <cfRule type="containsBlanks" dxfId="11" priority="414">
      <formula>LEN(TRIM(EW8))=0</formula>
    </cfRule>
  </conditionalFormatting>
  <conditionalFormatting sqref="EW9:EW2508">
    <cfRule type="expression" dxfId="10" priority="415">
      <formula>AND($EW$8&lt;&gt;"",OR(EW9="",EXACT(EW9,$EW$8)))</formula>
    </cfRule>
  </conditionalFormatting>
  <conditionalFormatting sqref="EX8">
    <cfRule type="notContainsBlanks" dxfId="10" priority="416">
      <formula>LEN(TRIM(EX8))&gt;0</formula>
    </cfRule>
    <cfRule type="containsBlanks" dxfId="11" priority="417">
      <formula>LEN(TRIM(EX8))=0</formula>
    </cfRule>
  </conditionalFormatting>
  <conditionalFormatting sqref="EX9:EX2508">
    <cfRule type="expression" dxfId="10" priority="418">
      <formula>AND($EX$8&lt;&gt;"",OR(EX9="",EXACT(EX9,$EX$8)))</formula>
    </cfRule>
  </conditionalFormatting>
  <conditionalFormatting sqref="EY8">
    <cfRule type="notContainsBlanks" dxfId="10" priority="419">
      <formula>LEN(TRIM(EY8))&gt;0</formula>
    </cfRule>
    <cfRule type="containsBlanks" dxfId="11" priority="420">
      <formula>LEN(TRIM(EY8))=0</formula>
    </cfRule>
  </conditionalFormatting>
  <conditionalFormatting sqref="EY9:EY2508">
    <cfRule type="expression" dxfId="10" priority="421">
      <formula>AND($EY$8&lt;&gt;"",OR(EY9="",EXACT(EY9,$EY$8)))</formula>
    </cfRule>
  </conditionalFormatting>
  <conditionalFormatting sqref="EZ8">
    <cfRule type="notContainsBlanks" dxfId="10" priority="422">
      <formula>LEN(TRIM(EZ8))&gt;0</formula>
    </cfRule>
    <cfRule type="containsBlanks" dxfId="11" priority="423">
      <formula>LEN(TRIM(EZ8))=0</formula>
    </cfRule>
  </conditionalFormatting>
  <conditionalFormatting sqref="EZ9:EZ2508">
    <cfRule type="expression" dxfId="10" priority="424">
      <formula>AND($EZ$8&lt;&gt;"",OR(EZ9="",EXACT(EZ9,$EZ$8)))</formula>
    </cfRule>
  </conditionalFormatting>
  <conditionalFormatting sqref="F8">
    <cfRule type="notContainsBlanks" dxfId="10" priority="8">
      <formula>LEN(TRIM(F8))&gt;0</formula>
    </cfRule>
    <cfRule type="containsBlanks" dxfId="11" priority="9">
      <formula>LEN(TRIM(F8))=0</formula>
    </cfRule>
  </conditionalFormatting>
  <conditionalFormatting sqref="F9:F2508">
    <cfRule type="expression" dxfId="10" priority="10">
      <formula>AND($F$8&lt;&gt;"",OR(F9="",EXACT(F9,$F$8)))</formula>
    </cfRule>
  </conditionalFormatting>
  <conditionalFormatting sqref="FA8">
    <cfRule type="notContainsBlanks" dxfId="10" priority="425">
      <formula>LEN(TRIM(FA8))&gt;0</formula>
    </cfRule>
    <cfRule type="containsBlanks" dxfId="11" priority="426">
      <formula>LEN(TRIM(FA8))=0</formula>
    </cfRule>
  </conditionalFormatting>
  <conditionalFormatting sqref="FA9:FA2508">
    <cfRule type="expression" dxfId="10" priority="427">
      <formula>AND($FA$8&lt;&gt;"",OR(FA9="",EXACT(FA9,$FA$8)))</formula>
    </cfRule>
  </conditionalFormatting>
  <conditionalFormatting sqref="FB8">
    <cfRule type="notContainsBlanks" dxfId="10" priority="428">
      <formula>LEN(TRIM(FB8))&gt;0</formula>
    </cfRule>
    <cfRule type="containsBlanks" dxfId="11" priority="429">
      <formula>LEN(TRIM(FB8))=0</formula>
    </cfRule>
  </conditionalFormatting>
  <conditionalFormatting sqref="FB9:FB2508">
    <cfRule type="expression" dxfId="10" priority="430">
      <formula>AND($FB$8&lt;&gt;"",OR(FB9="",EXACT(FB9,$FB$8)))</formula>
    </cfRule>
  </conditionalFormatting>
  <conditionalFormatting sqref="FC8">
    <cfRule type="notContainsBlanks" dxfId="10" priority="431">
      <formula>LEN(TRIM(FC8))&gt;0</formula>
    </cfRule>
    <cfRule type="containsBlanks" dxfId="11" priority="432">
      <formula>LEN(TRIM(FC8))=0</formula>
    </cfRule>
  </conditionalFormatting>
  <conditionalFormatting sqref="FC9:FC2508">
    <cfRule type="expression" dxfId="10" priority="433">
      <formula>AND($FC$8&lt;&gt;"",OR(FC9="",EXACT(FC9,$FC$8)))</formula>
    </cfRule>
  </conditionalFormatting>
  <conditionalFormatting sqref="FD8">
    <cfRule type="notContainsBlanks" dxfId="10" priority="434">
      <formula>LEN(TRIM(FD8))&gt;0</formula>
    </cfRule>
    <cfRule type="containsBlanks" dxfId="11" priority="435">
      <formula>LEN(TRIM(FD8))=0</formula>
    </cfRule>
  </conditionalFormatting>
  <conditionalFormatting sqref="FD9:FD2508">
    <cfRule type="expression" dxfId="10" priority="436">
      <formula>AND($FD$8&lt;&gt;"",OR(FD9="",EXACT(FD9,$FD$8)))</formula>
    </cfRule>
  </conditionalFormatting>
  <conditionalFormatting sqref="FE8">
    <cfRule type="notContainsBlanks" dxfId="10" priority="437">
      <formula>LEN(TRIM(FE8))&gt;0</formula>
    </cfRule>
    <cfRule type="containsBlanks" dxfId="11" priority="438">
      <formula>LEN(TRIM(FE8))=0</formula>
    </cfRule>
  </conditionalFormatting>
  <conditionalFormatting sqref="FE9:FE2508">
    <cfRule type="expression" dxfId="10" priority="439">
      <formula>AND($FE$8&lt;&gt;"",OR(FE9="",EXACT(FE9,$FE$8)))</formula>
    </cfRule>
  </conditionalFormatting>
  <conditionalFormatting sqref="FF8">
    <cfRule type="notContainsBlanks" dxfId="10" priority="440">
      <formula>LEN(TRIM(FF8))&gt;0</formula>
    </cfRule>
    <cfRule type="containsBlanks" dxfId="11" priority="441">
      <formula>LEN(TRIM(FF8))=0</formula>
    </cfRule>
  </conditionalFormatting>
  <conditionalFormatting sqref="FF9:FF2508">
    <cfRule type="expression" dxfId="10" priority="442">
      <formula>AND($FF$8&lt;&gt;"",OR(FF9="",EXACT(FF9,$FF$8)))</formula>
    </cfRule>
  </conditionalFormatting>
  <conditionalFormatting sqref="FG8">
    <cfRule type="notContainsBlanks" dxfId="10" priority="443">
      <formula>LEN(TRIM(FG8))&gt;0</formula>
    </cfRule>
    <cfRule type="containsBlanks" dxfId="11" priority="444">
      <formula>LEN(TRIM(FG8))=0</formula>
    </cfRule>
  </conditionalFormatting>
  <conditionalFormatting sqref="FG9:FG2508">
    <cfRule type="expression" dxfId="10" priority="445">
      <formula>AND($FG$8&lt;&gt;"",OR(FG9="",EXACT(FG9,$FG$8)))</formula>
    </cfRule>
  </conditionalFormatting>
  <conditionalFormatting sqref="FH8">
    <cfRule type="notContainsBlanks" dxfId="10" priority="446">
      <formula>LEN(TRIM(FH8))&gt;0</formula>
    </cfRule>
    <cfRule type="containsBlanks" dxfId="11" priority="447">
      <formula>LEN(TRIM(FH8))=0</formula>
    </cfRule>
  </conditionalFormatting>
  <conditionalFormatting sqref="FH9:FH2508">
    <cfRule type="expression" dxfId="10" priority="448">
      <formula>AND($FH$8&lt;&gt;"",OR(FH9="",EXACT(FH9,$FH$8)))</formula>
    </cfRule>
  </conditionalFormatting>
  <conditionalFormatting sqref="FI8">
    <cfRule type="notContainsBlanks" dxfId="10" priority="449">
      <formula>LEN(TRIM(FI8))&gt;0</formula>
    </cfRule>
    <cfRule type="containsBlanks" dxfId="11" priority="450">
      <formula>LEN(TRIM(FI8))=0</formula>
    </cfRule>
  </conditionalFormatting>
  <conditionalFormatting sqref="FI9:FI2508">
    <cfRule type="expression" dxfId="10" priority="451">
      <formula>AND($FI$8&lt;&gt;"",OR(FI9="",EXACT(FI9,$FI$8)))</formula>
    </cfRule>
  </conditionalFormatting>
  <conditionalFormatting sqref="FJ8">
    <cfRule type="notContainsBlanks" dxfId="10" priority="452">
      <formula>LEN(TRIM(FJ8))&gt;0</formula>
    </cfRule>
    <cfRule type="containsBlanks" dxfId="11" priority="453">
      <formula>LEN(TRIM(FJ8))=0</formula>
    </cfRule>
  </conditionalFormatting>
  <conditionalFormatting sqref="FJ9:FJ2508">
    <cfRule type="expression" dxfId="10" priority="454">
      <formula>AND($FJ$8&lt;&gt;"",OR(FJ9="",EXACT(FJ9,$FJ$8)))</formula>
    </cfRule>
  </conditionalFormatting>
  <conditionalFormatting sqref="FK8">
    <cfRule type="notContainsBlanks" dxfId="10" priority="455">
      <formula>LEN(TRIM(FK8))&gt;0</formula>
    </cfRule>
    <cfRule type="containsBlanks" dxfId="11" priority="456">
      <formula>LEN(TRIM(FK8))=0</formula>
    </cfRule>
  </conditionalFormatting>
  <conditionalFormatting sqref="FK9:FK2508">
    <cfRule type="expression" dxfId="10" priority="457">
      <formula>AND($FK$8&lt;&gt;"",OR(FK9="",EXACT(FK9,$FK$8)))</formula>
    </cfRule>
  </conditionalFormatting>
  <conditionalFormatting sqref="FL8">
    <cfRule type="notContainsBlanks" dxfId="10" priority="458">
      <formula>LEN(TRIM(FL8))&gt;0</formula>
    </cfRule>
    <cfRule type="containsBlanks" dxfId="11" priority="459">
      <formula>LEN(TRIM(FL8))=0</formula>
    </cfRule>
  </conditionalFormatting>
  <conditionalFormatting sqref="FL9:FL2508">
    <cfRule type="expression" dxfId="10" priority="460">
      <formula>AND($FL$8&lt;&gt;"",OR(FL9="",EXACT(FL9,$FL$8)))</formula>
    </cfRule>
  </conditionalFormatting>
  <conditionalFormatting sqref="FM8">
    <cfRule type="notContainsBlanks" dxfId="10" priority="461">
      <formula>LEN(TRIM(FM8))&gt;0</formula>
    </cfRule>
    <cfRule type="containsBlanks" dxfId="11" priority="462">
      <formula>LEN(TRIM(FM8))=0</formula>
    </cfRule>
  </conditionalFormatting>
  <conditionalFormatting sqref="FM9:FM2508">
    <cfRule type="expression" dxfId="10" priority="463">
      <formula>AND($FM$8&lt;&gt;"",OR(FM9="",EXACT(FM9,$FM$8)))</formula>
    </cfRule>
  </conditionalFormatting>
  <conditionalFormatting sqref="FN8">
    <cfRule type="notContainsBlanks" dxfId="10" priority="464">
      <formula>LEN(TRIM(FN8))&gt;0</formula>
    </cfRule>
    <cfRule type="containsBlanks" dxfId="11" priority="465">
      <formula>LEN(TRIM(FN8))=0</formula>
    </cfRule>
  </conditionalFormatting>
  <conditionalFormatting sqref="FN9:FN2508">
    <cfRule type="expression" dxfId="10" priority="466">
      <formula>AND($FN$8&lt;&gt;"",OR(FN9="",EXACT(FN9,$FN$8)))</formula>
    </cfRule>
  </conditionalFormatting>
  <conditionalFormatting sqref="FO8">
    <cfRule type="notContainsBlanks" dxfId="10" priority="467">
      <formula>LEN(TRIM(FO8))&gt;0</formula>
    </cfRule>
    <cfRule type="containsBlanks" dxfId="11" priority="468">
      <formula>LEN(TRIM(FO8))=0</formula>
    </cfRule>
  </conditionalFormatting>
  <conditionalFormatting sqref="FO9:FO2508">
    <cfRule type="expression" dxfId="10" priority="469">
      <formula>AND($FO$8&lt;&gt;"",OR(FO9="",EXACT(FO9,$FO$8)))</formula>
    </cfRule>
  </conditionalFormatting>
  <conditionalFormatting sqref="FP8">
    <cfRule type="notContainsBlanks" dxfId="10" priority="470">
      <formula>LEN(TRIM(FP8))&gt;0</formula>
    </cfRule>
    <cfRule type="containsBlanks" dxfId="11" priority="471">
      <formula>LEN(TRIM(FP8))=0</formula>
    </cfRule>
  </conditionalFormatting>
  <conditionalFormatting sqref="FP9:FP2508">
    <cfRule type="expression" dxfId="10" priority="472">
      <formula>AND($FP$8&lt;&gt;"",OR(FP9="",EXACT(FP9,$FP$8)))</formula>
    </cfRule>
  </conditionalFormatting>
  <conditionalFormatting sqref="FQ8">
    <cfRule type="notContainsBlanks" dxfId="10" priority="473">
      <formula>LEN(TRIM(FQ8))&gt;0</formula>
    </cfRule>
    <cfRule type="containsBlanks" dxfId="11" priority="474">
      <formula>LEN(TRIM(FQ8))=0</formula>
    </cfRule>
  </conditionalFormatting>
  <conditionalFormatting sqref="FQ9:FQ2508">
    <cfRule type="expression" dxfId="10" priority="475">
      <formula>AND($FQ$8&lt;&gt;"",OR(FQ9="",EXACT(FQ9,$FQ$8)))</formula>
    </cfRule>
  </conditionalFormatting>
  <conditionalFormatting sqref="FR8">
    <cfRule type="notContainsBlanks" dxfId="10" priority="476">
      <formula>LEN(TRIM(FR8))&gt;0</formula>
    </cfRule>
    <cfRule type="containsBlanks" dxfId="11" priority="477">
      <formula>LEN(TRIM(FR8))=0</formula>
    </cfRule>
  </conditionalFormatting>
  <conditionalFormatting sqref="FR9:FR2508">
    <cfRule type="expression" dxfId="10" priority="478">
      <formula>AND($FR$8&lt;&gt;"",OR(FR9="",EXACT(FR9,$FR$8)))</formula>
    </cfRule>
  </conditionalFormatting>
  <conditionalFormatting sqref="FS8">
    <cfRule type="notContainsBlanks" dxfId="10" priority="479">
      <formula>LEN(TRIM(FS8))&gt;0</formula>
    </cfRule>
    <cfRule type="containsBlanks" dxfId="11" priority="480">
      <formula>LEN(TRIM(FS8))=0</formula>
    </cfRule>
  </conditionalFormatting>
  <conditionalFormatting sqref="FS9:FS2508">
    <cfRule type="expression" dxfId="10" priority="481">
      <formula>AND($FS$8&lt;&gt;"",OR(FS9="",EXACT(FS9,$FS$8)))</formula>
    </cfRule>
  </conditionalFormatting>
  <conditionalFormatting sqref="FT8">
    <cfRule type="notContainsBlanks" dxfId="10" priority="482">
      <formula>LEN(TRIM(FT8))&gt;0</formula>
    </cfRule>
    <cfRule type="containsBlanks" dxfId="11" priority="483">
      <formula>LEN(TRIM(FT8))=0</formula>
    </cfRule>
  </conditionalFormatting>
  <conditionalFormatting sqref="FT9:FT2508">
    <cfRule type="expression" dxfId="10" priority="484">
      <formula>AND($FT$8&lt;&gt;"",OR(FT9="",EXACT(FT9,$FT$8)))</formula>
    </cfRule>
  </conditionalFormatting>
  <conditionalFormatting sqref="FU8">
    <cfRule type="notContainsBlanks" dxfId="10" priority="485">
      <formula>LEN(TRIM(FU8))&gt;0</formula>
    </cfRule>
    <cfRule type="containsBlanks" dxfId="11" priority="486">
      <formula>LEN(TRIM(FU8))=0</formula>
    </cfRule>
  </conditionalFormatting>
  <conditionalFormatting sqref="FU9:FU2508">
    <cfRule type="expression" dxfId="10" priority="487">
      <formula>AND($FU$8&lt;&gt;"",OR(FU9="",EXACT(FU9,$FU$8)))</formula>
    </cfRule>
  </conditionalFormatting>
  <conditionalFormatting sqref="FV8">
    <cfRule type="notContainsBlanks" dxfId="10" priority="488">
      <formula>LEN(TRIM(FV8))&gt;0</formula>
    </cfRule>
    <cfRule type="containsBlanks" dxfId="11" priority="489">
      <formula>LEN(TRIM(FV8))=0</formula>
    </cfRule>
  </conditionalFormatting>
  <conditionalFormatting sqref="FV9:FV2508">
    <cfRule type="expression" dxfId="10" priority="490">
      <formula>AND($FV$8&lt;&gt;"",OR(FV9="",EXACT(FV9,$FV$8)))</formula>
    </cfRule>
  </conditionalFormatting>
  <conditionalFormatting sqref="FW8">
    <cfRule type="notContainsBlanks" dxfId="10" priority="491">
      <formula>LEN(TRIM(FW8))&gt;0</formula>
    </cfRule>
    <cfRule type="containsBlanks" dxfId="11" priority="492">
      <formula>LEN(TRIM(FW8))=0</formula>
    </cfRule>
  </conditionalFormatting>
  <conditionalFormatting sqref="FW9:FW2508">
    <cfRule type="expression" dxfId="10" priority="493">
      <formula>AND($FW$8&lt;&gt;"",OR(FW9="",EXACT(FW9,$FW$8)))</formula>
    </cfRule>
  </conditionalFormatting>
  <conditionalFormatting sqref="FX8">
    <cfRule type="notContainsBlanks" dxfId="10" priority="494">
      <formula>LEN(TRIM(FX8))&gt;0</formula>
    </cfRule>
    <cfRule type="containsBlanks" dxfId="11" priority="495">
      <formula>LEN(TRIM(FX8))=0</formula>
    </cfRule>
  </conditionalFormatting>
  <conditionalFormatting sqref="FX9:FX2508">
    <cfRule type="expression" dxfId="10" priority="496">
      <formula>AND($FX$8&lt;&gt;"",OR(FX9="",EXACT(FX9,$FX$8)))</formula>
    </cfRule>
  </conditionalFormatting>
  <conditionalFormatting sqref="FY8">
    <cfRule type="notContainsBlanks" dxfId="10" priority="497">
      <formula>LEN(TRIM(FY8))&gt;0</formula>
    </cfRule>
    <cfRule type="containsBlanks" dxfId="11" priority="498">
      <formula>LEN(TRIM(FY8))=0</formula>
    </cfRule>
  </conditionalFormatting>
  <conditionalFormatting sqref="FY9:FY2508">
    <cfRule type="expression" dxfId="10" priority="499">
      <formula>AND($FY$8&lt;&gt;"",OR(FY9="",EXACT(FY9,$FY$8)))</formula>
    </cfRule>
  </conditionalFormatting>
  <conditionalFormatting sqref="FZ8">
    <cfRule type="notContainsBlanks" dxfId="10" priority="500">
      <formula>LEN(TRIM(FZ8))&gt;0</formula>
    </cfRule>
    <cfRule type="containsBlanks" dxfId="11" priority="501">
      <formula>LEN(TRIM(FZ8))=0</formula>
    </cfRule>
  </conditionalFormatting>
  <conditionalFormatting sqref="FZ9:FZ2508">
    <cfRule type="expression" dxfId="10" priority="502">
      <formula>AND($FZ$8&lt;&gt;"",OR(FZ9="",EXACT(FZ9,$FZ$8)))</formula>
    </cfRule>
  </conditionalFormatting>
  <conditionalFormatting sqref="G8">
    <cfRule type="notContainsBlanks" dxfId="10" priority="11">
      <formula>LEN(TRIM(G8))&gt;0</formula>
    </cfRule>
    <cfRule type="containsBlanks" dxfId="11" priority="12">
      <formula>LEN(TRIM(G8))=0</formula>
    </cfRule>
  </conditionalFormatting>
  <conditionalFormatting sqref="G9:G2508">
    <cfRule type="expression" dxfId="10" priority="13">
      <formula>AND($G$8&lt;&gt;"",OR(G9="",EXACT(G9,$G$8)))</formula>
    </cfRule>
  </conditionalFormatting>
  <conditionalFormatting sqref="GA8">
    <cfRule type="notContainsBlanks" dxfId="10" priority="503">
      <formula>LEN(TRIM(GA8))&gt;0</formula>
    </cfRule>
    <cfRule type="containsBlanks" dxfId="11" priority="504">
      <formula>LEN(TRIM(GA8))=0</formula>
    </cfRule>
  </conditionalFormatting>
  <conditionalFormatting sqref="GA9:GA2508">
    <cfRule type="expression" dxfId="10" priority="505">
      <formula>AND($GA$8&lt;&gt;"",OR(GA9="",EXACT(GA9,$GA$8)))</formula>
    </cfRule>
  </conditionalFormatting>
  <conditionalFormatting sqref="GB8">
    <cfRule type="notContainsBlanks" dxfId="10" priority="506">
      <formula>LEN(TRIM(GB8))&gt;0</formula>
    </cfRule>
    <cfRule type="containsBlanks" dxfId="11" priority="507">
      <formula>LEN(TRIM(GB8))=0</formula>
    </cfRule>
  </conditionalFormatting>
  <conditionalFormatting sqref="GB9:GB2508">
    <cfRule type="expression" dxfId="10" priority="508">
      <formula>AND($GB$8&lt;&gt;"",OR(GB9="",EXACT(GB9,$GB$8)))</formula>
    </cfRule>
  </conditionalFormatting>
  <conditionalFormatting sqref="GC8">
    <cfRule type="notContainsBlanks" dxfId="10" priority="509">
      <formula>LEN(TRIM(GC8))&gt;0</formula>
    </cfRule>
    <cfRule type="containsBlanks" dxfId="11" priority="510">
      <formula>LEN(TRIM(GC8))=0</formula>
    </cfRule>
  </conditionalFormatting>
  <conditionalFormatting sqref="GC9:GC2508">
    <cfRule type="expression" dxfId="10" priority="511">
      <formula>AND($GC$8&lt;&gt;"",OR(GC9="",EXACT(GC9,$GC$8)))</formula>
    </cfRule>
  </conditionalFormatting>
  <conditionalFormatting sqref="GD8">
    <cfRule type="notContainsBlanks" dxfId="10" priority="512">
      <formula>LEN(TRIM(GD8))&gt;0</formula>
    </cfRule>
    <cfRule type="containsBlanks" dxfId="11" priority="513">
      <formula>LEN(TRIM(GD8))=0</formula>
    </cfRule>
  </conditionalFormatting>
  <conditionalFormatting sqref="GD9:GD2508">
    <cfRule type="expression" dxfId="10" priority="514">
      <formula>AND($GD$8&lt;&gt;"",OR(GD9="",EXACT(GD9,$GD$8)))</formula>
    </cfRule>
  </conditionalFormatting>
  <conditionalFormatting sqref="GE8">
    <cfRule type="notContainsBlanks" dxfId="10" priority="515">
      <formula>LEN(TRIM(GE8))&gt;0</formula>
    </cfRule>
    <cfRule type="containsBlanks" dxfId="11" priority="516">
      <formula>LEN(TRIM(GE8))=0</formula>
    </cfRule>
  </conditionalFormatting>
  <conditionalFormatting sqref="GE9:GE2508">
    <cfRule type="expression" dxfId="10" priority="517">
      <formula>AND($GE$8&lt;&gt;"",OR(GE9="",EXACT(GE9,$GE$8)))</formula>
    </cfRule>
  </conditionalFormatting>
  <conditionalFormatting sqref="GF8">
    <cfRule type="notContainsBlanks" dxfId="10" priority="518">
      <formula>LEN(TRIM(GF8))&gt;0</formula>
    </cfRule>
    <cfRule type="containsBlanks" dxfId="11" priority="519">
      <formula>LEN(TRIM(GF8))=0</formula>
    </cfRule>
  </conditionalFormatting>
  <conditionalFormatting sqref="GF9:GF2508">
    <cfRule type="expression" dxfId="10" priority="520">
      <formula>AND($GF$8&lt;&gt;"",OR(GF9="",EXACT(GF9,$GF$8)))</formula>
    </cfRule>
  </conditionalFormatting>
  <conditionalFormatting sqref="GG8">
    <cfRule type="notContainsBlanks" dxfId="10" priority="521">
      <formula>LEN(TRIM(GG8))&gt;0</formula>
    </cfRule>
    <cfRule type="containsBlanks" dxfId="11" priority="522">
      <formula>LEN(TRIM(GG8))=0</formula>
    </cfRule>
  </conditionalFormatting>
  <conditionalFormatting sqref="GG9:GG2508">
    <cfRule type="expression" dxfId="10" priority="523">
      <formula>AND($GG$8&lt;&gt;"",OR(GG9="",EXACT(GG9,$GG$8)))</formula>
    </cfRule>
  </conditionalFormatting>
  <conditionalFormatting sqref="GH8">
    <cfRule type="notContainsBlanks" dxfId="10" priority="524">
      <formula>LEN(TRIM(GH8))&gt;0</formula>
    </cfRule>
    <cfRule type="containsBlanks" dxfId="11" priority="525">
      <formula>LEN(TRIM(GH8))=0</formula>
    </cfRule>
  </conditionalFormatting>
  <conditionalFormatting sqref="GH9:GH2508">
    <cfRule type="expression" dxfId="10" priority="526">
      <formula>AND($GH$8&lt;&gt;"",OR(GH9="",EXACT(GH9,$GH$8)))</formula>
    </cfRule>
  </conditionalFormatting>
  <conditionalFormatting sqref="GI8">
    <cfRule type="notContainsBlanks" dxfId="10" priority="527">
      <formula>LEN(TRIM(GI8))&gt;0</formula>
    </cfRule>
    <cfRule type="containsBlanks" dxfId="11" priority="528">
      <formula>LEN(TRIM(GI8))=0</formula>
    </cfRule>
  </conditionalFormatting>
  <conditionalFormatting sqref="GI9:GI2508">
    <cfRule type="expression" dxfId="10" priority="529">
      <formula>AND($GI$8&lt;&gt;"",OR(GI9="",EXACT(GI9,$GI$8)))</formula>
    </cfRule>
  </conditionalFormatting>
  <conditionalFormatting sqref="GJ8">
    <cfRule type="notContainsBlanks" dxfId="10" priority="530">
      <formula>LEN(TRIM(GJ8))&gt;0</formula>
    </cfRule>
    <cfRule type="containsBlanks" dxfId="11" priority="531">
      <formula>LEN(TRIM(GJ8))=0</formula>
    </cfRule>
  </conditionalFormatting>
  <conditionalFormatting sqref="GJ9:GJ2508">
    <cfRule type="expression" dxfId="10" priority="532">
      <formula>AND($GJ$8&lt;&gt;"",OR(GJ9="",EXACT(GJ9,$GJ$8)))</formula>
    </cfRule>
  </conditionalFormatting>
  <conditionalFormatting sqref="GK8">
    <cfRule type="notContainsBlanks" dxfId="10" priority="533">
      <formula>LEN(TRIM(GK8))&gt;0</formula>
    </cfRule>
    <cfRule type="containsBlanks" dxfId="11" priority="534">
      <formula>LEN(TRIM(GK8))=0</formula>
    </cfRule>
  </conditionalFormatting>
  <conditionalFormatting sqref="GK9:GK2508">
    <cfRule type="expression" dxfId="10" priority="535">
      <formula>AND($GK$8&lt;&gt;"",OR(GK9="",EXACT(GK9,$GK$8)))</formula>
    </cfRule>
  </conditionalFormatting>
  <conditionalFormatting sqref="GL8">
    <cfRule type="notContainsBlanks" dxfId="10" priority="536">
      <formula>LEN(TRIM(GL8))&gt;0</formula>
    </cfRule>
    <cfRule type="containsBlanks" dxfId="11" priority="537">
      <formula>LEN(TRIM(GL8))=0</formula>
    </cfRule>
  </conditionalFormatting>
  <conditionalFormatting sqref="GL9:GL2508">
    <cfRule type="expression" dxfId="10" priority="538">
      <formula>AND($GL$8&lt;&gt;"",OR(GL9="",EXACT(GL9,$GL$8)))</formula>
    </cfRule>
  </conditionalFormatting>
  <conditionalFormatting sqref="GM8">
    <cfRule type="notContainsBlanks" dxfId="10" priority="539">
      <formula>LEN(TRIM(GM8))&gt;0</formula>
    </cfRule>
    <cfRule type="containsBlanks" dxfId="11" priority="540">
      <formula>LEN(TRIM(GM8))=0</formula>
    </cfRule>
  </conditionalFormatting>
  <conditionalFormatting sqref="GM9:GM2508">
    <cfRule type="expression" dxfId="10" priority="541">
      <formula>AND($GM$8&lt;&gt;"",OR(GM9="",EXACT(GM9,$GM$8)))</formula>
    </cfRule>
  </conditionalFormatting>
  <conditionalFormatting sqref="GN8">
    <cfRule type="notContainsBlanks" dxfId="10" priority="542">
      <formula>LEN(TRIM(GN8))&gt;0</formula>
    </cfRule>
    <cfRule type="containsBlanks" dxfId="11" priority="543">
      <formula>LEN(TRIM(GN8))=0</formula>
    </cfRule>
  </conditionalFormatting>
  <conditionalFormatting sqref="GN9:GN2508">
    <cfRule type="expression" dxfId="10" priority="544">
      <formula>AND($GN$8&lt;&gt;"",OR(GN9="",EXACT(GN9,$GN$8)))</formula>
    </cfRule>
  </conditionalFormatting>
  <conditionalFormatting sqref="GO8">
    <cfRule type="notContainsBlanks" dxfId="10" priority="545">
      <formula>LEN(TRIM(GO8))&gt;0</formula>
    </cfRule>
    <cfRule type="containsBlanks" dxfId="11" priority="546">
      <formula>LEN(TRIM(GO8))=0</formula>
    </cfRule>
  </conditionalFormatting>
  <conditionalFormatting sqref="GO9:GO2508">
    <cfRule type="expression" dxfId="10" priority="547">
      <formula>AND($GO$8&lt;&gt;"",OR(GO9="",EXACT(GO9,$GO$8)))</formula>
    </cfRule>
  </conditionalFormatting>
  <conditionalFormatting sqref="GP8">
    <cfRule type="notContainsBlanks" dxfId="10" priority="548">
      <formula>LEN(TRIM(GP8))&gt;0</formula>
    </cfRule>
    <cfRule type="containsBlanks" dxfId="11" priority="549">
      <formula>LEN(TRIM(GP8))=0</formula>
    </cfRule>
  </conditionalFormatting>
  <conditionalFormatting sqref="GP9:GP2508">
    <cfRule type="expression" dxfId="10" priority="550">
      <formula>AND($GP$8&lt;&gt;"",OR(GP9="",EXACT(GP9,$GP$8)))</formula>
    </cfRule>
  </conditionalFormatting>
  <conditionalFormatting sqref="GQ8">
    <cfRule type="notContainsBlanks" dxfId="10" priority="551">
      <formula>LEN(TRIM(GQ8))&gt;0</formula>
    </cfRule>
    <cfRule type="containsBlanks" dxfId="11" priority="552">
      <formula>LEN(TRIM(GQ8))=0</formula>
    </cfRule>
  </conditionalFormatting>
  <conditionalFormatting sqref="GQ9:GQ2508">
    <cfRule type="expression" dxfId="10" priority="553">
      <formula>AND($GQ$8&lt;&gt;"",OR(GQ9="",EXACT(GQ9,$GQ$8)))</formula>
    </cfRule>
  </conditionalFormatting>
  <conditionalFormatting sqref="GR8">
    <cfRule type="notContainsBlanks" dxfId="10" priority="554">
      <formula>LEN(TRIM(GR8))&gt;0</formula>
    </cfRule>
    <cfRule type="containsBlanks" dxfId="11" priority="555">
      <formula>LEN(TRIM(GR8))=0</formula>
    </cfRule>
  </conditionalFormatting>
  <conditionalFormatting sqref="GR9:GR2508">
    <cfRule type="expression" dxfId="10" priority="556">
      <formula>AND($GR$8&lt;&gt;"",OR(GR9="",EXACT(GR9,$GR$8)))</formula>
    </cfRule>
  </conditionalFormatting>
  <conditionalFormatting sqref="GS8">
    <cfRule type="notContainsBlanks" dxfId="10" priority="557">
      <formula>LEN(TRIM(GS8))&gt;0</formula>
    </cfRule>
    <cfRule type="containsBlanks" dxfId="11" priority="558">
      <formula>LEN(TRIM(GS8))=0</formula>
    </cfRule>
  </conditionalFormatting>
  <conditionalFormatting sqref="GS9:GS2508">
    <cfRule type="expression" dxfId="10" priority="559">
      <formula>AND($GS$8&lt;&gt;"",OR(GS9="",EXACT(GS9,$GS$8)))</formula>
    </cfRule>
  </conditionalFormatting>
  <conditionalFormatting sqref="GT8">
    <cfRule type="notContainsBlanks" dxfId="10" priority="560">
      <formula>LEN(TRIM(GT8))&gt;0</formula>
    </cfRule>
    <cfRule type="containsBlanks" dxfId="11" priority="561">
      <formula>LEN(TRIM(GT8))=0</formula>
    </cfRule>
  </conditionalFormatting>
  <conditionalFormatting sqref="GT9:GT2508">
    <cfRule type="expression" dxfId="10" priority="562">
      <formula>AND($GT$8&lt;&gt;"",OR(GT9="",EXACT(GT9,$GT$8)))</formula>
    </cfRule>
  </conditionalFormatting>
  <conditionalFormatting sqref="GU8">
    <cfRule type="notContainsBlanks" dxfId="10" priority="563">
      <formula>LEN(TRIM(GU8))&gt;0</formula>
    </cfRule>
    <cfRule type="containsBlanks" dxfId="11" priority="564">
      <formula>LEN(TRIM(GU8))=0</formula>
    </cfRule>
  </conditionalFormatting>
  <conditionalFormatting sqref="GU9:GU2508">
    <cfRule type="expression" dxfId="10" priority="565">
      <formula>AND($GU$8&lt;&gt;"",OR(GU9="",EXACT(GU9,$GU$8)))</formula>
    </cfRule>
  </conditionalFormatting>
  <conditionalFormatting sqref="GV8">
    <cfRule type="notContainsBlanks" dxfId="10" priority="566">
      <formula>LEN(TRIM(GV8))&gt;0</formula>
    </cfRule>
    <cfRule type="containsBlanks" dxfId="11" priority="567">
      <formula>LEN(TRIM(GV8))=0</formula>
    </cfRule>
  </conditionalFormatting>
  <conditionalFormatting sqref="GV9:GV2508">
    <cfRule type="expression" dxfId="10" priority="568">
      <formula>AND($GV$8&lt;&gt;"",OR(GV9="",EXACT(GV9,$GV$8)))</formula>
    </cfRule>
  </conditionalFormatting>
  <conditionalFormatting sqref="GW8">
    <cfRule type="notContainsBlanks" dxfId="10" priority="569">
      <formula>LEN(TRIM(GW8))&gt;0</formula>
    </cfRule>
    <cfRule type="containsBlanks" dxfId="11" priority="570">
      <formula>LEN(TRIM(GW8))=0</formula>
    </cfRule>
  </conditionalFormatting>
  <conditionalFormatting sqref="GW9:GW2508">
    <cfRule type="expression" dxfId="10" priority="571">
      <formula>AND($GW$8&lt;&gt;"",OR(GW9="",EXACT(GW9,$GW$8)))</formula>
    </cfRule>
  </conditionalFormatting>
  <conditionalFormatting sqref="GX8">
    <cfRule type="notContainsBlanks" dxfId="10" priority="572">
      <formula>LEN(TRIM(GX8))&gt;0</formula>
    </cfRule>
    <cfRule type="containsBlanks" dxfId="11" priority="573">
      <formula>LEN(TRIM(GX8))=0</formula>
    </cfRule>
  </conditionalFormatting>
  <conditionalFormatting sqref="GX9:GX2508">
    <cfRule type="expression" dxfId="10" priority="574">
      <formula>AND($GX$8&lt;&gt;"",OR(GX9="",EXACT(GX9,$GX$8)))</formula>
    </cfRule>
  </conditionalFormatting>
  <conditionalFormatting sqref="GY8">
    <cfRule type="notContainsBlanks" dxfId="10" priority="575">
      <formula>LEN(TRIM(GY8))&gt;0</formula>
    </cfRule>
    <cfRule type="containsBlanks" dxfId="11" priority="576">
      <formula>LEN(TRIM(GY8))=0</formula>
    </cfRule>
  </conditionalFormatting>
  <conditionalFormatting sqref="GY9:GY2508">
    <cfRule type="expression" dxfId="10" priority="577">
      <formula>AND($GY$8&lt;&gt;"",OR(GY9="",EXACT(GY9,$GY$8)))</formula>
    </cfRule>
  </conditionalFormatting>
  <conditionalFormatting sqref="GZ8">
    <cfRule type="notContainsBlanks" dxfId="10" priority="578">
      <formula>LEN(TRIM(GZ8))&gt;0</formula>
    </cfRule>
    <cfRule type="containsBlanks" dxfId="11" priority="579">
      <formula>LEN(TRIM(GZ8))=0</formula>
    </cfRule>
  </conditionalFormatting>
  <conditionalFormatting sqref="GZ9:GZ2508">
    <cfRule type="expression" dxfId="10" priority="580">
      <formula>AND($GZ$8&lt;&gt;"",OR(GZ9="",EXACT(GZ9,$GZ$8)))</formula>
    </cfRule>
  </conditionalFormatting>
  <conditionalFormatting sqref="HA8">
    <cfRule type="notContainsBlanks" dxfId="10" priority="581">
      <formula>LEN(TRIM(HA8))&gt;0</formula>
    </cfRule>
    <cfRule type="containsBlanks" dxfId="11" priority="582">
      <formula>LEN(TRIM(HA8))=0</formula>
    </cfRule>
  </conditionalFormatting>
  <conditionalFormatting sqref="HA9:HA2508">
    <cfRule type="expression" dxfId="10" priority="583">
      <formula>AND($HA$8&lt;&gt;"",OR(HA9="",EXACT(HA9,$HA$8)))</formula>
    </cfRule>
  </conditionalFormatting>
  <conditionalFormatting sqref="HB8">
    <cfRule type="notContainsBlanks" dxfId="10" priority="584">
      <formula>LEN(TRIM(HB8))&gt;0</formula>
    </cfRule>
    <cfRule type="containsBlanks" dxfId="11" priority="585">
      <formula>LEN(TRIM(HB8))=0</formula>
    </cfRule>
  </conditionalFormatting>
  <conditionalFormatting sqref="HB9:HB2508">
    <cfRule type="expression" dxfId="10" priority="586">
      <formula>AND($HB$8&lt;&gt;"",OR(HB9="",EXACT(HB9,$HB$8)))</formula>
    </cfRule>
  </conditionalFormatting>
  <conditionalFormatting sqref="HC8">
    <cfRule type="notContainsBlanks" dxfId="10" priority="587">
      <formula>LEN(TRIM(HC8))&gt;0</formula>
    </cfRule>
    <cfRule type="containsBlanks" dxfId="11" priority="588">
      <formula>LEN(TRIM(HC8))=0</formula>
    </cfRule>
  </conditionalFormatting>
  <conditionalFormatting sqref="HC9:HC2508">
    <cfRule type="expression" dxfId="10" priority="589">
      <formula>AND($HC$8&lt;&gt;"",OR(HC9="",EXACT(HC9,$HC$8)))</formula>
    </cfRule>
  </conditionalFormatting>
  <conditionalFormatting sqref="HD8">
    <cfRule type="notContainsBlanks" dxfId="10" priority="590">
      <formula>LEN(TRIM(HD8))&gt;0</formula>
    </cfRule>
    <cfRule type="containsBlanks" dxfId="11" priority="591">
      <formula>LEN(TRIM(HD8))=0</formula>
    </cfRule>
  </conditionalFormatting>
  <conditionalFormatting sqref="HD9:HD2508">
    <cfRule type="expression" dxfId="10" priority="592">
      <formula>AND($HD$8&lt;&gt;"",OR(HD9="",EXACT(HD9,$HD$8)))</formula>
    </cfRule>
  </conditionalFormatting>
  <conditionalFormatting sqref="JY8">
    <cfRule type="notContainsBlanks" dxfId="10" priority="593">
      <formula>LEN(TRIM(JY8))&gt;0</formula>
    </cfRule>
    <cfRule type="containsBlanks" dxfId="11" priority="594">
      <formula>LEN(TRIM(JY8))=0</formula>
    </cfRule>
  </conditionalFormatting>
  <conditionalFormatting sqref="JY9:JY2508">
    <cfRule type="expression" dxfId="10" priority="595">
      <formula>AND($JY$8&lt;&gt;"",OR(JY9="",EXACT(JY9,$JY$8)))</formula>
    </cfRule>
  </conditionalFormatting>
  <conditionalFormatting sqref="JZ8">
    <cfRule type="notContainsBlanks" dxfId="10" priority="596">
      <formula>LEN(TRIM(JZ8))&gt;0</formula>
    </cfRule>
    <cfRule type="containsBlanks" dxfId="11" priority="597">
      <formula>LEN(TRIM(JZ8))=0</formula>
    </cfRule>
  </conditionalFormatting>
  <conditionalFormatting sqref="JZ9:JZ2508">
    <cfRule type="expression" dxfId="10" priority="598">
      <formula>AND($JZ$8&lt;&gt;"",OR(JZ9="",EXACT(JZ9,$JZ$8)))</formula>
    </cfRule>
  </conditionalFormatting>
  <conditionalFormatting sqref="KA8">
    <cfRule type="notContainsBlanks" dxfId="10" priority="599">
      <formula>LEN(TRIM(KA8))&gt;0</formula>
    </cfRule>
    <cfRule type="containsBlanks" dxfId="11" priority="600">
      <formula>LEN(TRIM(KA8))=0</formula>
    </cfRule>
  </conditionalFormatting>
  <conditionalFormatting sqref="KA9:KA2508">
    <cfRule type="expression" dxfId="10" priority="601">
      <formula>AND($KA$8&lt;&gt;"",OR(KA9="",EXACT(KA9,$KA$8)))</formula>
    </cfRule>
  </conditionalFormatting>
  <conditionalFormatting sqref="KB8">
    <cfRule type="notContainsBlanks" dxfId="10" priority="602">
      <formula>LEN(TRIM(KB8))&gt;0</formula>
    </cfRule>
    <cfRule type="containsBlanks" dxfId="11" priority="603">
      <formula>LEN(TRIM(KB8))=0</formula>
    </cfRule>
  </conditionalFormatting>
  <conditionalFormatting sqref="KB9:KB2508">
    <cfRule type="expression" dxfId="10" priority="604">
      <formula>AND($KB$8&lt;&gt;"",OR(KB9="",EXACT(KB9,$KB$8)))</formula>
    </cfRule>
  </conditionalFormatting>
  <conditionalFormatting sqref="KC8">
    <cfRule type="notContainsBlanks" dxfId="10" priority="605">
      <formula>LEN(TRIM(KC8))&gt;0</formula>
    </cfRule>
    <cfRule type="containsBlanks" dxfId="11" priority="606">
      <formula>LEN(TRIM(KC8))=0</formula>
    </cfRule>
  </conditionalFormatting>
  <conditionalFormatting sqref="KC9:KC2508">
    <cfRule type="expression" dxfId="10" priority="607">
      <formula>AND($KC$8&lt;&gt;"",OR(KC9="",EXACT(KC9,$KC$8)))</formula>
    </cfRule>
  </conditionalFormatting>
  <conditionalFormatting sqref="KD8">
    <cfRule type="notContainsBlanks" dxfId="10" priority="608">
      <formula>LEN(TRIM(KD8))&gt;0</formula>
    </cfRule>
    <cfRule type="containsBlanks" dxfId="11" priority="609">
      <formula>LEN(TRIM(KD8))=0</formula>
    </cfRule>
  </conditionalFormatting>
  <conditionalFormatting sqref="KD9:KD2508">
    <cfRule type="expression" dxfId="10" priority="610">
      <formula>AND($KD$8&lt;&gt;"",OR(KD9="",EXACT(KD9,$KD$8)))</formula>
    </cfRule>
  </conditionalFormatting>
  <conditionalFormatting sqref="KE8">
    <cfRule type="notContainsBlanks" dxfId="10" priority="611">
      <formula>LEN(TRIM(KE8))&gt;0</formula>
    </cfRule>
    <cfRule type="containsBlanks" dxfId="11" priority="612">
      <formula>LEN(TRIM(KE8))=0</formula>
    </cfRule>
  </conditionalFormatting>
  <conditionalFormatting sqref="KE9:KE2508">
    <cfRule type="expression" dxfId="10" priority="613">
      <formula>AND($KE$8&lt;&gt;"",OR(KE9="",EXACT(KE9,$KE$8)))</formula>
    </cfRule>
  </conditionalFormatting>
  <conditionalFormatting sqref="KF8">
    <cfRule type="notContainsBlanks" dxfId="10" priority="614">
      <formula>LEN(TRIM(KF8))&gt;0</formula>
    </cfRule>
    <cfRule type="containsBlanks" dxfId="11" priority="615">
      <formula>LEN(TRIM(KF8))=0</formula>
    </cfRule>
  </conditionalFormatting>
  <conditionalFormatting sqref="KF9:KF2508">
    <cfRule type="expression" dxfId="10" priority="616">
      <formula>AND($KF$8&lt;&gt;"",OR(KF9="",EXACT(KF9,$KF$8)))</formula>
    </cfRule>
  </conditionalFormatting>
  <conditionalFormatting sqref="KG8">
    <cfRule type="notContainsBlanks" dxfId="10" priority="617">
      <formula>LEN(TRIM(KG8))&gt;0</formula>
    </cfRule>
    <cfRule type="containsBlanks" dxfId="11" priority="618">
      <formula>LEN(TRIM(KG8))=0</formula>
    </cfRule>
  </conditionalFormatting>
  <conditionalFormatting sqref="KG9:KG2508">
    <cfRule type="expression" dxfId="10" priority="619">
      <formula>AND($KG$8&lt;&gt;"",OR(KG9="",EXACT(KG9,$KG$8)))</formula>
    </cfRule>
  </conditionalFormatting>
  <conditionalFormatting sqref="KH8">
    <cfRule type="notContainsBlanks" dxfId="10" priority="620">
      <formula>LEN(TRIM(KH8))&gt;0</formula>
    </cfRule>
    <cfRule type="containsBlanks" dxfId="11" priority="621">
      <formula>LEN(TRIM(KH8))=0</formula>
    </cfRule>
  </conditionalFormatting>
  <conditionalFormatting sqref="KH9:KH2508">
    <cfRule type="expression" dxfId="10" priority="622">
      <formula>AND($KH$8&lt;&gt;"",OR(KH9="",EXACT(KH9,$KH$8)))</formula>
    </cfRule>
  </conditionalFormatting>
  <conditionalFormatting sqref="KI8">
    <cfRule type="notContainsBlanks" dxfId="10" priority="623">
      <formula>LEN(TRIM(KI8))&gt;0</formula>
    </cfRule>
    <cfRule type="containsBlanks" dxfId="11" priority="624">
      <formula>LEN(TRIM(KI8))=0</formula>
    </cfRule>
  </conditionalFormatting>
  <conditionalFormatting sqref="KI9:KI2508">
    <cfRule type="expression" dxfId="10" priority="625">
      <formula>AND($KI$8&lt;&gt;"",OR(KI9="",EXACT(KI9,$KI$8)))</formula>
    </cfRule>
  </conditionalFormatting>
  <conditionalFormatting sqref="KJ8">
    <cfRule type="notContainsBlanks" dxfId="10" priority="626">
      <formula>LEN(TRIM(KJ8))&gt;0</formula>
    </cfRule>
    <cfRule type="containsBlanks" dxfId="11" priority="627">
      <formula>LEN(TRIM(KJ8))=0</formula>
    </cfRule>
  </conditionalFormatting>
  <conditionalFormatting sqref="KJ9:KJ2508">
    <cfRule type="expression" dxfId="10" priority="628">
      <formula>AND($KJ$8&lt;&gt;"",OR(KJ9="",EXACT(KJ9,$KJ$8)))</formula>
    </cfRule>
  </conditionalFormatting>
  <conditionalFormatting sqref="KK8">
    <cfRule type="notContainsBlanks" dxfId="10" priority="629">
      <formula>LEN(TRIM(KK8))&gt;0</formula>
    </cfRule>
    <cfRule type="containsBlanks" dxfId="11" priority="630">
      <formula>LEN(TRIM(KK8))=0</formula>
    </cfRule>
  </conditionalFormatting>
  <conditionalFormatting sqref="KK9:KK2508">
    <cfRule type="expression" dxfId="10" priority="631">
      <formula>AND($KK$8&lt;&gt;"",OR(KK9="",EXACT(KK9,$KK$8)))</formula>
    </cfRule>
  </conditionalFormatting>
  <conditionalFormatting sqref="KL8">
    <cfRule type="notContainsBlanks" dxfId="10" priority="632">
      <formula>LEN(TRIM(KL8))&gt;0</formula>
    </cfRule>
    <cfRule type="containsBlanks" dxfId="11" priority="633">
      <formula>LEN(TRIM(KL8))=0</formula>
    </cfRule>
  </conditionalFormatting>
  <conditionalFormatting sqref="KL9:KL2508">
    <cfRule type="expression" dxfId="10" priority="634">
      <formula>AND($KL$8&lt;&gt;"",OR(KL9="",EXACT(KL9,$KL$8)))</formula>
    </cfRule>
  </conditionalFormatting>
  <conditionalFormatting sqref="KM8">
    <cfRule type="notContainsBlanks" dxfId="10" priority="635">
      <formula>LEN(TRIM(KM8))&gt;0</formula>
    </cfRule>
    <cfRule type="containsBlanks" dxfId="11" priority="636">
      <formula>LEN(TRIM(KM8))=0</formula>
    </cfRule>
  </conditionalFormatting>
  <conditionalFormatting sqref="KM9:KM2508">
    <cfRule type="expression" dxfId="10" priority="637">
      <formula>AND($KM$8&lt;&gt;"",OR(KM9="",EXACT(KM9,$KM$8)))</formula>
    </cfRule>
  </conditionalFormatting>
  <conditionalFormatting sqref="KN8">
    <cfRule type="notContainsBlanks" dxfId="10" priority="638">
      <formula>LEN(TRIM(KN8))&gt;0</formula>
    </cfRule>
    <cfRule type="containsBlanks" dxfId="11" priority="639">
      <formula>LEN(TRIM(KN8))=0</formula>
    </cfRule>
  </conditionalFormatting>
  <conditionalFormatting sqref="KN9:KN2508">
    <cfRule type="expression" dxfId="10" priority="640">
      <formula>AND($KN$8&lt;&gt;"",OR(KN9="",EXACT(KN9,$KN$8)))</formula>
    </cfRule>
  </conditionalFormatting>
  <conditionalFormatting sqref="KO8">
    <cfRule type="notContainsBlanks" dxfId="10" priority="641">
      <formula>LEN(TRIM(KO8))&gt;0</formula>
    </cfRule>
    <cfRule type="containsBlanks" dxfId="11" priority="642">
      <formula>LEN(TRIM(KO8))=0</formula>
    </cfRule>
  </conditionalFormatting>
  <conditionalFormatting sqref="KO9:KO2508">
    <cfRule type="expression" dxfId="10" priority="643">
      <formula>AND($KO$8&lt;&gt;"",OR(KO9="",EXACT(KO9,$KO$8)))</formula>
    </cfRule>
  </conditionalFormatting>
  <conditionalFormatting sqref="KP8">
    <cfRule type="notContainsBlanks" dxfId="10" priority="644">
      <formula>LEN(TRIM(KP8))&gt;0</formula>
    </cfRule>
    <cfRule type="containsBlanks" dxfId="11" priority="645">
      <formula>LEN(TRIM(KP8))=0</formula>
    </cfRule>
  </conditionalFormatting>
  <conditionalFormatting sqref="KP9:KP2508">
    <cfRule type="expression" dxfId="10" priority="646">
      <formula>AND($KP$8&lt;&gt;"",OR(KP9="",EXACT(KP9,$KP$8)))</formula>
    </cfRule>
  </conditionalFormatting>
  <conditionalFormatting sqref="KQ8">
    <cfRule type="notContainsBlanks" dxfId="10" priority="647">
      <formula>LEN(TRIM(KQ8))&gt;0</formula>
    </cfRule>
    <cfRule type="containsBlanks" dxfId="11" priority="648">
      <formula>LEN(TRIM(KQ8))=0</formula>
    </cfRule>
  </conditionalFormatting>
  <conditionalFormatting sqref="KQ9:KQ2508">
    <cfRule type="expression" dxfId="10" priority="649">
      <formula>AND($KQ$8&lt;&gt;"",OR(KQ9="",EXACT(KQ9,$KQ$8)))</formula>
    </cfRule>
  </conditionalFormatting>
  <conditionalFormatting sqref="KR8">
    <cfRule type="notContainsBlanks" dxfId="10" priority="650">
      <formula>LEN(TRIM(KR8))&gt;0</formula>
    </cfRule>
    <cfRule type="containsBlanks" dxfId="11" priority="651">
      <formula>LEN(TRIM(KR8))=0</formula>
    </cfRule>
  </conditionalFormatting>
  <conditionalFormatting sqref="KR9:KR2508">
    <cfRule type="expression" dxfId="10" priority="652">
      <formula>AND($KR$8&lt;&gt;"",OR(KR9="",EXACT(KR9,$KR$8)))</formula>
    </cfRule>
  </conditionalFormatting>
  <conditionalFormatting sqref="KS8">
    <cfRule type="notContainsBlanks" dxfId="10" priority="653">
      <formula>LEN(TRIM(KS8))&gt;0</formula>
    </cfRule>
    <cfRule type="containsBlanks" dxfId="11" priority="654">
      <formula>LEN(TRIM(KS8))=0</formula>
    </cfRule>
  </conditionalFormatting>
  <conditionalFormatting sqref="KS9:KS2508">
    <cfRule type="expression" dxfId="10" priority="655">
      <formula>AND($KS$8&lt;&gt;"",OR(KS9="",EXACT(KS9,$KS$8)))</formula>
    </cfRule>
  </conditionalFormatting>
  <conditionalFormatting sqref="KT8">
    <cfRule type="notContainsBlanks" dxfId="10" priority="656">
      <formula>LEN(TRIM(KT8))&gt;0</formula>
    </cfRule>
    <cfRule type="containsBlanks" dxfId="11" priority="657">
      <formula>LEN(TRIM(KT8))=0</formula>
    </cfRule>
  </conditionalFormatting>
  <conditionalFormatting sqref="KT9:KT2508">
    <cfRule type="expression" dxfId="10" priority="658">
      <formula>AND($KT$8&lt;&gt;"",OR(KT9="",EXACT(KT9,$KT$8)))</formula>
    </cfRule>
  </conditionalFormatting>
  <conditionalFormatting sqref="KU8">
    <cfRule type="notContainsBlanks" dxfId="10" priority="659">
      <formula>LEN(TRIM(KU8))&gt;0</formula>
    </cfRule>
    <cfRule type="containsBlanks" dxfId="11" priority="660">
      <formula>LEN(TRIM(KU8))=0</formula>
    </cfRule>
  </conditionalFormatting>
  <conditionalFormatting sqref="KU9:KU2508">
    <cfRule type="expression" dxfId="10" priority="661">
      <formula>AND($KU$8&lt;&gt;"",OR(KU9="",EXACT(KU9,$KU$8)))</formula>
    </cfRule>
  </conditionalFormatting>
  <conditionalFormatting sqref="KV8">
    <cfRule type="notContainsBlanks" dxfId="10" priority="662">
      <formula>LEN(TRIM(KV8))&gt;0</formula>
    </cfRule>
    <cfRule type="containsBlanks" dxfId="11" priority="663">
      <formula>LEN(TRIM(KV8))=0</formula>
    </cfRule>
  </conditionalFormatting>
  <conditionalFormatting sqref="KV9:KV2508">
    <cfRule type="expression" dxfId="10" priority="664">
      <formula>AND($KV$8&lt;&gt;"",OR(KV9="",EXACT(KV9,$KV$8)))</formula>
    </cfRule>
  </conditionalFormatting>
  <conditionalFormatting sqref="KW8">
    <cfRule type="notContainsBlanks" dxfId="10" priority="665">
      <formula>LEN(TRIM(KW8))&gt;0</formula>
    </cfRule>
    <cfRule type="containsBlanks" dxfId="11" priority="666">
      <formula>LEN(TRIM(KW8))=0</formula>
    </cfRule>
  </conditionalFormatting>
  <conditionalFormatting sqref="KW9:KW2508">
    <cfRule type="expression" dxfId="10" priority="667">
      <formula>AND($KW$8&lt;&gt;"",OR(KW9="",EXACT(KW9,$KW$8)))</formula>
    </cfRule>
  </conditionalFormatting>
  <conditionalFormatting sqref="KX8">
    <cfRule type="notContainsBlanks" dxfId="10" priority="668">
      <formula>LEN(TRIM(KX8))&gt;0</formula>
    </cfRule>
    <cfRule type="containsBlanks" dxfId="11" priority="669">
      <formula>LEN(TRIM(KX8))=0</formula>
    </cfRule>
  </conditionalFormatting>
  <conditionalFormatting sqref="KX9:KX2508">
    <cfRule type="expression" dxfId="10" priority="670">
      <formula>AND($KX$8&lt;&gt;"",OR(KX9="",EXACT(KX9,$KX$8)))</formula>
    </cfRule>
  </conditionalFormatting>
  <conditionalFormatting sqref="KY8">
    <cfRule type="notContainsBlanks" dxfId="10" priority="671">
      <formula>LEN(TRIM(KY8))&gt;0</formula>
    </cfRule>
    <cfRule type="containsBlanks" dxfId="11" priority="672">
      <formula>LEN(TRIM(KY8))=0</formula>
    </cfRule>
  </conditionalFormatting>
  <conditionalFormatting sqref="KY9:KY2508">
    <cfRule type="expression" dxfId="10" priority="673">
      <formula>AND($KY$8&lt;&gt;"",OR(KY9="",EXACT(KY9,$KY$8)))</formula>
    </cfRule>
  </conditionalFormatting>
  <conditionalFormatting sqref="KZ8">
    <cfRule type="notContainsBlanks" dxfId="10" priority="674">
      <formula>LEN(TRIM(KZ8))&gt;0</formula>
    </cfRule>
    <cfRule type="containsBlanks" dxfId="11" priority="675">
      <formula>LEN(TRIM(KZ8))=0</formula>
    </cfRule>
  </conditionalFormatting>
  <conditionalFormatting sqref="KZ9:KZ2508">
    <cfRule type="expression" dxfId="10" priority="676">
      <formula>AND($KZ$8&lt;&gt;"",OR(KZ9="",EXACT(KZ9,$KZ$8)))</formula>
    </cfRule>
  </conditionalFormatting>
  <conditionalFormatting sqref="LA8">
    <cfRule type="notContainsBlanks" dxfId="10" priority="677">
      <formula>LEN(TRIM(LA8))&gt;0</formula>
    </cfRule>
    <cfRule type="containsBlanks" dxfId="11" priority="678">
      <formula>LEN(TRIM(LA8))=0</formula>
    </cfRule>
  </conditionalFormatting>
  <conditionalFormatting sqref="LA9:LA2508">
    <cfRule type="expression" dxfId="10" priority="679">
      <formula>AND($LA$8&lt;&gt;"",OR(LA9="",EXACT(LA9,$LA$8)))</formula>
    </cfRule>
  </conditionalFormatting>
  <conditionalFormatting sqref="T8">
    <cfRule type="notContainsBlanks" dxfId="10" priority="14">
      <formula>LEN(TRIM(T8))&gt;0</formula>
    </cfRule>
    <cfRule type="containsBlanks" dxfId="11" priority="15">
      <formula>LEN(TRIM(T8))=0</formula>
    </cfRule>
  </conditionalFormatting>
  <conditionalFormatting sqref="T9:T2508">
    <cfRule type="expression" dxfId="10" priority="16">
      <formula>AND($T$8&lt;&gt;"",OR(T9="",EXACT(T9,$T$8)))</formula>
    </cfRule>
  </conditionalFormatting>
  <conditionalFormatting sqref="U8">
    <cfRule type="notContainsBlanks" dxfId="10" priority="17">
      <formula>LEN(TRIM(U8))&gt;0</formula>
    </cfRule>
    <cfRule type="containsBlanks" dxfId="11" priority="18">
      <formula>LEN(TRIM(U8))=0</formula>
    </cfRule>
  </conditionalFormatting>
  <conditionalFormatting sqref="U9:U2508">
    <cfRule type="expression" dxfId="10" priority="19">
      <formula>AND($U$8&lt;&gt;"",OR(U9="",EXACT(U9,$U$8)))</formula>
    </cfRule>
  </conditionalFormatting>
  <conditionalFormatting sqref="V8">
    <cfRule type="notContainsBlanks" dxfId="10" priority="20">
      <formula>LEN(TRIM(V8))&gt;0</formula>
    </cfRule>
    <cfRule type="containsBlanks" dxfId="11" priority="21">
      <formula>LEN(TRIM(V8))=0</formula>
    </cfRule>
  </conditionalFormatting>
  <conditionalFormatting sqref="V9:V2508">
    <cfRule type="expression" dxfId="10" priority="22">
      <formula>AND($V$8&lt;&gt;"",OR(V9="",EXACT(V9,$V$8)))</formula>
    </cfRule>
  </conditionalFormatting>
  <conditionalFormatting sqref="W8">
    <cfRule type="notContainsBlanks" dxfId="10" priority="23">
      <formula>LEN(TRIM(W8))&gt;0</formula>
    </cfRule>
    <cfRule type="containsBlanks" dxfId="11" priority="24">
      <formula>LEN(TRIM(W8))=0</formula>
    </cfRule>
  </conditionalFormatting>
  <conditionalFormatting sqref="W9:W2508">
    <cfRule type="expression" dxfId="10" priority="25">
      <formula>AND($W$8&lt;&gt;"",OR(W9="",EXACT(W9,$W$8)))</formula>
    </cfRule>
  </conditionalFormatting>
  <conditionalFormatting sqref="X8">
    <cfRule type="notContainsBlanks" dxfId="10" priority="26">
      <formula>LEN(TRIM(X8))&gt;0</formula>
    </cfRule>
    <cfRule type="containsBlanks" dxfId="11" priority="27">
      <formula>LEN(TRIM(X8))=0</formula>
    </cfRule>
  </conditionalFormatting>
  <conditionalFormatting sqref="X9:X2508">
    <cfRule type="expression" dxfId="10" priority="28">
      <formula>AND($X$8&lt;&gt;"",OR(X9="",EXACT(X9,$X$8)))</formula>
    </cfRule>
  </conditionalFormatting>
  <conditionalFormatting sqref="Y8">
    <cfRule type="notContainsBlanks" dxfId="10" priority="29">
      <formula>LEN(TRIM(Y8))&gt;0</formula>
    </cfRule>
    <cfRule type="containsBlanks" dxfId="11" priority="30">
      <formula>LEN(TRIM(Y8))=0</formula>
    </cfRule>
  </conditionalFormatting>
  <conditionalFormatting sqref="Y9:Y2508">
    <cfRule type="expression" dxfId="10" priority="31">
      <formula>AND($Y$8&lt;&gt;"",OR(Y9="",EXACT(Y9,$Y$8)))</formula>
    </cfRule>
  </conditionalFormatting>
  <conditionalFormatting sqref="Z8">
    <cfRule type="notContainsBlanks" dxfId="10" priority="32">
      <formula>LEN(TRIM(Z8))&gt;0</formula>
    </cfRule>
    <cfRule type="containsBlanks" dxfId="11" priority="33">
      <formula>LEN(TRIM(Z8))=0</formula>
    </cfRule>
  </conditionalFormatting>
  <conditionalFormatting sqref="Z9:Z2508">
    <cfRule type="expression" dxfId="10" priority="34">
      <formula>AND($Z$8&lt;&gt;"",OR(Z9="",EXACT(Z9,$Z$8)))</formula>
    </cfRule>
  </conditionalFormatting>
  <dataValidations count="704">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allowed9007_fp_S_class_3757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allowed9030_fp_S_class_3757</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allowed9031_fp_S_class_3757</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allowed9032_fp_S_class_3757</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allowed9033_fp_S_class_3757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allowed9035_fp_S_class_3757</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allowed9036_fp_S_class_3757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allowed647_fp_S_class_3757</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allowed9043_fp_S_class_3757</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allowed6109_fp_S_class_3757</formula1>
    </dataValidation>
    <dataValidation type="list" errorStyle="warning" allowBlank="1" showInputMessage="1" showErrorMessage="1" errorTitle="Invalid Surface Type" error="The value provided is not a valid Surface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KA8">
      <formula1>allowed1217_fp_S_class_3757</formula1>
    </dataValidation>
    <dataValidation type="list" allowBlank="1" showInputMessage="1" showErrorMessage="1" errorTitle="Invalid Personalization or Monog" error="The value provided is not a valid Personalization or Monogramming." promptTitle="" prompt="If all products in this class consistently have the same answer, you can set a default value to apply automatically. For any exceptions, you can modify the answer for specific products without changing the default." sqref="KD8">
      <formula1>allowed2389_fp_S_class_3757</formula1>
    </dataValidation>
    <dataValidation type="list" allowBlank="1" showInputMessage="1" showErrorMessage="1" errorTitle="Invalid Holiday / Occasion" error="The value provided is not a valid Holiday / Occasion." promptTitle="" prompt="If all products in this class consistently have the same answer, you can set a default value to apply automatically. For any exceptions, you can modify the answer for specific products without changing the default." sqref="KF8">
      <formula1>allowed137_fp_S_class_3757</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H8">
      <formula1>allowed807_fp_S_class_3757</formula1>
    </dataValidation>
    <dataValidation type="list" errorStyle="warning" allowBlank="1" showInputMessage="1" showErrorMessage="1" errorTitle="Invalid Licensed Product Categor" error="The value provided is not a valid Licensed Product Category. Would you like to provide a custom answer?" promptTitle="" prompt="If all products in this class consistently have the same answer, you can set a default value to apply automatically. For any exceptions, you can modify the answer for specific products without changing the default." sqref="KI8">
      <formula1>allowed1379_fp_S_class_3757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U8">
      <formula1>allowed28_fp_S_class_3757</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V8">
      <formula1>allowed135_fp_S_class_3757</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W8">
      <formula1>allowed256_fp_S_class_3757</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KX8">
      <formula1>allowed31_fp_S_class_3757</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KY8">
      <formula1>allowed117_fp_S_class_3757</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KZ8">
      <formula1>allowed8205_fp_S_class_3757</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A8">
      <formula1>allowed8462_fp_S_class_3757</formula1>
    </dataValidation>
    <dataValidation type="custom" allowBlank="1" showInputMessage="1" showErrorMessage="1" errorTitle="Duplicate supplier part number" error="The provided supplier part number is invalid due to having a duplicate value provided elsewhere in the sheet. Please provide a unique value here or remove the original value from the sheet." promptTitle="Supplier Part Number" prompt="Please enter Text" sqref="B9:B2508">
      <formula1>AND(LEN('3757 - Wall Stickers (S)'!B9)&lt;32767, IF('3757 - Wall Stickers (S)'!B9&lt;&gt;"",COUNTIF('3757 - Wall Stickers (S)'!$B$9:$B$2508,'3757 - Wall Stickers (S)'!B9)=1,""))</formula1>
    </dataValidation>
    <dataValidation type="custom" allowBlank="1" showInputMessage="1" showErrorMessage="1" errorTitle="Duplicate manufacturer part numb" error="The provided manufacturer part number is invalid due to having a duplicate value provided elsewhere in the sheet. Please provide a unique value here or remove the original value from the sheet." promptTitle="Manufacturer Part Number" prompt="Please enter Text" sqref="C9:C2508">
      <formula1>AND(LEN('3757 - Wall Stickers (S)'!C9)&lt;32767, IF('3757 - Wall Stickers (S)'!C9&lt;&gt;"",COUNTIF('3757 - Wall Stickers (S)'!$C$9:$C$2508,'3757 - Wall Stickers (S)'!C9)=1,""))</formula1>
    </dataValidation>
    <dataValidation type="custom" allowBlank="1" showInputMessage="1" showErrorMessage="1" errorTitle="Duplicate universal product code" error="The provided universal product code is invalid due to having a duplicate value provided elsewhere in the sheet. Please provide a unique value here or remove the original value from the sheet." promptTitle="Universal Product Code" prompt="Please enter Text" sqref="D9:D2508">
      <formula1>AND(LEN('3757 - Wall Stickers (S)'!D9)&lt;32767, IF('3757 - Wall Stickers (S)'!D9&lt;&gt;"",COUNTIF('3757 - Wall Stickers (S)'!$D$9:$D$2508,'3757 - Wall Stickers (S)'!D9)=1,""))</formula1>
    </dataValidation>
    <dataValidation type="textLength" operator="lessThanOrEqual" errorStyle="warning" showInputMessage="1" showErrorMessage="1" errorTitle="Invalid Text" error="The value provided is not a valid Text." promptTitle="Product Name" prompt="Please enter Text" sqref="E9:E2508">
      <formula1>32767</formula1>
    </dataValidation>
    <dataValidation type="list" allowBlank="1" showInputMessage="1" showErrorMessage="1" errorTitle="Invalid Brand" error="The value provided is not a valid Brand." promptTitle="Brand" prompt="Please select a valid Brand" sqref="F9:F2508">
      <formula1>allowed9007_fp_S_class_3757</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allowed9007_fp_S_class_3757</formula1>
    </dataValidation>
    <dataValidation type="textLength" operator="lessThanOrEqual" errorStyle="warning" showInputMessage="1" showErrorMessage="1" errorTitle="Invalid Text" error="The value provided is not a valid Text." promptTitle="Collection Name" prompt="Please enter Text" sqref="G9:G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list" allowBlank="1" showInputMessage="1" showErrorMessage="1" errorTitle="Invalid Variant Type" error="The value provided is not a valid Variant Type." promptTitle="Variant Type" prompt="Please select a valid Variant Type" sqref="H9:H2508">
      <formula1>allowed9009_fp_S_class_3757</formula1>
    </dataValidation>
    <dataValidation type="textLength" operator="lessThanOrEqual" errorStyle="warning" showInputMessage="1" showErrorMessage="1" errorTitle="Invalid Text" error="The value provided is not a valid Text." promptTitle="Group Reference ID" prompt="Please enter Text" sqref="I9:I2508">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J9:J2508">
      <formula1>allowed9011_fp_S_class_3757</formula1>
    </dataValidation>
    <dataValidation type="textLength" operator="lessThanOrEqual" errorStyle="warning" showInputMessage="1" showErrorMessage="1" errorTitle="Invalid Text" error="The value provided is not a valid Text." promptTitle="Variant Attribute Name On Site" prompt="Please enter Text" sqref="K9:K2508">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L9:L2508">
      <formula1>allowed9011_fp_S_class_3757</formula1>
    </dataValidation>
    <dataValidation type="textLength" operator="lessThanOrEqual" errorStyle="warning" showInputMessage="1" showErrorMessage="1" errorTitle="Invalid Text" error="The value provided is not a valid Text." promptTitle="Variant Attribute Name On Site" prompt="Please enter Text" sqref="M9:M2508">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N9:N2508">
      <formula1>allowed9011_fp_S_class_3757</formula1>
    </dataValidation>
    <dataValidation type="textLength" operator="lessThanOrEqual" errorStyle="warning" showInputMessage="1" showErrorMessage="1" errorTitle="Invalid Text" error="The value provided is not a valid Text." promptTitle="Variant Attribute Name On Site" prompt="Please enter Text" sqref="O9:O2508">
      <formula1>32767</formula1>
    </dataValidation>
    <dataValidation type="textLength" operator="lessThanOrEqual" errorStyle="warning" showInputMessage="1" showErrorMessage="1" errorTitle="Invalid Number" error="The value provided is not a valid Number." promptTitle="Base Cost" prompt="Please enter Number" sqref="P9:P2508">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Q9:Q2508">
      <formula1>32767</formula1>
    </dataValidation>
    <dataValidation type="textLength" operator="lessThanOrEqual" errorStyle="warning" showInputMessage="1" showErrorMessage="1" errorTitle="Invalid Number" error="The value provided is not a valid Number." promptTitle="Minimum Advertised Price" prompt="Please enter Number" sqref="R9:R2508">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S9:S2508">
      <formula1>32767</formula1>
    </dataValidation>
    <dataValidation type="textLength" operator="lessThanOrEqual" errorStyle="warning" showInputMessage="1" showErrorMessage="1" errorTitle="Invalid Text" error="The value provided is not a valid Text." promptTitle="Marketing Copy" prompt="Please enter Text" sqref="T9:T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Feature Bullet" prompt="Please enter Text" sqref="U9:U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Feature Bullet" prompt="Please enter Text" sqref="V9:V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Feature Bullet" prompt="Please enter Text" sqref="W9:W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Feature Bullet" prompt="Please enter Text" sqref="X9:X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Feature Bullet" prompt="Please enter Text" sqref="Y9:Y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Feature Bullet" prompt="Please enter Text" sqref="Z9:Z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Feature Bullet" prompt="Please enter Text" sqref="AA9:AA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Feature Bullet" prompt="Please enter Text" sqref="AB9:AB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Amazon Seller SKU" prompt="Please enter Text" sqref="AC9:AC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AD9:AD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E9:AE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F9:AF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Product Weight" prompt="Please enter Number" sqref="AG9:A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Ship Type" prompt="Please select a valid Ship Type" sqref="AH9:AH2508">
      <formula1>allowed9030_fp_S_class_3757</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allowed9030_fp_S_class_3757</formula1>
    </dataValidation>
    <dataValidation type="list" allowBlank="1" showInputMessage="1" showErrorMessage="1" errorTitle="Invalid Freight Class" error="The value provided is not a valid Freight Class." promptTitle="Freight Class" prompt="Please select a valid Freight Class" sqref="AI9:AI2508">
      <formula1>allowed9031_fp_S_class_3757</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allowed9031_fp_S_class_3757</formula1>
    </dataValidation>
    <dataValidation type="list" allowBlank="1" showInputMessage="1" showErrorMessage="1" errorTitle="Invalid Lead Time" error="The value provided is not a valid Lead Time." promptTitle="Lead Time" prompt="Please select a valid Lead Time" sqref="AJ9:AJ2508">
      <formula1>allowed9032_fp_S_class_3757</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allowed9032_fp_S_class_3757</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K9:AK2508">
      <formula1>allowed9033_fp_S_class_3757</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allowed9033_fp_S_class_3757</formula1>
    </dataValidation>
    <dataValidation type="textLength" operator="lessThanOrEqual" errorStyle="warning" showInputMessage="1" showErrorMessage="1" errorTitle="Invalid Text" error="The value provided is not a valid Text." promptTitle="National Motor Freight Class" prompt="Please enter Text" sqref="AL9:AL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Flat Pack" prompt="Please select a valid Flat Pack" sqref="AM9:AM2508">
      <formula1>allowed9035_fp_S_class_3757</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allowed9035_fp_S_class_3757</formula1>
    </dataValidation>
    <dataValidation type="list" allowBlank="1" showInputMessage="1" showErrorMessage="1" errorTitle="Invalid Ship Palletized" error="The value provided is not a valid Ship Palletized." promptTitle="Ship Palletized" prompt="Please select a valid Ship Palletized" sqref="AN9:AN2508">
      <formula1>allowed9036_fp_S_class_3757</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allowed9036_fp_S_class_3757</formula1>
    </dataValidation>
    <dataValidation type="textLength" operator="lessThanOrEqual" errorStyle="warning" showInputMessage="1" showErrorMessage="1" errorTitle="Invalid Number" error="The value provided is not a valid Number." promptTitle="Carton Weight" prompt="Please enter Number" sqref="AO9:A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Carton Height" prompt="Please enter Number" sqref="AP9:A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Carton Width" prompt="Please enter Number" sqref="AQ9:A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Carton Depth" prompt="Please enter Number" sqref="AR9:A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Carton Weight" prompt="Please enter Number" sqref="AS9:A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Carton Height" prompt="Please enter Number" sqref="AT9:A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Carton Width" prompt="Please enter Number" sqref="AU9:A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Carton Depth" prompt="Please enter Number" sqref="AV9:A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Carton Weight" prompt="Please enter Number" sqref="AW9:A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Carton Height" prompt="Please enter Number" sqref="AX9:A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Carton Width" prompt="Please enter Number" sqref="AY9:A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Carton Depth" prompt="Please enter Number" sqref="AZ9:A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Carton Weight" prompt="Please enter Number" sqref="BA9:B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Carton Height" prompt="Please enter Number" sqref="BB9:B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Carton Width" prompt="Please enter Number" sqref="BC9:B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Carton Depth" prompt="Please enter Number" sqref="BD9:B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Carton Weight" prompt="Please enter Number" sqref="BE9:B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Carton Height" prompt="Please enter Number" sqref="BF9:B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Carton Width" prompt="Please enter Number" sqref="BG9:B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Carton Depth" prompt="Please enter Number" sqref="BH9:B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Carton Weight" prompt="Please enter Number" sqref="BI9:B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Carton Height" prompt="Please enter Number" sqref="BJ9:B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Carton Width" prompt="Please enter Number" sqref="BK9:B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Carton Depth" prompt="Please enter Number" sqref="BL9:B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Carton Weight" prompt="Please enter Number" sqref="BM9:B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Carton Height" prompt="Please enter Number" sqref="BN9:B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Carton Width" prompt="Please enter Number" sqref="BO9:B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Carton Depth" prompt="Please enter Number" sqref="BP9:B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Carton Weight" prompt="Please enter Number" sqref="BQ9:B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Carton Height" prompt="Please enter Number" sqref="BR9:B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Carton Width" prompt="Please enter Number" sqref="BS9:B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Carton Depth" prompt="Please enter Number" sqref="BT9:B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Carton Weight" prompt="Please enter Number" sqref="BU9:B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Carton Height" prompt="Please enter Number" sqref="BV9:B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Carton Width" prompt="Please enter Number" sqref="BW9:B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Carton Depth" prompt="Please enter Number" sqref="BX9:B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Carton Weight" prompt="Please enter Number" sqref="BY9:B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Carton Height" prompt="Please enter Number" sqref="BZ9:B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Carton Width" prompt="Please enter Number" sqref="CA9:C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Carton Depth" prompt="Please enter Number" sqref="CB9:C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Carton Weight" prompt="Please enter Number" sqref="CC9:C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Carton Height" prompt="Please enter Number" sqref="CD9:C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Carton Width" prompt="Please enter Number" sqref="CE9:C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Carton Depth" prompt="Please enter Number" sqref="CF9:C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Carton Weight" prompt="Please enter Number" sqref="CG9:C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Carton Height" prompt="Please enter Number" sqref="CH9:C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Carton Width" prompt="Please enter Number" sqref="CI9:C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Carton Depth" prompt="Please enter Number" sqref="CJ9:C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Carton Weight" prompt="Please enter Number" sqref="CK9:C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Carton Height" prompt="Please enter Number" sqref="CL9:C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Carton Width" prompt="Please enter Number" sqref="CM9:C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Carton Depth" prompt="Please enter Number" sqref="CN9:C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Carton Weight" prompt="Please enter Number" sqref="CO9:C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Carton Height" prompt="Please enter Number" sqref="CP9:C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Carton Width" prompt="Please enter Number" sqref="CQ9:C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Carton Depth" prompt="Please enter Number" sqref="CR9:C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Carton Weight" prompt="Please enter Number" sqref="CS9:C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Carton Height" prompt="Please enter Number" sqref="CT9:C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Carton Width" prompt="Please enter Number" sqref="CU9:C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Carton Depth" prompt="Please enter Number" sqref="CV9:C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Carton Weight" prompt="Please enter Number" sqref="CW9:C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Carton Height" prompt="Please enter Number" sqref="CX9:C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Carton Width" prompt="Please enter Number" sqref="CY9:C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Carton Depth" prompt="Please enter Number" sqref="CZ9:C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Carton Weight" prompt="Please enter Number" sqref="DA9:D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Carton Height" prompt="Please enter Number" sqref="DB9:D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Carton Width" prompt="Please enter Number" sqref="DC9:D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Carton Depth" prompt="Please enter Number" sqref="DD9:D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Carton Weight" prompt="Please enter Number" sqref="DE9:D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Carton Height" prompt="Please enter Number" sqref="DF9:D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Carton Width" prompt="Please enter Number" sqref="DG9:D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Carton Depth" prompt="Please enter Number" sqref="DH9:D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Carton Weight" prompt="Please enter Number" sqref="DI9:D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Carton Height" prompt="Please enter Number" sqref="DJ9:D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Carton Width" prompt="Please enter Number" sqref="DK9:D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Carton Depth" prompt="Please enter Number" sqref="DL9:D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Carton Weight" prompt="Please enter Number" sqref="DM9:D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Carton Height" prompt="Please enter Number" sqref="DN9:D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Carton Width" prompt="Please enter Number" sqref="DO9:D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Carton Depth" prompt="Please enter Number" sqref="DP9:D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Carton Weight" prompt="Please enter Number" sqref="DQ9:D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Carton Height" prompt="Please enter Number" sqref="DR9:D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Carton Width" prompt="Please enter Number" sqref="DS9:D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Carton Depth" prompt="Please enter Number" sqref="DT9:D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Carton Weight" prompt="Please enter Number" sqref="DU9:D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Carton Height" prompt="Please enter Number" sqref="DV9:D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Carton Width" prompt="Please enter Number" sqref="DW9:D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Carton Depth" prompt="Please enter Number" sqref="DX9:D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Carton Weight" prompt="Please enter Number" sqref="DY9:D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Carton Height" prompt="Please enter Number" sqref="DZ9:D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Carton Width" prompt="Please enter Number" sqref="EA9:E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Carton Depth" prompt="Please enter Number" sqref="EB9:E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Carton Weight" prompt="Please enter Number" sqref="EC9:E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Carton Height" prompt="Please enter Number" sqref="ED9:E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Carton Width" prompt="Please enter Number" sqref="EE9:E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Carton Depth" prompt="Please enter Number" sqref="EF9:E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Carton Weight" prompt="Please enter Number" sqref="EG9:E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Carton Height" prompt="Please enter Number" sqref="EH9:E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Carton Width" prompt="Please enter Number" sqref="EI9:E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Carton Depth" prompt="Please enter Number" sqref="EJ9:E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Carton Weight" prompt="Please enter Number" sqref="EK9:E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Carton Height" prompt="Please enter Number" sqref="EL9:E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Carton Width" prompt="Please enter Number" sqref="EM9:E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Carton Depth" prompt="Please enter Number" sqref="EN9:E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Carton Weight" prompt="Please enter Number" sqref="EO9:E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Carton Height" prompt="Please enter Number" sqref="EP9:E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Carton Width" prompt="Please enter Number" sqref="EQ9:E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Carton Depth" prompt="Please enter Number" sqref="ER9:E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Carton Weight" prompt="Please enter Number" sqref="ES9:E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Carton Height" prompt="Please enter Number" sqref="ET9:E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Carton Width" prompt="Please enter Number" sqref="EU9:E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Carton Depth" prompt="Please enter Number" sqref="EV9:E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Carton Weight" prompt="Please enter Number" sqref="EW9:E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Carton Height" prompt="Please enter Number" sqref="EX9:E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Carton Width" prompt="Please enter Number" sqref="EY9:E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Carton Depth" prompt="Please enter Number" sqref="EZ9:E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Carton Weight" prompt="Please enter Number" sqref="FA9:F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Carton Height" prompt="Please enter Number" sqref="FB9:F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Carton Width" prompt="Please enter Number" sqref="FC9:F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Carton Depth" prompt="Please enter Number" sqref="FD9:F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Carton Weight" prompt="Please enter Number" sqref="FE9:F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Carton Height" prompt="Please enter Number" sqref="FF9:F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Carton Width" prompt="Please enter Number" sqref="FG9:F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Carton Depth" prompt="Please enter Number" sqref="FH9:F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Carton Weight" prompt="Please enter Number" sqref="FI9:F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Carton Height" prompt="Please enter Number" sqref="FJ9:F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Carton Width" prompt="Please enter Number" sqref="FK9:F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Carton Depth" prompt="Please enter Number" sqref="FL9:F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Carton Weight" prompt="Please enter Number" sqref="FM9:F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Carton Height" prompt="Please enter Number" sqref="FN9:F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Carton Width" prompt="Please enter Number" sqref="FO9:F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Carton Depth" prompt="Please enter Number" sqref="FP9:F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Carton Weight" prompt="Please enter Number" sqref="FQ9:F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Carton Height" prompt="Please enter Number" sqref="FR9:F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Carton Width" prompt="Please enter Number" sqref="FS9:F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Carton Depth" prompt="Please enter Number" sqref="FT9:F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Carton Weight" prompt="Please enter Number" sqref="FU9:F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Carton Height" prompt="Please enter Number" sqref="FV9:F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Carton Width" prompt="Please enter Number" sqref="FW9:F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Carton Depth" prompt="Please enter Number" sqref="FX9:F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Carton Weight" prompt="Please enter Number" sqref="FY9:F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Carton Height" prompt="Please enter Number" sqref="FZ9:F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Carton Width" prompt="Please enter Number" sqref="GA9:G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Carton Depth" prompt="Please enter Number" sqref="GB9:G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Carton Weight" prompt="Please enter Number" sqref="GC9:G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Carton Height" prompt="Please enter Number" sqref="GD9:G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Carton Width" prompt="Please enter Number" sqref="GE9:G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Carton Depth" prompt="Please enter Number" sqref="GF9:G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Carton Weight" prompt="Please enter Number" sqref="GG9:G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Carton Height" prompt="Please enter Number" sqref="GH9:G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Carton Width" prompt="Please enter Number" sqref="GI9:G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Carton Depth" prompt="Please enter Number" sqref="GJ9:G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Carton Weight" prompt="Please enter Number" sqref="GK9:G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Carton Height" prompt="Please enter Number" sqref="GL9:G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Carton Width" prompt="Please enter Number" sqref="GM9:G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Carton Depth" prompt="Please enter Number" sqref="GN9:G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Carton Weight" prompt="Please enter Number" sqref="GO9:G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Carton Height" prompt="Please enter Number" sqref="GP9:G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Carton Width" prompt="Please enter Number" sqref="GQ9:G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Carton Depth" prompt="Please enter Number" sqref="GR9:G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Country of Origin" prompt="Please select a valid Country of Origin" sqref="GS9:GS2508">
      <formula1>allowed647_fp_S_class_3757</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allowed647_fp_S_class_3757</formula1>
    </dataValidation>
    <dataValidation type="list" allowBlank="1" showInputMessage="1" showErrorMessage="1" errorTitle="Invalid Warning Required" error="The value provided is not a valid Warning Required." promptTitle="Warning Required" prompt="Please select a valid Warning Required" sqref="GT9:GT2508">
      <formula1>allowed9041_fp_S_class_3757</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allowed9041_fp_S_class_3757</formula1>
    </dataValidation>
    <dataValidation type="list" allowBlank="1" showInputMessage="1" showErrorMessage="1" errorTitle="Invalid Chemical" error="The value provided is not a valid Chemical." promptTitle="Chemical" prompt="Please select a valid Chemical" sqref="GU9:GU2508">
      <formula1>allowed9042_fp_S_class_3757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allowed9042_fp_S_class_3757</formula1>
    </dataValidation>
    <dataValidation type="list" allowBlank="1" showInputMessage="1" showErrorMessage="1" errorTitle="Invalid Toxicity" error="The value provided is not a valid Toxicity." promptTitle="Toxicity" prompt="Please select a valid Toxicity" sqref="GV9:GV2508">
      <formula1>allowed9043_fp_S_class_3757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allowed9043_fp_S_class_3757</formula1>
    </dataValidation>
    <dataValidation type="list" allowBlank="1" showInputMessage="1" showErrorMessage="1" errorTitle="Invalid Chemical" error="The value provided is not a valid Chemical." promptTitle="Chemical" prompt="Please select a valid Chemical" sqref="GW9:GW2508">
      <formula1>allowed9042_fp_S_class_3757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allowed9042_fp_S_class_3757</formula1>
    </dataValidation>
    <dataValidation type="list" allowBlank="1" showInputMessage="1" showErrorMessage="1" errorTitle="Invalid Toxicity" error="The value provided is not a valid Toxicity." promptTitle="Toxicity" prompt="Please select a valid Toxicity" sqref="GX9:GX2508">
      <formula1>allowed9043_fp_S_class_3757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allowed9043_fp_S_class_3757</formula1>
    </dataValidation>
    <dataValidation type="list" allowBlank="1" showInputMessage="1" showErrorMessage="1" errorTitle="Invalid Chemical" error="The value provided is not a valid Chemical." promptTitle="Chemical" prompt="Please select a valid Chemical" sqref="GY9:GY2508">
      <formula1>allowed9042_fp_S_class_3757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allowed9042_fp_S_class_3757</formula1>
    </dataValidation>
    <dataValidation type="list" allowBlank="1" showInputMessage="1" showErrorMessage="1" errorTitle="Invalid Toxicity" error="The value provided is not a valid Toxicity." promptTitle="Toxicity" prompt="Please select a valid Toxicity" sqref="GZ9:GZ2508">
      <formula1>allowed9043_fp_S_class_3757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allowed9043_fp_S_class_3757</formula1>
    </dataValidation>
    <dataValidation type="list" allowBlank="1" showInputMessage="1" showErrorMessage="1" errorTitle="Invalid Chemical" error="The value provided is not a valid Chemical." promptTitle="Chemical" prompt="Please select a valid Chemical" sqref="HA9:HA2508">
      <formula1>allowed9042_fp_S_class_3757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allowed9042_fp_S_class_3757</formula1>
    </dataValidation>
    <dataValidation type="list" allowBlank="1" showInputMessage="1" showErrorMessage="1" errorTitle="Invalid Toxicity" error="The value provided is not a valid Toxicity." promptTitle="Toxicity" prompt="Please select a valid Toxicity" sqref="HB9:HB2508">
      <formula1>allowed9043_fp_S_class_3757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allowed9043_fp_S_class_3757</formula1>
    </dataValidation>
    <dataValidation type="list" allowBlank="1" showInputMessage="1" showErrorMessage="1" errorTitle="Invalid Chemical" error="The value provided is not a valid Chemical." promptTitle="Chemical" prompt="Please select a valid Chemical" sqref="HC9:HC2508">
      <formula1>allowed9042_fp_S_class_3757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allowed9042_fp_S_class_3757</formula1>
    </dataValidation>
    <dataValidation type="list" allowBlank="1" showInputMessage="1" showErrorMessage="1" errorTitle="Invalid Toxicity" error="The value provided is not a valid Toxicity." promptTitle="Toxicity" prompt="Please select a valid Toxicity" sqref="HD9:HD2508">
      <formula1>allowed9043_fp_S_class_3757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allowed9043_fp_S_class_3757</formula1>
    </dataValidation>
    <dataValidation type="textLength" operator="lessThanOrEqual" errorStyle="warning" showInputMessage="1" showErrorMessage="1" errorTitle="Invalid Text" error="The value provided is not a valid Text." promptTitle="Image File Name or URL" prompt="Please enter Text" sqref="HE9:HE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F9:HF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G9:HG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H9:HH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I9:HI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J9:HJ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K9:HK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L9:HL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M9:HM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N9:HN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O9:HO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P9:HP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Q9:HQ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R9:HR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S9:HS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T9:HT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U9:HU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V9:HV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W9:HW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X9:HX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Y9:HY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Z9:HZ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A9:IA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B9:IB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C9:IC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D9:ID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E9:IE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F9:IF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G9:IG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H9:IH2508">
      <formula1>32767</formula1>
    </dataValidation>
    <dataValidation type="textLength" operator="lessThanOrEqual" errorStyle="warning" showInputMessage="1" showErrorMessage="1" errorTitle="Invalid Text" error="The value provided is not a valid Text." promptTitle="Video File Name or URL" prompt="Please enter Text" sqref="II9:II2508">
      <formula1>32767</formula1>
    </dataValidation>
    <dataValidation type="textLength" operator="lessThanOrEqual" errorStyle="warning" showInputMessage="1" showErrorMessage="1" errorTitle="Invalid Text" error="The value provided is not a valid Text." promptTitle="Video File Name or URL" prompt="Please enter Text" sqref="IJ9:IJ2508">
      <formula1>32767</formula1>
    </dataValidation>
    <dataValidation type="textLength" operator="lessThanOrEqual" errorStyle="warning" showInputMessage="1" showErrorMessage="1" errorTitle="Invalid Text" error="The value provided is not a valid Text." promptTitle="Document File Name or URL" prompt="Please enter Text" sqref="IK9:IK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N9:IN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IO9:IO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R9:IR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IS9:IS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V9:IV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IW9:IW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Z9:IZ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JA9:JA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D9:JD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JE9:JE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H9:JH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JI9:JI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L9:JL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JM9:JM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P9:JP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JQ9:JQ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T9:JT2508">
      <formula1>allowed9066_fp_S_class_3757</formula1>
    </dataValidation>
    <dataValidation type="textLength" operator="lessThanOrEqual" errorStyle="warning" showInputMessage="1" showErrorMessage="1" errorTitle="Invalid Text" error="The value provided is not a valid Text." promptTitle="Document File Name or URL" prompt="Please enter Text" sqref="JU9:JU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X9:JX2508">
      <formula1>allowed9066_fp_S_class_3757</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JY9:JY2508">
      <formula1>allowed6109_fp_S_class_3757</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allowed6109_fp_S_class_3757</formula1>
    </dataValidation>
    <dataValidation type="list" errorStyle="warning" allowBlank="1" showInputMessage="1" showErrorMessage="1" errorTitle="Invalid Surface Type" error="The value provided is not a valid Surface Type. Would you like to provide a custom answer?" promptTitle="Surface Type" prompt="Please select a valid Surface Type" sqref="KA9:KA2508">
      <formula1>allowed1217_fp_S_class_3757</formula1>
    </dataValidation>
    <dataValidation type="list" errorStyle="warning" allowBlank="1" showInputMessage="1" showErrorMessage="1" errorTitle="Invalid Surface Type" error="The value provided is not a valid Surface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KA8">
      <formula1>allowed1217_fp_S_class_3757</formula1>
    </dataValidation>
    <dataValidation type="list" allowBlank="1" showInputMessage="1" showErrorMessage="1" errorTitle="Invalid Personalization or Monog" error="The value provided is not a valid Personalization or Monogramming." promptTitle="Personalization or Monogramming" prompt="Please select a valid Personalization or Monogramming" sqref="KD9:KD2508">
      <formula1>allowed2389_fp_S_class_3757</formula1>
    </dataValidation>
    <dataValidation type="list" allowBlank="1" showInputMessage="1" showErrorMessage="1" errorTitle="Invalid Personalization or Monog" error="The value provided is not a valid Personalization or Monogramming." promptTitle="" prompt="If all products in this class consistently have the same answer, you can set a default value to apply automatically. For any exceptions, you can modify the answer for specific products without changing the default." sqref="KD8">
      <formula1>allowed2389_fp_S_class_3757</formula1>
    </dataValidation>
    <dataValidation type="list" allowBlank="1" showInputMessage="1" showErrorMessage="1" errorTitle="Invalid Holiday / Occasion" error="The value provided is not a valid Holiday / Occasion." promptTitle="Holiday / Occasion" prompt="Please select a valid Holiday / Occasion" sqref="KF9:KF2508">
      <formula1>allowed137_fp_S_class_3757</formula1>
    </dataValidation>
    <dataValidation type="list" allowBlank="1" showInputMessage="1" showErrorMessage="1" errorTitle="Invalid Holiday / Occasion" error="The value provided is not a valid Holiday / Occasion." promptTitle="" prompt="If all products in this class consistently have the same answer, you can set a default value to apply automatically. For any exceptions, you can modify the answer for specific products without changing the default." sqref="KF8">
      <formula1>allowed137_fp_S_class_3757</formula1>
    </dataValidation>
    <dataValidation type="list" allowBlank="1" showInputMessage="1" showErrorMessage="1" errorTitle="Invalid BPA Free" error="The value provided is not a valid BPA Free." promptTitle="BPA Free" prompt="Please select a valid BPA Free" sqref="KH9:KH2508">
      <formula1>allowed807_fp_S_class_3757</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H8">
      <formula1>allowed807_fp_S_class_3757</formula1>
    </dataValidation>
    <dataValidation type="list" errorStyle="warning" allowBlank="1" showInputMessage="1" showErrorMessage="1" errorTitle="Invalid Licensed Product Categor" error="The value provided is not a valid Licensed Product Category. Would you like to provide a custom answer?" promptTitle="Licensed Product Category" prompt="Please select a valid Licensed Product Category" sqref="KI9:KI2508">
      <formula1>allowed1379_fp_S_class_3757</formula1>
    </dataValidation>
    <dataValidation type="list" errorStyle="warning" allowBlank="1" showInputMessage="1" showErrorMessage="1" errorTitle="Invalid Licensed Product Categor" error="The value provided is not a valid Licensed Product Category. Would you like to provide a custom answer?" promptTitle="" prompt="If all products in this class consistently have the same answer, you can set a default value to apply automatically. For any exceptions, you can modify the answer for specific products without changing the default." sqref="KI8">
      <formula1>allowed1379_fp_S_class_3757</formula1>
    </dataValidation>
    <dataValidation type="textLength" operator="lessThanOrEqual" errorStyle="warning" showInputMessage="1" showErrorMessage="1" errorTitle="Invalid Whole Number" error="The value provided is not a valid Whole Number." promptTitle="Total Number of Pieces Included" prompt="Please enter Whole Number" sqref="KM9:KM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M8">
      <formula1>32767</formula1>
    </dataValidation>
    <dataValidation type="textLength" operator="lessThanOrEqual" errorStyle="warning" showInputMessage="1" showErrorMessage="1" errorTitle="Invalid Number" error="The value provided is not a valid Number." promptTitle="Overall Height - Top to Bottom" prompt="Please enter Number" sqref="KR9:K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R8">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KS9:K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S8">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KT9:K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list" allowBlank="1" showInputMessage="1" showErrorMessage="1" errorTitle="Invalid Commercial Warranty" error="The value provided is not a valid Commercial Warranty." promptTitle="Commercial Warranty" prompt="Please select a valid Commercial Warranty" sqref="KU9:KU2508">
      <formula1>allowed28_fp_S_class_3757</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U8">
      <formula1>allowed28_fp_S_class_3757</formula1>
    </dataValidation>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KV9:KV2508">
      <formula1>allowed135_fp_S_class_3757</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V8">
      <formula1>allowed135_fp_S_class_3757</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Wayfair Compliance Vetting Progr" prompt="Please select a valid Wayfair Compliance Vetting Program (including Baby Safety Alliance fka JPMA) for this product category" sqref="KW9:KW2508">
      <formula1>allowed256_fp_S_class_3757</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W8">
      <formula1>allowed256_fp_S_class_3757</formula1>
    </dataValidation>
    <dataValidation type="list" allowBlank="1" showInputMessage="1" showErrorMessage="1" errorTitle="Invalid Uniform Packaging and La" error="The value provided is not a valid Uniform Packaging and Labeling Regulations (UPLR) Compliant." promptTitle="Uniform Packaging and Labeling R" prompt="Please select a valid Uniform Packaging and Labeling Regulations (UPLR) Compliant" sqref="KX9:KX2508">
      <formula1>allowed31_fp_S_class_3757</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KX8">
      <formula1>allowed31_fp_S_class_3757</formula1>
    </dataValidation>
    <dataValidation type="list" allowBlank="1" showInputMessage="1" showErrorMessage="1" errorTitle="Invalid Canada Product Restricti" error="The value provided is not a valid Canada Product Restriction." promptTitle="Canada Product Restriction" prompt="Please select a valid Canada Product Restriction" sqref="KY9:KY2508">
      <formula1>allowed117_fp_S_class_3757</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KY8">
      <formula1>allowed117_fp_S_class_3757</formula1>
    </dataValidation>
    <dataValidation type="list" allowBlank="1" showInputMessage="1" showErrorMessage="1" errorTitle="Invalid ISTA Certified" error="The value provided is not a valid ISTA Certified." promptTitle="ISTA Certified" prompt="Please select a valid ISTA Certified" sqref="KZ9:KZ2508">
      <formula1>allowed8205_fp_S_class_3757</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KZ8">
      <formula1>allowed8205_fp_S_class_3757</formula1>
    </dataValidation>
    <dataValidation type="list" allowBlank="1" showInputMessage="1" showErrorMessage="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sqref="LA9:LA2508">
      <formula1>allowed8462_fp_S_class_3757</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A8">
      <formula1>allowed8462_fp_S_class_3757</formula1>
    </dataValidation>
  </dataValidations>
  <hyperlinks>
    <hyperlink ref="F7" location="#vvh_9007_fp_S_class_3757" display="Select"/>
    <hyperlink ref="H7" location="#vvh_9009_fp_S_class_3757" display="Select"/>
    <hyperlink ref="J7" location="#vvh_9011_fp_S_class_3757" display="Select"/>
    <hyperlink ref="L7" location="#vvh_9011_fp_S_class_3757" display="Select"/>
    <hyperlink ref="N7" location="#vvh_9011_fp_S_class_3757" display="Select"/>
    <hyperlink ref="AH7" location="#vvh_9030_fp_S_class_3757" display="Select"/>
    <hyperlink ref="AI7" location="#vvh_9031_fp_S_class_3757" display="Select"/>
    <hyperlink ref="AJ7" location="#vvh_9032_fp_S_class_3757" display="Select"/>
    <hyperlink ref="AK7" location="#vvh_9033_fp_S_class_3757" display="Select"/>
    <hyperlink ref="GS7" location="#vvh_647_fp_S_class_3757" display="Select"/>
    <hyperlink ref="GU7" location="#vvh_9042_fp_S_class_3757" display="Select"/>
    <hyperlink ref="GV7" location="#vvh_9043_fp_S_class_3757" display="Select"/>
    <hyperlink ref="GW7" location="#vvh_9042_fp_S_class_3757" display="Select"/>
    <hyperlink ref="GX7" location="#vvh_9043_fp_S_class_3757" display="Select"/>
    <hyperlink ref="GY7" location="#vvh_9042_fp_S_class_3757" display="Select"/>
    <hyperlink ref="GZ7" location="#vvh_9043_fp_S_class_3757" display="Select"/>
    <hyperlink ref="HA7" location="#vvh_9042_fp_S_class_3757" display="Select"/>
    <hyperlink ref="HB7" location="#vvh_9043_fp_S_class_3757" display="Select"/>
    <hyperlink ref="HC7" location="#vvh_9042_fp_S_class_3757" display="Select"/>
    <hyperlink ref="HD7" location="#vvh_9043_fp_S_class_3757" display="Select"/>
    <hyperlink ref="IL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M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N7" location="#vvh_9066_fp_S_class_3757" display="Select"/>
    <hyperlink ref="IP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Q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R7" location="#vvh_9066_fp_S_class_3757" display="Select"/>
    <hyperlink ref="IT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U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V7" location="#vvh_9066_fp_S_class_3757" display="Select"/>
    <hyperlink ref="IX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Y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Z7" location="#vvh_9066_fp_S_class_3757" display="Select"/>
    <hyperlink ref="JB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C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D7" location="#vvh_9066_fp_S_class_3757" display="Select"/>
    <hyperlink ref="JF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G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H7" location="#vvh_9066_fp_S_class_3757" display="Select"/>
    <hyperlink ref="JJ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K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L7" location="#vvh_9066_fp_S_class_3757" display="Select"/>
    <hyperlink ref="JN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O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P7" location="#vvh_9066_fp_S_class_3757" display="Select"/>
    <hyperlink ref="JR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S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T7" location="#vvh_9066_fp_S_class_3757" display="Select"/>
    <hyperlink ref="JV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W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X7" location="#vvh_9066_fp_S_class_3757" display="Select"/>
    <hyperlink ref="JY7" location="#vvh_6109_fp_S_class_3757" display="Select"/>
    <hyperlink ref="JZ7" location="#vvh_1966_fp_S_class_3757" display="Please choose one or more from the following, using a semicolon (;) to separate each value: Animals; Astrology &amp; Stars; Scenic &amp; Cityscapes; Food &amp; Beverage; Insects; Patriotic; Entertainment; Plants &amp; Flowers; Religious &amp; Spiritual; Nautical &amp; Beach; Abstract; Sports; People; Geography; Fantasy &amp; Sci-Fi; Landscape &amp; Nature; Text &amp; Numbers; Furniture; Novelty &amp; Humor; STEM; Fashion; Buildings &amp; Architecture; Transportation; Bath &amp; Laundry; History &amp; Language; Cities &amp; Countries; Disney/Pixar; No Subject; Education; Birds; U.S. States &amp; Territories; Unavailable"/>
    <hyperlink ref="KA7" location="#vvh_1217_fp_S_class_3757" display="Select"/>
    <hyperlink ref="KB7" location="#vvh_2385_fp_S_class_3757" display="Please choose one or more from the following, using a semicolon (;) to separate each value: Fabric; Vinyl; Canvas; Paper; Plastic; PVC; Polycarbonate (PC); Polyethylene Plastic; Glass; Stainless Steel; Polypropylene; Aluminum; Acrylic; Foam; Cardboard / Paper; Gel; Cardboard; Leather; Ceramic; Copper; Faux Leather; Iron; Leather / Faux Leather; Medium Density Fiberboard (MDF); Nylon; Plastic / Acrylic; Polyester; Polymer; Polyvinyl Chloride (PVC); Polyurethane; Porcelain; Polyurethane (PU); Rubber; Recycled P.E.T; Sponge; Synthetic; Steel; Solid Wood; MDF; Particle Board / Chipboard; Plywood / Laminate Board; Paper / Printed Veneer; Real Wood Veneer"/>
    <hyperlink ref="KC7" location="#vvh_3538_fp_S_class_3757" display="Please choose one or more from the following, using a semicolon (;) to separate each value: Multi-Surface; Flat Surface; Textured Wall; Brick Wall; Cement Wall; Solid Wood; Glass Wall; Stainless Steel; Existing Tile; Chalkboard; Appliance; Mirror; Wallpaper; Painted Gypsum; Acrylic Panel; Orange Peel Wall; Gypsum Wall; Laminate; Plywood Wall; Drywall; Stucco Wall; Ceramic Tile Wall; Concrete; Stone Wall; Medium Density Fiberboard; Unavailable"/>
    <hyperlink ref="KE7" location="#vvh_1560_fp_S_class_3757" display="Please choose one or more from the following, using a semicolon (;) to separate each value: Bathroom; Kitchen; Bedroom; Living Room; Laundry Room; Nursery; Dining Room; Pantry; Home Office; Game Room; Foyer; Playroom; Patio; Closet; Restaurant Dining Room; Basement; Garage/Shop; Commercial Office; Backyard; Mudroom/Deck; School Classroom; Hotel Room; Lobby/Reception; Hallway; Studio; Art School; Commercial Kitchen; Does Not Apply; Unavailable"/>
    <hyperlink ref="KF7" location="#vvh_137_fp_S_class_3757" display="Select"/>
    <hyperlink ref="KG7" location="#vvh_95_fp_S_class_3757" display="Please choose one or more from the following, using a semicolon (;) to separate each value: Made in USA; Made in USA of Imported Materials; Product of Canada; Made In Canada; Does Not Apply"/>
    <hyperlink ref="KI7" location="#vvh_1379_fp_S_class_3757" display="Select"/>
    <hyperlink ref="KJ7" location="#vvh_1437_fp_S_class_3757" display="Please choose one or more from the following, using a semicolon (;) to separate each value: Mold / Mildew Resistant; Water Resistant; No Durability Features; Fade Resistant; Heat Resistant; Stain Resistant; Tip Resistant; Waterproof; Shatter Resistant; Weather Resistant; Rust Resistant; Anodic Protection; Predator Resistant; Drill Resistant; Condensation Free; Antimicrobial; Pry Resistant; Fray Resistant; Non-Staining"/>
    <hyperlink ref="KK7" location="#vvh_1567_fp_S_class_3757" display="Please choose one or more from the following, using a semicolon (;) to separate each value: Removable; Retractable; Reversible; Configurable / Modular; Trimmable; Rotating; Lift Assist; Double Sided; Glider; Adjustable; Stackable; No Adjustability Features; Does Not Apply; Unavailable"/>
    <hyperlink ref="KL7" location="#vvh_1316_fp_S_class_3757" display="Please choose one or more from the following, using a semicolon (;) to separate each value: Blue; Black; Brown; White; Green; Gray; Red; Beige; Yellow; Pink; Orange; Purple; Silver; Gold; Clear; Cream; Ivory; Tan; Teal; Navy"/>
    <hyperlink ref="KN7" location="#vvh_6253_fp_S_class_3757" display="Please choose one or more from the following, using a semicolon (;) to separate each value: Handle(s); Paste; Does Not Apply; Unavailable"/>
    <hyperlink ref="KO7" location="#vvh_1388_fp_S_class_3757" display="Please choose one or more from the following, using a semicolon (;) to separate each value: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hyperlink ref="KP7" location="#vvh_8653_fp_S_class_3757" display="Please choose one or more from the following, using a semicolon (;) to separate each value: Breathable; Dual Sided; Animated; Double Sided; Non-Wall Damaging; Reusable; Vintage; Window Clinging; No General Features"/>
    <hyperlink ref="KQ7" location="#vvh_1557_fp_S_class_3757" display="Please choose one or more from the following, using a semicolon (;) to separate each value: Newborn (Birth - 6 months old); Infant (6 - 12 Months); Toddler (1 - 3 Years); Pre-school (3 - 5 Years); Youth (5 - 8 Years); Pre-teen (9 - 12 Years); Teen (13+); Adult (18+); All Ages; Adult; Baby; Kid; Teen; Toddler"/>
    <hyperlink ref="KV7" location="#vvh_135_fp_S_class_3757" display="Select"/>
    <hyperlink ref="KW7" location="#vvh_256_fp_S_class_3757" display="Select"/>
    <hyperlink ref="KX7" location="#vvh_31_fp_S_class_3757" display="Select"/>
    <hyperlink ref="KZ7" location="#vvh_8205_fp_S_class_3757"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sheetPr>
    <outlinePr summaryRight="0"/>
  </sheetPr>
  <dimension ref="A1:LA9"/>
  <sheetViews>
    <sheetView workbookViewId="0">
      <pane xSplit="2" topLeftCell="C1" activePane="topRight" state="frozen"/>
      <selection pane="topRight"/>
    </sheetView>
  </sheetViews>
  <sheetFormatPr defaultRowHeight="15" outlineLevelCol="7"/>
  <cols>
    <col min="1" max="1" width="35.7109375" customWidth="1"/>
    <col min="2" max="2" width="25.7109375" style="22" customWidth="1"/>
    <col min="3" max="3" width="29.7109375" style="22" customWidth="1"/>
    <col min="4" max="4" width="27.7109375" style="22" customWidth="1"/>
    <col min="5" max="5" width="17.7109375" style="22" customWidth="1"/>
    <col min="6" max="6" width="10.7109375" style="22" customWidth="1"/>
    <col min="7" max="7" width="20.7109375" style="22" customWidth="1"/>
    <col min="8" max="8" width="17.7109375" style="22" customWidth="1"/>
    <col min="9" max="10" width="23.7109375" style="22" customWidth="1"/>
    <col min="11" max="11" width="37.7109375" style="22" customWidth="1" collapsed="1"/>
    <col min="12" max="12" width="23.7109375" style="22" hidden="1" customWidth="1" outlineLevel="1"/>
    <col min="13" max="13" width="37.7109375" style="22" hidden="1" customWidth="1" outlineLevel="1"/>
    <col min="14" max="14" width="23.7109375" style="22" hidden="1" customWidth="1" outlineLevel="1"/>
    <col min="15" max="15" width="37.7109375" style="22" hidden="1" customWidth="1" outlineLevel="1"/>
    <col min="16" max="16" width="14.7109375" style="22" customWidth="1"/>
    <col min="17" max="17" width="31.7109375" style="22" customWidth="1"/>
    <col min="18" max="18" width="29.7109375" style="22" customWidth="1"/>
    <col min="19" max="19" width="40.7109375" style="22" customWidth="1"/>
    <col min="20" max="20" width="19.7109375" style="22" customWidth="1"/>
    <col min="21" max="22" width="21.7109375" style="22" customWidth="1"/>
    <col min="23" max="23" width="21.7109375" style="22" customWidth="1" collapsed="1"/>
    <col min="24" max="27" width="21.7109375" style="22" hidden="1" customWidth="1" outlineLevel="1"/>
    <col min="28" max="28" width="21.7109375" style="22" hidden="1" customWidth="1" outlineLevel="1" collapsed="1"/>
    <col min="29" max="29" width="22.7109375" style="22" customWidth="1"/>
    <col min="30" max="30" width="27.7109375" style="22" customWidth="1"/>
    <col min="31" max="31" width="30.7109375" style="22" customWidth="1"/>
    <col min="32" max="32" width="25.7109375" style="22" customWidth="1"/>
    <col min="33" max="33" width="19.7109375" style="22" customWidth="1"/>
    <col min="34" max="34" width="14.7109375" style="22" customWidth="1"/>
    <col min="35" max="35" width="18.7109375" style="22" customWidth="1"/>
    <col min="36" max="36" width="14.7109375" style="22" customWidth="1"/>
    <col min="37" max="37" width="26.7109375" style="22" customWidth="1"/>
    <col min="38" max="38" width="33.7109375" style="22" customWidth="1"/>
    <col min="39" max="39" width="14.7109375" style="22" customWidth="1"/>
    <col min="40" max="42" width="20.7109375" style="22" customWidth="1"/>
    <col min="43" max="44" width="19.7109375" style="22" customWidth="1"/>
    <col min="45" max="46" width="20.7109375" style="22" customWidth="1"/>
    <col min="47" max="48" width="19.7109375" style="22" customWidth="1"/>
    <col min="49" max="50" width="20.7109375" style="22" customWidth="1"/>
    <col min="51" max="51" width="19.7109375" style="22" customWidth="1"/>
    <col min="52" max="52" width="19.7109375" style="22" customWidth="1" collapsed="1"/>
    <col min="53" max="54" width="20.7109375" style="22" hidden="1" customWidth="1" outlineLevel="1"/>
    <col min="55" max="56" width="19.7109375" style="22" hidden="1" customWidth="1" outlineLevel="1"/>
    <col min="57" max="58" width="20.7109375" style="22" hidden="1" customWidth="1" outlineLevel="1"/>
    <col min="59" max="60" width="19.7109375" style="22" hidden="1" customWidth="1" outlineLevel="1"/>
    <col min="61" max="62" width="20.7109375" style="22" hidden="1" customWidth="1" outlineLevel="1"/>
    <col min="63" max="64" width="19.7109375" style="22" hidden="1" customWidth="1" outlineLevel="1"/>
    <col min="65" max="66" width="20.7109375" style="22" hidden="1" customWidth="1" outlineLevel="1"/>
    <col min="67" max="68" width="19.7109375" style="22" hidden="1" customWidth="1" outlineLevel="1"/>
    <col min="69" max="70" width="20.7109375" style="22" hidden="1" customWidth="1" outlineLevel="1"/>
    <col min="71" max="71" width="19.7109375" style="22" hidden="1" customWidth="1" outlineLevel="1"/>
    <col min="72" max="72" width="19.7109375" style="22" hidden="1" customWidth="1" outlineLevel="1" collapsed="1"/>
    <col min="73" max="74" width="20.7109375" style="22" hidden="1" customWidth="1" outlineLevel="2"/>
    <col min="75" max="76" width="19.7109375" style="22" hidden="1" customWidth="1" outlineLevel="2"/>
    <col min="77" max="78" width="21.7109375" style="22" hidden="1" customWidth="1" outlineLevel="2"/>
    <col min="79" max="80" width="20.7109375" style="22" hidden="1" customWidth="1" outlineLevel="2"/>
    <col min="81" max="82" width="21.7109375" style="22" hidden="1" customWidth="1" outlineLevel="2"/>
    <col min="83" max="84" width="20.7109375" style="22" hidden="1" customWidth="1" outlineLevel="2"/>
    <col min="85" max="86" width="21.7109375" style="22" hidden="1" customWidth="1" outlineLevel="2"/>
    <col min="87" max="88" width="20.7109375" style="22" hidden="1" customWidth="1" outlineLevel="2"/>
    <col min="89" max="90" width="21.7109375" style="22" hidden="1" customWidth="1" outlineLevel="2"/>
    <col min="91" max="91" width="20.7109375" style="22" hidden="1" customWidth="1" outlineLevel="2"/>
    <col min="92" max="92" width="20.7109375" style="22" hidden="1" customWidth="1" outlineLevel="2" collapsed="1"/>
    <col min="93" max="94" width="21.7109375" style="22" hidden="1" customWidth="1" outlineLevel="3"/>
    <col min="95" max="96" width="20.7109375" style="22" hidden="1" customWidth="1" outlineLevel="3"/>
    <col min="97" max="98" width="21.7109375" style="22" hidden="1" customWidth="1" outlineLevel="3"/>
    <col min="99" max="100" width="20.7109375" style="22" hidden="1" customWidth="1" outlineLevel="3"/>
    <col min="101" max="102" width="21.7109375" style="22" hidden="1" customWidth="1" outlineLevel="3"/>
    <col min="103" max="104" width="20.7109375" style="22" hidden="1" customWidth="1" outlineLevel="3"/>
    <col min="105" max="106" width="21.7109375" style="22" hidden="1" customWidth="1" outlineLevel="3"/>
    <col min="107" max="108" width="20.7109375" style="22" hidden="1" customWidth="1" outlineLevel="3"/>
    <col min="109" max="110" width="21.7109375" style="22" hidden="1" customWidth="1" outlineLevel="3"/>
    <col min="111" max="111" width="20.7109375" style="22" hidden="1" customWidth="1" outlineLevel="3"/>
    <col min="112" max="112" width="20.7109375" style="22" hidden="1" customWidth="1" outlineLevel="3" collapsed="1"/>
    <col min="113" max="114" width="21.7109375" style="22" hidden="1" customWidth="1" outlineLevel="4"/>
    <col min="115" max="116" width="20.7109375" style="22" hidden="1" customWidth="1" outlineLevel="4"/>
    <col min="117" max="118" width="21.7109375" style="22" hidden="1" customWidth="1" outlineLevel="4"/>
    <col min="119" max="120" width="20.7109375" style="22" hidden="1" customWidth="1" outlineLevel="4"/>
    <col min="121" max="122" width="21.7109375" style="22" hidden="1" customWidth="1" outlineLevel="4"/>
    <col min="123" max="124" width="20.7109375" style="22" hidden="1" customWidth="1" outlineLevel="4"/>
    <col min="125" max="126" width="21.7109375" style="22" hidden="1" customWidth="1" outlineLevel="4"/>
    <col min="127" max="128" width="20.7109375" style="22" hidden="1" customWidth="1" outlineLevel="4"/>
    <col min="129" max="130" width="21.7109375" style="22" hidden="1" customWidth="1" outlineLevel="4"/>
    <col min="131" max="131" width="20.7109375" style="22" hidden="1" customWidth="1" outlineLevel="4"/>
    <col min="132" max="132" width="20.7109375" style="22" hidden="1" customWidth="1" outlineLevel="4" collapsed="1"/>
    <col min="133" max="134" width="21.7109375" style="22" hidden="1" customWidth="1" outlineLevel="5"/>
    <col min="135" max="136" width="20.7109375" style="22" hidden="1" customWidth="1" outlineLevel="5"/>
    <col min="137" max="138" width="21.7109375" style="22" hidden="1" customWidth="1" outlineLevel="5"/>
    <col min="139" max="140" width="20.7109375" style="22" hidden="1" customWidth="1" outlineLevel="5"/>
    <col min="141" max="142" width="21.7109375" style="22" hidden="1" customWidth="1" outlineLevel="5"/>
    <col min="143" max="144" width="20.7109375" style="22" hidden="1" customWidth="1" outlineLevel="5"/>
    <col min="145" max="146" width="21.7109375" style="22" hidden="1" customWidth="1" outlineLevel="5"/>
    <col min="147" max="148" width="20.7109375" style="22" hidden="1" customWidth="1" outlineLevel="5"/>
    <col min="149" max="150" width="21.7109375" style="22" hidden="1" customWidth="1" outlineLevel="5"/>
    <col min="151" max="151" width="20.7109375" style="22" hidden="1" customWidth="1" outlineLevel="5"/>
    <col min="152" max="152" width="20.7109375" style="22" hidden="1" customWidth="1" outlineLevel="5" collapsed="1"/>
    <col min="153" max="154" width="21.7109375" style="22" hidden="1" customWidth="1" outlineLevel="6"/>
    <col min="155" max="156" width="20.7109375" style="22" hidden="1" customWidth="1" outlineLevel="6"/>
    <col min="157" max="158" width="21.7109375" style="22" hidden="1" customWidth="1" outlineLevel="6"/>
    <col min="159" max="160" width="20.7109375" style="22" hidden="1" customWidth="1" outlineLevel="6"/>
    <col min="161" max="162" width="21.7109375" style="22" hidden="1" customWidth="1" outlineLevel="6"/>
    <col min="163" max="164" width="20.7109375" style="22" hidden="1" customWidth="1" outlineLevel="6"/>
    <col min="165" max="166" width="21.7109375" style="22" hidden="1" customWidth="1" outlineLevel="6"/>
    <col min="167" max="168" width="20.7109375" style="22" hidden="1" customWidth="1" outlineLevel="6"/>
    <col min="169" max="170" width="21.7109375" style="22" hidden="1" customWidth="1" outlineLevel="6"/>
    <col min="171" max="171" width="20.7109375" style="22" hidden="1" customWidth="1" outlineLevel="6"/>
    <col min="172" max="172" width="20.7109375" style="22" hidden="1" customWidth="1" outlineLevel="6" collapsed="1"/>
    <col min="173" max="174" width="21.7109375" style="22" hidden="1" customWidth="1" outlineLevel="7"/>
    <col min="175" max="176" width="20.7109375" style="22" hidden="1" customWidth="1" outlineLevel="7"/>
    <col min="177" max="178" width="21.7109375" style="22" hidden="1" customWidth="1" outlineLevel="7"/>
    <col min="179" max="180" width="20.7109375" style="22" hidden="1" customWidth="1" outlineLevel="7"/>
    <col min="181" max="182" width="21.7109375" style="22" hidden="1" customWidth="1" outlineLevel="7"/>
    <col min="183" max="184" width="20.7109375" style="22" hidden="1" customWidth="1" outlineLevel="7"/>
    <col min="185" max="186" width="21.7109375" style="22" hidden="1" customWidth="1" outlineLevel="7"/>
    <col min="187" max="188" width="20.7109375" style="22" hidden="1" customWidth="1" outlineLevel="7"/>
    <col min="189" max="190" width="21.7109375" style="22" hidden="1" customWidth="1" outlineLevel="7"/>
    <col min="191" max="191" width="20.7109375" style="22" hidden="1" customWidth="1" outlineLevel="7"/>
    <col min="192" max="192" width="20.7109375" style="22" hidden="1" customWidth="1" outlineLevel="7" collapsed="1"/>
    <col min="193" max="194" width="21.7109375" style="22" hidden="1" customWidth="1" outlineLevel="7"/>
    <col min="195" max="196" width="20.7109375" style="22" hidden="1" customWidth="1" outlineLevel="7"/>
    <col min="197" max="198" width="21.7109375" style="22" hidden="1" customWidth="1" outlineLevel="7"/>
    <col min="199" max="200" width="20.7109375" style="22" hidden="1" customWidth="1" outlineLevel="7"/>
    <col min="201" max="201" width="22.7109375" style="22" customWidth="1"/>
    <col min="202" max="202" width="21.7109375" style="22" customWidth="1"/>
    <col min="203" max="203" width="15.7109375" style="22" customWidth="1"/>
    <col min="204" max="204" width="15.7109375" style="22" customWidth="1" collapsed="1"/>
    <col min="205" max="212" width="15.7109375" style="22" hidden="1" customWidth="1" outlineLevel="1"/>
    <col min="213" max="217" width="29.7109375" style="22" customWidth="1"/>
    <col min="218" max="218" width="29.7109375" style="22" customWidth="1" collapsed="1"/>
    <col min="219" max="221" width="29.7109375" style="22" hidden="1" customWidth="1" outlineLevel="1"/>
    <col min="222" max="222" width="30.7109375" style="22" hidden="1" customWidth="1" outlineLevel="1"/>
    <col min="223" max="223" width="30.7109375" style="22" hidden="1" customWidth="1" outlineLevel="1" collapsed="1"/>
    <col min="224" max="227" width="30.7109375" style="22" hidden="1" customWidth="1" outlineLevel="2"/>
    <col min="228" max="228" width="30.7109375" style="22" hidden="1" customWidth="1" outlineLevel="2" collapsed="1"/>
    <col min="229" max="232" width="30.7109375" style="22" hidden="1" customWidth="1" outlineLevel="3"/>
    <col min="233" max="233" width="30.7109375" style="22" hidden="1" customWidth="1" outlineLevel="3" collapsed="1"/>
    <col min="234" max="237" width="30.7109375" style="22" hidden="1" customWidth="1" outlineLevel="4"/>
    <col min="238" max="238" width="30.7109375" style="22" hidden="1" customWidth="1" outlineLevel="4" collapsed="1"/>
    <col min="239" max="242" width="30.7109375" style="22" hidden="1" customWidth="1" outlineLevel="5"/>
    <col min="243" max="243" width="29.7109375" style="22" customWidth="1" collapsed="1"/>
    <col min="244" max="244" width="29.7109375" style="22" hidden="1" customWidth="1" outlineLevel="1"/>
    <col min="245" max="245" width="32.7109375" style="22" customWidth="1"/>
    <col min="246" max="246" width="20.7109375" style="22" customWidth="1"/>
    <col min="247" max="247" width="26.7109375" style="22" customWidth="1"/>
    <col min="248" max="248" width="22.7109375" style="22" customWidth="1" collapsed="1"/>
    <col min="249" max="249" width="32.7109375" style="22" hidden="1" customWidth="1" outlineLevel="1"/>
    <col min="250" max="250" width="20.7109375" style="22" hidden="1" customWidth="1" outlineLevel="1"/>
    <col min="251" max="251" width="26.7109375" style="22" hidden="1" customWidth="1" outlineLevel="1"/>
    <col min="252" max="252" width="22.7109375" style="22" hidden="1" customWidth="1" outlineLevel="1"/>
    <col min="253" max="253" width="32.7109375" style="22" hidden="1" customWidth="1" outlineLevel="1"/>
    <col min="254" max="254" width="20.7109375" style="22" hidden="1" customWidth="1" outlineLevel="1"/>
    <col min="255" max="255" width="26.7109375" style="22" hidden="1" customWidth="1" outlineLevel="1"/>
    <col min="256" max="256" width="22.7109375" style="22" hidden="1" customWidth="1" outlineLevel="1"/>
    <col min="257" max="257" width="32.7109375" style="22" hidden="1" customWidth="1" outlineLevel="1"/>
    <col min="258" max="258" width="20.7109375" style="22" hidden="1" customWidth="1" outlineLevel="1"/>
    <col min="259" max="259" width="26.7109375" style="22" hidden="1" customWidth="1" outlineLevel="1"/>
    <col min="260" max="260" width="22.7109375" style="22" hidden="1" customWidth="1" outlineLevel="1"/>
    <col min="261" max="261" width="32.7109375" style="22" hidden="1" customWidth="1" outlineLevel="1"/>
    <col min="262" max="262" width="20.7109375" style="22" hidden="1" customWidth="1" outlineLevel="1"/>
    <col min="263" max="263" width="26.7109375" style="22" hidden="1" customWidth="1" outlineLevel="1"/>
    <col min="264" max="264" width="22.7109375" style="22" hidden="1" customWidth="1" outlineLevel="1"/>
    <col min="265" max="265" width="32.7109375" style="22" hidden="1" customWidth="1" outlineLevel="1"/>
    <col min="266" max="266" width="20.7109375" style="22" hidden="1" customWidth="1" outlineLevel="1"/>
    <col min="267" max="267" width="26.7109375" style="22" hidden="1" customWidth="1" outlineLevel="1"/>
    <col min="268" max="268" width="22.7109375" style="22" hidden="1" customWidth="1" outlineLevel="1" collapsed="1"/>
    <col min="269" max="269" width="32.7109375" style="22" hidden="1" customWidth="1" outlineLevel="2"/>
    <col min="270" max="270" width="20.7109375" style="22" hidden="1" customWidth="1" outlineLevel="2"/>
    <col min="271" max="271" width="26.7109375" style="22" hidden="1" customWidth="1" outlineLevel="2"/>
    <col min="272" max="272" width="22.7109375" style="22" hidden="1" customWidth="1" outlineLevel="2"/>
    <col min="273" max="273" width="32.7109375" style="22" hidden="1" customWidth="1" outlineLevel="2"/>
    <col min="274" max="274" width="20.7109375" style="22" hidden="1" customWidth="1" outlineLevel="2"/>
    <col min="275" max="275" width="26.7109375" style="22" hidden="1" customWidth="1" outlineLevel="2"/>
    <col min="276" max="276" width="22.7109375" style="22" hidden="1" customWidth="1" outlineLevel="2"/>
    <col min="277" max="277" width="32.7109375" style="22" hidden="1" customWidth="1" outlineLevel="2"/>
    <col min="278" max="278" width="20.7109375" style="22" hidden="1" customWidth="1" outlineLevel="2"/>
    <col min="279" max="279" width="26.7109375" style="22" hidden="1" customWidth="1" outlineLevel="2"/>
    <col min="280" max="280" width="22.7109375" style="22" hidden="1" customWidth="1" outlineLevel="2"/>
    <col min="281" max="281" width="33.7109375" style="22" hidden="1" customWidth="1" outlineLevel="2"/>
    <col min="282" max="282" width="21.7109375" style="22" hidden="1" customWidth="1" outlineLevel="2"/>
    <col min="283" max="283" width="27.7109375" style="22" hidden="1" customWidth="1" outlineLevel="2"/>
    <col min="284" max="284" width="23.7109375" style="22" hidden="1" customWidth="1" outlineLevel="2"/>
    <col min="285" max="285" width="17.7109375" style="22" customWidth="1"/>
    <col min="286" max="286" width="12.7109375" style="22" customWidth="1"/>
    <col min="287" max="287" width="17.7109375" style="22" customWidth="1"/>
    <col min="288" max="288" width="13.7109375" style="22" customWidth="1"/>
    <col min="289" max="289" width="24.7109375" style="22" customWidth="1"/>
    <col min="290" max="290" width="36.7109375" style="22" customWidth="1"/>
    <col min="291" max="291" width="13.7109375" style="22" customWidth="1"/>
    <col min="292" max="292" width="23.7109375" style="22" customWidth="1"/>
    <col min="293" max="293" width="43.7109375" style="22" customWidth="1"/>
    <col min="294" max="294" width="13.7109375" style="22" customWidth="1"/>
    <col min="295" max="295" width="30.7109375" style="22" customWidth="1"/>
    <col min="296" max="296" width="15.7109375" style="22" customWidth="1"/>
    <col min="297" max="297" width="27.7109375" style="22" customWidth="1"/>
    <col min="298" max="298" width="10.7109375" style="22" customWidth="1"/>
    <col min="299" max="299" width="36.7109375" style="22" customWidth="1"/>
    <col min="300" max="300" width="20.7109375" style="22" customWidth="1"/>
    <col min="301" max="301" width="29.7109375" style="22" customWidth="1"/>
    <col min="302" max="302" width="21.7109375" style="22" customWidth="1"/>
    <col min="303" max="303" width="14.7109375" style="22" customWidth="1"/>
    <col min="304" max="304" width="35.7109375" style="22" customWidth="1"/>
    <col min="305" max="305" width="33.7109375" style="22" customWidth="1"/>
    <col min="306" max="306" width="27.7109375" style="22" customWidth="1"/>
    <col min="307" max="307" width="24.7109375" style="22" customWidth="1"/>
    <col min="308" max="308" width="31.7109375" style="22" customWidth="1"/>
    <col min="309" max="309" width="107.7109375" style="22" customWidth="1"/>
    <col min="310" max="310" width="64.7109375" style="22" customWidth="1"/>
    <col min="311" max="311" width="31.7109375" style="22" customWidth="1"/>
    <col min="312" max="312" width="19.7109375" style="22" customWidth="1"/>
    <col min="313" max="313" width="79.7109375" style="22" customWidth="1"/>
  </cols>
  <sheetData>
    <row r="1" spans="1:313" hidden="1">
      <c r="B1" s="22" t="s">
        <v>100</v>
      </c>
      <c r="C1" s="22" t="s">
        <v>101</v>
      </c>
      <c r="D1" s="22" t="s">
        <v>102</v>
      </c>
      <c r="E1" s="22" t="s">
        <v>103</v>
      </c>
      <c r="F1" s="22" t="s">
        <v>104</v>
      </c>
      <c r="G1" s="22" t="s">
        <v>105</v>
      </c>
      <c r="H1" s="22" t="s">
        <v>106</v>
      </c>
      <c r="I1" s="22" t="s">
        <v>107</v>
      </c>
      <c r="J1" s="22" t="s">
        <v>108</v>
      </c>
      <c r="K1" s="22" t="s">
        <v>109</v>
      </c>
      <c r="L1" s="22" t="s">
        <v>108</v>
      </c>
      <c r="M1" s="22" t="s">
        <v>109</v>
      </c>
      <c r="N1" s="22" t="s">
        <v>108</v>
      </c>
      <c r="O1" s="22" t="s">
        <v>109</v>
      </c>
      <c r="P1" s="22" t="s">
        <v>110</v>
      </c>
      <c r="Q1" s="22" t="s">
        <v>111</v>
      </c>
      <c r="R1" s="22" t="s">
        <v>112</v>
      </c>
      <c r="S1" s="22" t="s">
        <v>113</v>
      </c>
      <c r="T1" s="22" t="s">
        <v>114</v>
      </c>
      <c r="U1" s="22" t="s">
        <v>115</v>
      </c>
      <c r="V1" s="22" t="s">
        <v>115</v>
      </c>
      <c r="W1" s="22" t="s">
        <v>115</v>
      </c>
      <c r="X1" s="22" t="s">
        <v>115</v>
      </c>
      <c r="Y1" s="22" t="s">
        <v>115</v>
      </c>
      <c r="Z1" s="22" t="s">
        <v>115</v>
      </c>
      <c r="AA1" s="22" t="s">
        <v>115</v>
      </c>
      <c r="AB1" s="22" t="s">
        <v>115</v>
      </c>
      <c r="AC1" s="22" t="s">
        <v>116</v>
      </c>
      <c r="AD1" s="22" t="s">
        <v>117</v>
      </c>
      <c r="AE1" s="22" t="s">
        <v>118</v>
      </c>
      <c r="AF1" s="22" t="s">
        <v>119</v>
      </c>
      <c r="AG1" s="22" t="s">
        <v>120</v>
      </c>
      <c r="AH1" s="22" t="s">
        <v>121</v>
      </c>
      <c r="AI1" s="22" t="s">
        <v>122</v>
      </c>
      <c r="AJ1" s="22" t="s">
        <v>123</v>
      </c>
      <c r="AK1" s="22" t="s">
        <v>124</v>
      </c>
      <c r="AL1" s="22" t="s">
        <v>125</v>
      </c>
      <c r="AM1" s="22" t="s">
        <v>126</v>
      </c>
      <c r="AN1" s="22" t="s">
        <v>127</v>
      </c>
      <c r="AO1" s="22" t="s">
        <v>128</v>
      </c>
      <c r="AP1" s="22" t="s">
        <v>129</v>
      </c>
      <c r="AQ1" s="22" t="s">
        <v>130</v>
      </c>
      <c r="AR1" s="22" t="s">
        <v>131</v>
      </c>
      <c r="AS1" s="22" t="s">
        <v>128</v>
      </c>
      <c r="AT1" s="22" t="s">
        <v>129</v>
      </c>
      <c r="AU1" s="22" t="s">
        <v>130</v>
      </c>
      <c r="AV1" s="22" t="s">
        <v>131</v>
      </c>
      <c r="AW1" s="22" t="s">
        <v>128</v>
      </c>
      <c r="AX1" s="22" t="s">
        <v>129</v>
      </c>
      <c r="AY1" s="22" t="s">
        <v>130</v>
      </c>
      <c r="AZ1" s="22" t="s">
        <v>131</v>
      </c>
      <c r="BA1" s="22" t="s">
        <v>128</v>
      </c>
      <c r="BB1" s="22" t="s">
        <v>129</v>
      </c>
      <c r="BC1" s="22" t="s">
        <v>130</v>
      </c>
      <c r="BD1" s="22" t="s">
        <v>131</v>
      </c>
      <c r="BE1" s="22" t="s">
        <v>128</v>
      </c>
      <c r="BF1" s="22" t="s">
        <v>129</v>
      </c>
      <c r="BG1" s="22" t="s">
        <v>130</v>
      </c>
      <c r="BH1" s="22" t="s">
        <v>131</v>
      </c>
      <c r="BI1" s="22" t="s">
        <v>128</v>
      </c>
      <c r="BJ1" s="22" t="s">
        <v>129</v>
      </c>
      <c r="BK1" s="22" t="s">
        <v>130</v>
      </c>
      <c r="BL1" s="22" t="s">
        <v>131</v>
      </c>
      <c r="BM1" s="22" t="s">
        <v>128</v>
      </c>
      <c r="BN1" s="22" t="s">
        <v>129</v>
      </c>
      <c r="BO1" s="22" t="s">
        <v>130</v>
      </c>
      <c r="BP1" s="22" t="s">
        <v>131</v>
      </c>
      <c r="BQ1" s="22" t="s">
        <v>128</v>
      </c>
      <c r="BR1" s="22" t="s">
        <v>129</v>
      </c>
      <c r="BS1" s="22" t="s">
        <v>130</v>
      </c>
      <c r="BT1" s="22" t="s">
        <v>131</v>
      </c>
      <c r="BU1" s="22" t="s">
        <v>128</v>
      </c>
      <c r="BV1" s="22" t="s">
        <v>129</v>
      </c>
      <c r="BW1" s="22" t="s">
        <v>130</v>
      </c>
      <c r="BX1" s="22" t="s">
        <v>131</v>
      </c>
      <c r="BY1" s="22" t="s">
        <v>128</v>
      </c>
      <c r="BZ1" s="22" t="s">
        <v>129</v>
      </c>
      <c r="CA1" s="22" t="s">
        <v>130</v>
      </c>
      <c r="CB1" s="22" t="s">
        <v>131</v>
      </c>
      <c r="CC1" s="22" t="s">
        <v>128</v>
      </c>
      <c r="CD1" s="22" t="s">
        <v>129</v>
      </c>
      <c r="CE1" s="22" t="s">
        <v>130</v>
      </c>
      <c r="CF1" s="22" t="s">
        <v>131</v>
      </c>
      <c r="CG1" s="22" t="s">
        <v>128</v>
      </c>
      <c r="CH1" s="22" t="s">
        <v>129</v>
      </c>
      <c r="CI1" s="22" t="s">
        <v>130</v>
      </c>
      <c r="CJ1" s="22" t="s">
        <v>131</v>
      </c>
      <c r="CK1" s="22" t="s">
        <v>128</v>
      </c>
      <c r="CL1" s="22" t="s">
        <v>129</v>
      </c>
      <c r="CM1" s="22" t="s">
        <v>130</v>
      </c>
      <c r="CN1" s="22" t="s">
        <v>131</v>
      </c>
      <c r="CO1" s="22" t="s">
        <v>128</v>
      </c>
      <c r="CP1" s="22" t="s">
        <v>129</v>
      </c>
      <c r="CQ1" s="22" t="s">
        <v>130</v>
      </c>
      <c r="CR1" s="22" t="s">
        <v>131</v>
      </c>
      <c r="CS1" s="22" t="s">
        <v>128</v>
      </c>
      <c r="CT1" s="22" t="s">
        <v>129</v>
      </c>
      <c r="CU1" s="22" t="s">
        <v>130</v>
      </c>
      <c r="CV1" s="22" t="s">
        <v>131</v>
      </c>
      <c r="CW1" s="22" t="s">
        <v>128</v>
      </c>
      <c r="CX1" s="22" t="s">
        <v>129</v>
      </c>
      <c r="CY1" s="22" t="s">
        <v>130</v>
      </c>
      <c r="CZ1" s="22" t="s">
        <v>131</v>
      </c>
      <c r="DA1" s="22" t="s">
        <v>128</v>
      </c>
      <c r="DB1" s="22" t="s">
        <v>129</v>
      </c>
      <c r="DC1" s="22" t="s">
        <v>130</v>
      </c>
      <c r="DD1" s="22" t="s">
        <v>131</v>
      </c>
      <c r="DE1" s="22" t="s">
        <v>128</v>
      </c>
      <c r="DF1" s="22" t="s">
        <v>129</v>
      </c>
      <c r="DG1" s="22" t="s">
        <v>130</v>
      </c>
      <c r="DH1" s="22" t="s">
        <v>131</v>
      </c>
      <c r="DI1" s="22" t="s">
        <v>128</v>
      </c>
      <c r="DJ1" s="22" t="s">
        <v>129</v>
      </c>
      <c r="DK1" s="22" t="s">
        <v>130</v>
      </c>
      <c r="DL1" s="22" t="s">
        <v>131</v>
      </c>
      <c r="DM1" s="22" t="s">
        <v>128</v>
      </c>
      <c r="DN1" s="22" t="s">
        <v>129</v>
      </c>
      <c r="DO1" s="22" t="s">
        <v>130</v>
      </c>
      <c r="DP1" s="22" t="s">
        <v>131</v>
      </c>
      <c r="DQ1" s="22" t="s">
        <v>128</v>
      </c>
      <c r="DR1" s="22" t="s">
        <v>129</v>
      </c>
      <c r="DS1" s="22" t="s">
        <v>130</v>
      </c>
      <c r="DT1" s="22" t="s">
        <v>131</v>
      </c>
      <c r="DU1" s="22" t="s">
        <v>128</v>
      </c>
      <c r="DV1" s="22" t="s">
        <v>129</v>
      </c>
      <c r="DW1" s="22" t="s">
        <v>130</v>
      </c>
      <c r="DX1" s="22" t="s">
        <v>131</v>
      </c>
      <c r="DY1" s="22" t="s">
        <v>128</v>
      </c>
      <c r="DZ1" s="22" t="s">
        <v>129</v>
      </c>
      <c r="EA1" s="22" t="s">
        <v>130</v>
      </c>
      <c r="EB1" s="22" t="s">
        <v>131</v>
      </c>
      <c r="EC1" s="22" t="s">
        <v>128</v>
      </c>
      <c r="ED1" s="22" t="s">
        <v>129</v>
      </c>
      <c r="EE1" s="22" t="s">
        <v>130</v>
      </c>
      <c r="EF1" s="22" t="s">
        <v>131</v>
      </c>
      <c r="EG1" s="22" t="s">
        <v>128</v>
      </c>
      <c r="EH1" s="22" t="s">
        <v>129</v>
      </c>
      <c r="EI1" s="22" t="s">
        <v>130</v>
      </c>
      <c r="EJ1" s="22" t="s">
        <v>131</v>
      </c>
      <c r="EK1" s="22" t="s">
        <v>128</v>
      </c>
      <c r="EL1" s="22" t="s">
        <v>129</v>
      </c>
      <c r="EM1" s="22" t="s">
        <v>130</v>
      </c>
      <c r="EN1" s="22" t="s">
        <v>131</v>
      </c>
      <c r="EO1" s="22" t="s">
        <v>128</v>
      </c>
      <c r="EP1" s="22" t="s">
        <v>129</v>
      </c>
      <c r="EQ1" s="22" t="s">
        <v>130</v>
      </c>
      <c r="ER1" s="22" t="s">
        <v>131</v>
      </c>
      <c r="ES1" s="22" t="s">
        <v>128</v>
      </c>
      <c r="ET1" s="22" t="s">
        <v>129</v>
      </c>
      <c r="EU1" s="22" t="s">
        <v>130</v>
      </c>
      <c r="EV1" s="22" t="s">
        <v>131</v>
      </c>
      <c r="EW1" s="22" t="s">
        <v>128</v>
      </c>
      <c r="EX1" s="22" t="s">
        <v>129</v>
      </c>
      <c r="EY1" s="22" t="s">
        <v>130</v>
      </c>
      <c r="EZ1" s="22" t="s">
        <v>131</v>
      </c>
      <c r="FA1" s="22" t="s">
        <v>128</v>
      </c>
      <c r="FB1" s="22" t="s">
        <v>129</v>
      </c>
      <c r="FC1" s="22" t="s">
        <v>130</v>
      </c>
      <c r="FD1" s="22" t="s">
        <v>131</v>
      </c>
      <c r="FE1" s="22" t="s">
        <v>128</v>
      </c>
      <c r="FF1" s="22" t="s">
        <v>129</v>
      </c>
      <c r="FG1" s="22" t="s">
        <v>130</v>
      </c>
      <c r="FH1" s="22" t="s">
        <v>131</v>
      </c>
      <c r="FI1" s="22" t="s">
        <v>128</v>
      </c>
      <c r="FJ1" s="22" t="s">
        <v>129</v>
      </c>
      <c r="FK1" s="22" t="s">
        <v>130</v>
      </c>
      <c r="FL1" s="22" t="s">
        <v>131</v>
      </c>
      <c r="FM1" s="22" t="s">
        <v>128</v>
      </c>
      <c r="FN1" s="22" t="s">
        <v>129</v>
      </c>
      <c r="FO1" s="22" t="s">
        <v>130</v>
      </c>
      <c r="FP1" s="22" t="s">
        <v>131</v>
      </c>
      <c r="FQ1" s="22" t="s">
        <v>128</v>
      </c>
      <c r="FR1" s="22" t="s">
        <v>129</v>
      </c>
      <c r="FS1" s="22" t="s">
        <v>130</v>
      </c>
      <c r="FT1" s="22" t="s">
        <v>131</v>
      </c>
      <c r="FU1" s="22" t="s">
        <v>128</v>
      </c>
      <c r="FV1" s="22" t="s">
        <v>129</v>
      </c>
      <c r="FW1" s="22" t="s">
        <v>130</v>
      </c>
      <c r="FX1" s="22" t="s">
        <v>131</v>
      </c>
      <c r="FY1" s="22" t="s">
        <v>128</v>
      </c>
      <c r="FZ1" s="22" t="s">
        <v>129</v>
      </c>
      <c r="GA1" s="22" t="s">
        <v>130</v>
      </c>
      <c r="GB1" s="22" t="s">
        <v>131</v>
      </c>
      <c r="GC1" s="22" t="s">
        <v>128</v>
      </c>
      <c r="GD1" s="22" t="s">
        <v>129</v>
      </c>
      <c r="GE1" s="22" t="s">
        <v>130</v>
      </c>
      <c r="GF1" s="22" t="s">
        <v>131</v>
      </c>
      <c r="GG1" s="22" t="s">
        <v>128</v>
      </c>
      <c r="GH1" s="22" t="s">
        <v>129</v>
      </c>
      <c r="GI1" s="22" t="s">
        <v>130</v>
      </c>
      <c r="GJ1" s="22" t="s">
        <v>131</v>
      </c>
      <c r="GK1" s="22" t="s">
        <v>128</v>
      </c>
      <c r="GL1" s="22" t="s">
        <v>129</v>
      </c>
      <c r="GM1" s="22" t="s">
        <v>130</v>
      </c>
      <c r="GN1" s="22" t="s">
        <v>131</v>
      </c>
      <c r="GO1" s="22" t="s">
        <v>128</v>
      </c>
      <c r="GP1" s="22" t="s">
        <v>129</v>
      </c>
      <c r="GQ1" s="22" t="s">
        <v>130</v>
      </c>
      <c r="GR1" s="22" t="s">
        <v>131</v>
      </c>
      <c r="GS1" s="22" t="s">
        <v>132</v>
      </c>
      <c r="GT1" s="22" t="s">
        <v>133</v>
      </c>
      <c r="GU1" s="22" t="s">
        <v>134</v>
      </c>
      <c r="GV1" s="22" t="s">
        <v>135</v>
      </c>
      <c r="GW1" s="22" t="s">
        <v>134</v>
      </c>
      <c r="GX1" s="22" t="s">
        <v>135</v>
      </c>
      <c r="GY1" s="22" t="s">
        <v>134</v>
      </c>
      <c r="GZ1" s="22" t="s">
        <v>135</v>
      </c>
      <c r="HA1" s="22" t="s">
        <v>134</v>
      </c>
      <c r="HB1" s="22" t="s">
        <v>135</v>
      </c>
      <c r="HC1" s="22" t="s">
        <v>134</v>
      </c>
      <c r="HD1" s="22" t="s">
        <v>135</v>
      </c>
      <c r="HE1" s="22" t="s">
        <v>136</v>
      </c>
      <c r="HF1" s="22" t="s">
        <v>136</v>
      </c>
      <c r="HG1" s="22" t="s">
        <v>136</v>
      </c>
      <c r="HH1" s="22" t="s">
        <v>136</v>
      </c>
      <c r="HI1" s="22" t="s">
        <v>136</v>
      </c>
      <c r="HJ1" s="22" t="s">
        <v>136</v>
      </c>
      <c r="HK1" s="22" t="s">
        <v>136</v>
      </c>
      <c r="HL1" s="22" t="s">
        <v>136</v>
      </c>
      <c r="HM1" s="22" t="s">
        <v>136</v>
      </c>
      <c r="HN1" s="22" t="s">
        <v>136</v>
      </c>
      <c r="HO1" s="22" t="s">
        <v>136</v>
      </c>
      <c r="HP1" s="22" t="s">
        <v>136</v>
      </c>
      <c r="HQ1" s="22" t="s">
        <v>136</v>
      </c>
      <c r="HR1" s="22" t="s">
        <v>136</v>
      </c>
      <c r="HS1" s="22" t="s">
        <v>136</v>
      </c>
      <c r="HT1" s="22" t="s">
        <v>136</v>
      </c>
      <c r="HU1" s="22" t="s">
        <v>136</v>
      </c>
      <c r="HV1" s="22" t="s">
        <v>136</v>
      </c>
      <c r="HW1" s="22" t="s">
        <v>136</v>
      </c>
      <c r="HX1" s="22" t="s">
        <v>136</v>
      </c>
      <c r="HY1" s="22" t="s">
        <v>136</v>
      </c>
      <c r="HZ1" s="22" t="s">
        <v>136</v>
      </c>
      <c r="IA1" s="22" t="s">
        <v>136</v>
      </c>
      <c r="IB1" s="22" t="s">
        <v>136</v>
      </c>
      <c r="IC1" s="22" t="s">
        <v>136</v>
      </c>
      <c r="ID1" s="22" t="s">
        <v>136</v>
      </c>
      <c r="IE1" s="22" t="s">
        <v>136</v>
      </c>
      <c r="IF1" s="22" t="s">
        <v>136</v>
      </c>
      <c r="IG1" s="22" t="s">
        <v>136</v>
      </c>
      <c r="IH1" s="22" t="s">
        <v>136</v>
      </c>
      <c r="II1" s="22" t="s">
        <v>137</v>
      </c>
      <c r="IJ1" s="22" t="s">
        <v>137</v>
      </c>
      <c r="IK1" s="22" t="s">
        <v>138</v>
      </c>
      <c r="IL1" s="22" t="s">
        <v>139</v>
      </c>
      <c r="IM1" s="22" t="s">
        <v>140</v>
      </c>
      <c r="IN1" s="22" t="s">
        <v>141</v>
      </c>
      <c r="IO1" s="22" t="s">
        <v>138</v>
      </c>
      <c r="IP1" s="22" t="s">
        <v>139</v>
      </c>
      <c r="IQ1" s="22" t="s">
        <v>140</v>
      </c>
      <c r="IR1" s="22" t="s">
        <v>141</v>
      </c>
      <c r="IS1" s="22" t="s">
        <v>138</v>
      </c>
      <c r="IT1" s="22" t="s">
        <v>139</v>
      </c>
      <c r="IU1" s="22" t="s">
        <v>140</v>
      </c>
      <c r="IV1" s="22" t="s">
        <v>141</v>
      </c>
      <c r="IW1" s="22" t="s">
        <v>138</v>
      </c>
      <c r="IX1" s="22" t="s">
        <v>139</v>
      </c>
      <c r="IY1" s="22" t="s">
        <v>140</v>
      </c>
      <c r="IZ1" s="22" t="s">
        <v>141</v>
      </c>
      <c r="JA1" s="22" t="s">
        <v>138</v>
      </c>
      <c r="JB1" s="22" t="s">
        <v>139</v>
      </c>
      <c r="JC1" s="22" t="s">
        <v>140</v>
      </c>
      <c r="JD1" s="22" t="s">
        <v>141</v>
      </c>
      <c r="JE1" s="22" t="s">
        <v>138</v>
      </c>
      <c r="JF1" s="22" t="s">
        <v>139</v>
      </c>
      <c r="JG1" s="22" t="s">
        <v>140</v>
      </c>
      <c r="JH1" s="22" t="s">
        <v>141</v>
      </c>
      <c r="JI1" s="22" t="s">
        <v>138</v>
      </c>
      <c r="JJ1" s="22" t="s">
        <v>139</v>
      </c>
      <c r="JK1" s="22" t="s">
        <v>140</v>
      </c>
      <c r="JL1" s="22" t="s">
        <v>141</v>
      </c>
      <c r="JM1" s="22" t="s">
        <v>138</v>
      </c>
      <c r="JN1" s="22" t="s">
        <v>139</v>
      </c>
      <c r="JO1" s="22" t="s">
        <v>140</v>
      </c>
      <c r="JP1" s="22" t="s">
        <v>141</v>
      </c>
      <c r="JQ1" s="22" t="s">
        <v>138</v>
      </c>
      <c r="JR1" s="22" t="s">
        <v>139</v>
      </c>
      <c r="JS1" s="22" t="s">
        <v>140</v>
      </c>
      <c r="JT1" s="22" t="s">
        <v>141</v>
      </c>
      <c r="JU1" s="22" t="s">
        <v>138</v>
      </c>
      <c r="JV1" s="22" t="s">
        <v>139</v>
      </c>
      <c r="JW1" s="22" t="s">
        <v>140</v>
      </c>
      <c r="JX1" s="22" t="s">
        <v>141</v>
      </c>
      <c r="JY1" s="22" t="s">
        <v>142</v>
      </c>
      <c r="JZ1" s="22" t="s">
        <v>143</v>
      </c>
      <c r="KA1" s="22" t="s">
        <v>144</v>
      </c>
      <c r="KB1" s="22" t="s">
        <v>145</v>
      </c>
      <c r="KC1" s="22" t="s">
        <v>146</v>
      </c>
      <c r="KD1" s="22" t="s">
        <v>147</v>
      </c>
      <c r="KE1" s="22" t="s">
        <v>148</v>
      </c>
      <c r="KF1" s="22" t="s">
        <v>149</v>
      </c>
      <c r="KG1" s="22" t="s">
        <v>150</v>
      </c>
      <c r="KH1" s="22" t="s">
        <v>151</v>
      </c>
      <c r="KI1" s="22" t="s">
        <v>152</v>
      </c>
      <c r="KJ1" s="22" t="s">
        <v>153</v>
      </c>
      <c r="KK1" s="22" t="s">
        <v>154</v>
      </c>
      <c r="KL1" s="22" t="s">
        <v>155</v>
      </c>
      <c r="KM1" s="22" t="s">
        <v>156</v>
      </c>
      <c r="KN1" s="22" t="s">
        <v>157</v>
      </c>
      <c r="KO1" s="22" t="s">
        <v>158</v>
      </c>
      <c r="KP1" s="22" t="s">
        <v>159</v>
      </c>
      <c r="KQ1" s="22" t="s">
        <v>160</v>
      </c>
      <c r="KR1" s="22" t="s">
        <v>161</v>
      </c>
      <c r="KS1" s="22" t="s">
        <v>162</v>
      </c>
      <c r="KT1" s="22" t="s">
        <v>163</v>
      </c>
      <c r="KU1" s="22" t="s">
        <v>164</v>
      </c>
      <c r="KV1" s="22" t="s">
        <v>165</v>
      </c>
      <c r="KW1" s="22" t="s">
        <v>166</v>
      </c>
      <c r="KX1" s="22" t="s">
        <v>167</v>
      </c>
      <c r="KY1" s="22" t="s">
        <v>168</v>
      </c>
      <c r="KZ1" s="22" t="s">
        <v>169</v>
      </c>
      <c r="LA1" s="22" t="s">
        <v>170</v>
      </c>
    </row>
    <row r="2" spans="1:313" hidden="1">
      <c r="J2" s="22" t="s">
        <v>171</v>
      </c>
      <c r="K2" s="22" t="s">
        <v>171</v>
      </c>
      <c r="L2" s="22" t="s">
        <v>172</v>
      </c>
      <c r="M2" s="22" t="s">
        <v>172</v>
      </c>
      <c r="N2" s="22" t="s">
        <v>173</v>
      </c>
      <c r="O2" s="22" t="s">
        <v>173</v>
      </c>
      <c r="U2" s="22" t="s">
        <v>171</v>
      </c>
      <c r="V2" s="22" t="s">
        <v>172</v>
      </c>
      <c r="W2" s="22" t="s">
        <v>173</v>
      </c>
      <c r="X2" s="22" t="s">
        <v>174</v>
      </c>
      <c r="Y2" s="22" t="s">
        <v>175</v>
      </c>
      <c r="Z2" s="22" t="s">
        <v>176</v>
      </c>
      <c r="AA2" s="22" t="s">
        <v>177</v>
      </c>
      <c r="AB2" s="22" t="s">
        <v>178</v>
      </c>
      <c r="AO2" s="22" t="s">
        <v>171</v>
      </c>
      <c r="AP2" s="22" t="s">
        <v>171</v>
      </c>
      <c r="AQ2" s="22" t="s">
        <v>171</v>
      </c>
      <c r="AR2" s="22" t="s">
        <v>171</v>
      </c>
      <c r="AS2" s="22" t="s">
        <v>172</v>
      </c>
      <c r="AT2" s="22" t="s">
        <v>172</v>
      </c>
      <c r="AU2" s="22" t="s">
        <v>172</v>
      </c>
      <c r="AV2" s="22" t="s">
        <v>172</v>
      </c>
      <c r="AW2" s="22" t="s">
        <v>173</v>
      </c>
      <c r="AX2" s="22" t="s">
        <v>173</v>
      </c>
      <c r="AY2" s="22" t="s">
        <v>173</v>
      </c>
      <c r="AZ2" s="22" t="s">
        <v>173</v>
      </c>
      <c r="BA2" s="22" t="s">
        <v>174</v>
      </c>
      <c r="BB2" s="22" t="s">
        <v>174</v>
      </c>
      <c r="BC2" s="22" t="s">
        <v>174</v>
      </c>
      <c r="BD2" s="22" t="s">
        <v>174</v>
      </c>
      <c r="BE2" s="22" t="s">
        <v>175</v>
      </c>
      <c r="BF2" s="22" t="s">
        <v>175</v>
      </c>
      <c r="BG2" s="22" t="s">
        <v>175</v>
      </c>
      <c r="BH2" s="22" t="s">
        <v>175</v>
      </c>
      <c r="BI2" s="22" t="s">
        <v>176</v>
      </c>
      <c r="BJ2" s="22" t="s">
        <v>176</v>
      </c>
      <c r="BK2" s="22" t="s">
        <v>176</v>
      </c>
      <c r="BL2" s="22" t="s">
        <v>176</v>
      </c>
      <c r="BM2" s="22" t="s">
        <v>177</v>
      </c>
      <c r="BN2" s="22" t="s">
        <v>177</v>
      </c>
      <c r="BO2" s="22" t="s">
        <v>177</v>
      </c>
      <c r="BP2" s="22" t="s">
        <v>177</v>
      </c>
      <c r="BQ2" s="22" t="s">
        <v>178</v>
      </c>
      <c r="BR2" s="22" t="s">
        <v>178</v>
      </c>
      <c r="BS2" s="22" t="s">
        <v>178</v>
      </c>
      <c r="BT2" s="22" t="s">
        <v>178</v>
      </c>
      <c r="BU2" s="22" t="s">
        <v>179</v>
      </c>
      <c r="BV2" s="22" t="s">
        <v>179</v>
      </c>
      <c r="BW2" s="22" t="s">
        <v>179</v>
      </c>
      <c r="BX2" s="22" t="s">
        <v>179</v>
      </c>
      <c r="BY2" s="22" t="s">
        <v>180</v>
      </c>
      <c r="BZ2" s="22" t="s">
        <v>180</v>
      </c>
      <c r="CA2" s="22" t="s">
        <v>180</v>
      </c>
      <c r="CB2" s="22" t="s">
        <v>180</v>
      </c>
      <c r="CC2" s="22" t="s">
        <v>181</v>
      </c>
      <c r="CD2" s="22" t="s">
        <v>181</v>
      </c>
      <c r="CE2" s="22" t="s">
        <v>181</v>
      </c>
      <c r="CF2" s="22" t="s">
        <v>181</v>
      </c>
      <c r="CG2" s="22" t="s">
        <v>182</v>
      </c>
      <c r="CH2" s="22" t="s">
        <v>182</v>
      </c>
      <c r="CI2" s="22" t="s">
        <v>182</v>
      </c>
      <c r="CJ2" s="22" t="s">
        <v>182</v>
      </c>
      <c r="CK2" s="22" t="s">
        <v>183</v>
      </c>
      <c r="CL2" s="22" t="s">
        <v>183</v>
      </c>
      <c r="CM2" s="22" t="s">
        <v>183</v>
      </c>
      <c r="CN2" s="22" t="s">
        <v>183</v>
      </c>
      <c r="CO2" s="22" t="s">
        <v>184</v>
      </c>
      <c r="CP2" s="22" t="s">
        <v>184</v>
      </c>
      <c r="CQ2" s="22" t="s">
        <v>184</v>
      </c>
      <c r="CR2" s="22" t="s">
        <v>184</v>
      </c>
      <c r="CS2" s="22" t="s">
        <v>185</v>
      </c>
      <c r="CT2" s="22" t="s">
        <v>185</v>
      </c>
      <c r="CU2" s="22" t="s">
        <v>185</v>
      </c>
      <c r="CV2" s="22" t="s">
        <v>185</v>
      </c>
      <c r="CW2" s="22" t="s">
        <v>186</v>
      </c>
      <c r="CX2" s="22" t="s">
        <v>186</v>
      </c>
      <c r="CY2" s="22" t="s">
        <v>186</v>
      </c>
      <c r="CZ2" s="22" t="s">
        <v>186</v>
      </c>
      <c r="DA2" s="22" t="s">
        <v>187</v>
      </c>
      <c r="DB2" s="22" t="s">
        <v>187</v>
      </c>
      <c r="DC2" s="22" t="s">
        <v>187</v>
      </c>
      <c r="DD2" s="22" t="s">
        <v>187</v>
      </c>
      <c r="DE2" s="22" t="s">
        <v>188</v>
      </c>
      <c r="DF2" s="22" t="s">
        <v>188</v>
      </c>
      <c r="DG2" s="22" t="s">
        <v>188</v>
      </c>
      <c r="DH2" s="22" t="s">
        <v>188</v>
      </c>
      <c r="DI2" s="22" t="s">
        <v>189</v>
      </c>
      <c r="DJ2" s="22" t="s">
        <v>189</v>
      </c>
      <c r="DK2" s="22" t="s">
        <v>189</v>
      </c>
      <c r="DL2" s="22" t="s">
        <v>189</v>
      </c>
      <c r="DM2" s="22" t="s">
        <v>190</v>
      </c>
      <c r="DN2" s="22" t="s">
        <v>190</v>
      </c>
      <c r="DO2" s="22" t="s">
        <v>190</v>
      </c>
      <c r="DP2" s="22" t="s">
        <v>190</v>
      </c>
      <c r="DQ2" s="22" t="s">
        <v>191</v>
      </c>
      <c r="DR2" s="22" t="s">
        <v>191</v>
      </c>
      <c r="DS2" s="22" t="s">
        <v>191</v>
      </c>
      <c r="DT2" s="22" t="s">
        <v>191</v>
      </c>
      <c r="DU2" s="22" t="s">
        <v>192</v>
      </c>
      <c r="DV2" s="22" t="s">
        <v>192</v>
      </c>
      <c r="DW2" s="22" t="s">
        <v>192</v>
      </c>
      <c r="DX2" s="22" t="s">
        <v>192</v>
      </c>
      <c r="DY2" s="22" t="s">
        <v>193</v>
      </c>
      <c r="DZ2" s="22" t="s">
        <v>193</v>
      </c>
      <c r="EA2" s="22" t="s">
        <v>193</v>
      </c>
      <c r="EB2" s="22" t="s">
        <v>193</v>
      </c>
      <c r="EC2" s="22" t="s">
        <v>194</v>
      </c>
      <c r="ED2" s="22" t="s">
        <v>194</v>
      </c>
      <c r="EE2" s="22" t="s">
        <v>194</v>
      </c>
      <c r="EF2" s="22" t="s">
        <v>194</v>
      </c>
      <c r="EG2" s="22" t="s">
        <v>195</v>
      </c>
      <c r="EH2" s="22" t="s">
        <v>195</v>
      </c>
      <c r="EI2" s="22" t="s">
        <v>195</v>
      </c>
      <c r="EJ2" s="22" t="s">
        <v>195</v>
      </c>
      <c r="EK2" s="22" t="s">
        <v>196</v>
      </c>
      <c r="EL2" s="22" t="s">
        <v>196</v>
      </c>
      <c r="EM2" s="22" t="s">
        <v>196</v>
      </c>
      <c r="EN2" s="22" t="s">
        <v>196</v>
      </c>
      <c r="EO2" s="22" t="s">
        <v>197</v>
      </c>
      <c r="EP2" s="22" t="s">
        <v>197</v>
      </c>
      <c r="EQ2" s="22" t="s">
        <v>197</v>
      </c>
      <c r="ER2" s="22" t="s">
        <v>197</v>
      </c>
      <c r="ES2" s="22" t="s">
        <v>164</v>
      </c>
      <c r="ET2" s="22" t="s">
        <v>164</v>
      </c>
      <c r="EU2" s="22" t="s">
        <v>164</v>
      </c>
      <c r="EV2" s="22" t="s">
        <v>164</v>
      </c>
      <c r="EW2" s="22" t="s">
        <v>198</v>
      </c>
      <c r="EX2" s="22" t="s">
        <v>198</v>
      </c>
      <c r="EY2" s="22" t="s">
        <v>198</v>
      </c>
      <c r="EZ2" s="22" t="s">
        <v>198</v>
      </c>
      <c r="FA2" s="22" t="s">
        <v>199</v>
      </c>
      <c r="FB2" s="22" t="s">
        <v>199</v>
      </c>
      <c r="FC2" s="22" t="s">
        <v>199</v>
      </c>
      <c r="FD2" s="22" t="s">
        <v>199</v>
      </c>
      <c r="FE2" s="22" t="s">
        <v>167</v>
      </c>
      <c r="FF2" s="22" t="s">
        <v>167</v>
      </c>
      <c r="FG2" s="22" t="s">
        <v>167</v>
      </c>
      <c r="FH2" s="22" t="s">
        <v>167</v>
      </c>
      <c r="FI2" s="22" t="s">
        <v>200</v>
      </c>
      <c r="FJ2" s="22" t="s">
        <v>200</v>
      </c>
      <c r="FK2" s="22" t="s">
        <v>200</v>
      </c>
      <c r="FL2" s="22" t="s">
        <v>200</v>
      </c>
      <c r="FM2" s="22" t="s">
        <v>201</v>
      </c>
      <c r="FN2" s="22" t="s">
        <v>201</v>
      </c>
      <c r="FO2" s="22" t="s">
        <v>201</v>
      </c>
      <c r="FP2" s="22" t="s">
        <v>201</v>
      </c>
      <c r="FQ2" s="22" t="s">
        <v>202</v>
      </c>
      <c r="FR2" s="22" t="s">
        <v>202</v>
      </c>
      <c r="FS2" s="22" t="s">
        <v>202</v>
      </c>
      <c r="FT2" s="22" t="s">
        <v>202</v>
      </c>
      <c r="FU2" s="22" t="s">
        <v>203</v>
      </c>
      <c r="FV2" s="22" t="s">
        <v>203</v>
      </c>
      <c r="FW2" s="22" t="s">
        <v>203</v>
      </c>
      <c r="FX2" s="22" t="s">
        <v>203</v>
      </c>
      <c r="FY2" s="22" t="s">
        <v>204</v>
      </c>
      <c r="FZ2" s="22" t="s">
        <v>204</v>
      </c>
      <c r="GA2" s="22" t="s">
        <v>204</v>
      </c>
      <c r="GB2" s="22" t="s">
        <v>204</v>
      </c>
      <c r="GC2" s="22" t="s">
        <v>205</v>
      </c>
      <c r="GD2" s="22" t="s">
        <v>205</v>
      </c>
      <c r="GE2" s="22" t="s">
        <v>205</v>
      </c>
      <c r="GF2" s="22" t="s">
        <v>205</v>
      </c>
      <c r="GG2" s="22" t="s">
        <v>206</v>
      </c>
      <c r="GH2" s="22" t="s">
        <v>206</v>
      </c>
      <c r="GI2" s="22" t="s">
        <v>206</v>
      </c>
      <c r="GJ2" s="22" t="s">
        <v>206</v>
      </c>
      <c r="GK2" s="22" t="s">
        <v>207</v>
      </c>
      <c r="GL2" s="22" t="s">
        <v>207</v>
      </c>
      <c r="GM2" s="22" t="s">
        <v>207</v>
      </c>
      <c r="GN2" s="22" t="s">
        <v>207</v>
      </c>
      <c r="GO2" s="22" t="s">
        <v>208</v>
      </c>
      <c r="GP2" s="22" t="s">
        <v>208</v>
      </c>
      <c r="GQ2" s="22" t="s">
        <v>208</v>
      </c>
      <c r="GR2" s="22" t="s">
        <v>208</v>
      </c>
      <c r="GU2" s="22" t="s">
        <v>171</v>
      </c>
      <c r="GV2" s="22" t="s">
        <v>171</v>
      </c>
      <c r="GW2" s="22" t="s">
        <v>172</v>
      </c>
      <c r="GX2" s="22" t="s">
        <v>172</v>
      </c>
      <c r="GY2" s="22" t="s">
        <v>173</v>
      </c>
      <c r="GZ2" s="22" t="s">
        <v>173</v>
      </c>
      <c r="HA2" s="22" t="s">
        <v>174</v>
      </c>
      <c r="HB2" s="22" t="s">
        <v>174</v>
      </c>
      <c r="HC2" s="22" t="s">
        <v>175</v>
      </c>
      <c r="HD2" s="22" t="s">
        <v>175</v>
      </c>
      <c r="HE2" s="22" t="s">
        <v>171</v>
      </c>
      <c r="HF2" s="22" t="s">
        <v>172</v>
      </c>
      <c r="HG2" s="22" t="s">
        <v>173</v>
      </c>
      <c r="HH2" s="22" t="s">
        <v>174</v>
      </c>
      <c r="HI2" s="22" t="s">
        <v>175</v>
      </c>
      <c r="HJ2" s="22" t="s">
        <v>176</v>
      </c>
      <c r="HK2" s="22" t="s">
        <v>177</v>
      </c>
      <c r="HL2" s="22" t="s">
        <v>178</v>
      </c>
      <c r="HM2" s="22" t="s">
        <v>179</v>
      </c>
      <c r="HN2" s="22" t="s">
        <v>180</v>
      </c>
      <c r="HO2" s="22" t="s">
        <v>181</v>
      </c>
      <c r="HP2" s="22" t="s">
        <v>182</v>
      </c>
      <c r="HQ2" s="22" t="s">
        <v>183</v>
      </c>
      <c r="HR2" s="22" t="s">
        <v>184</v>
      </c>
      <c r="HS2" s="22" t="s">
        <v>185</v>
      </c>
      <c r="HT2" s="22" t="s">
        <v>186</v>
      </c>
      <c r="HU2" s="22" t="s">
        <v>187</v>
      </c>
      <c r="HV2" s="22" t="s">
        <v>188</v>
      </c>
      <c r="HW2" s="22" t="s">
        <v>189</v>
      </c>
      <c r="HX2" s="22" t="s">
        <v>190</v>
      </c>
      <c r="HY2" s="22" t="s">
        <v>191</v>
      </c>
      <c r="HZ2" s="22" t="s">
        <v>192</v>
      </c>
      <c r="IA2" s="22" t="s">
        <v>193</v>
      </c>
      <c r="IB2" s="22" t="s">
        <v>194</v>
      </c>
      <c r="IC2" s="22" t="s">
        <v>195</v>
      </c>
      <c r="ID2" s="22" t="s">
        <v>196</v>
      </c>
      <c r="IE2" s="22" t="s">
        <v>197</v>
      </c>
      <c r="IF2" s="22" t="s">
        <v>164</v>
      </c>
      <c r="IG2" s="22" t="s">
        <v>198</v>
      </c>
      <c r="IH2" s="22" t="s">
        <v>199</v>
      </c>
      <c r="II2" s="22" t="s">
        <v>171</v>
      </c>
      <c r="IJ2" s="22" t="s">
        <v>172</v>
      </c>
      <c r="IK2" s="22" t="s">
        <v>171</v>
      </c>
      <c r="IL2" s="22" t="s">
        <v>171</v>
      </c>
      <c r="IM2" s="22" t="s">
        <v>171</v>
      </c>
      <c r="IN2" s="22" t="s">
        <v>171</v>
      </c>
      <c r="IO2" s="22" t="s">
        <v>172</v>
      </c>
      <c r="IP2" s="22" t="s">
        <v>172</v>
      </c>
      <c r="IQ2" s="22" t="s">
        <v>172</v>
      </c>
      <c r="IR2" s="22" t="s">
        <v>172</v>
      </c>
      <c r="IS2" s="22" t="s">
        <v>173</v>
      </c>
      <c r="IT2" s="22" t="s">
        <v>173</v>
      </c>
      <c r="IU2" s="22" t="s">
        <v>173</v>
      </c>
      <c r="IV2" s="22" t="s">
        <v>173</v>
      </c>
      <c r="IW2" s="22" t="s">
        <v>174</v>
      </c>
      <c r="IX2" s="22" t="s">
        <v>174</v>
      </c>
      <c r="IY2" s="22" t="s">
        <v>174</v>
      </c>
      <c r="IZ2" s="22" t="s">
        <v>174</v>
      </c>
      <c r="JA2" s="22" t="s">
        <v>175</v>
      </c>
      <c r="JB2" s="22" t="s">
        <v>175</v>
      </c>
      <c r="JC2" s="22" t="s">
        <v>175</v>
      </c>
      <c r="JD2" s="22" t="s">
        <v>175</v>
      </c>
      <c r="JE2" s="22" t="s">
        <v>176</v>
      </c>
      <c r="JF2" s="22" t="s">
        <v>176</v>
      </c>
      <c r="JG2" s="22" t="s">
        <v>176</v>
      </c>
      <c r="JH2" s="22" t="s">
        <v>176</v>
      </c>
      <c r="JI2" s="22" t="s">
        <v>177</v>
      </c>
      <c r="JJ2" s="22" t="s">
        <v>177</v>
      </c>
      <c r="JK2" s="22" t="s">
        <v>177</v>
      </c>
      <c r="JL2" s="22" t="s">
        <v>177</v>
      </c>
      <c r="JM2" s="22" t="s">
        <v>178</v>
      </c>
      <c r="JN2" s="22" t="s">
        <v>178</v>
      </c>
      <c r="JO2" s="22" t="s">
        <v>178</v>
      </c>
      <c r="JP2" s="22" t="s">
        <v>178</v>
      </c>
      <c r="JQ2" s="22" t="s">
        <v>179</v>
      </c>
      <c r="JR2" s="22" t="s">
        <v>179</v>
      </c>
      <c r="JS2" s="22" t="s">
        <v>179</v>
      </c>
      <c r="JT2" s="22" t="s">
        <v>179</v>
      </c>
      <c r="JU2" s="22" t="s">
        <v>180</v>
      </c>
      <c r="JV2" s="22" t="s">
        <v>180</v>
      </c>
      <c r="JW2" s="22" t="s">
        <v>180</v>
      </c>
      <c r="JX2" s="22" t="s">
        <v>180</v>
      </c>
    </row>
    <row r="3" spans="1:313">
      <c r="B3" s="23" t="s">
        <v>209</v>
      </c>
      <c r="F3" s="23" t="s">
        <v>210</v>
      </c>
      <c r="H3" s="24" t="s">
        <v>1</v>
      </c>
      <c r="P3" s="25" t="s">
        <v>211</v>
      </c>
      <c r="T3" s="26" t="s">
        <v>212</v>
      </c>
      <c r="AC3" s="27" t="s">
        <v>213</v>
      </c>
      <c r="AO3" s="28" t="s">
        <v>214</v>
      </c>
      <c r="GS3" s="29" t="s">
        <v>215</v>
      </c>
      <c r="HE3" s="30" t="s">
        <v>43</v>
      </c>
      <c r="JY3" s="31" t="s">
        <v>216</v>
      </c>
    </row>
    <row r="4" spans="1:313" ht="32" customHeight="1">
      <c r="B4" s="32" t="s">
        <v>62</v>
      </c>
      <c r="C4" s="32" t="s">
        <v>62</v>
      </c>
      <c r="D4" s="32" t="s">
        <v>63</v>
      </c>
      <c r="E4" s="32" t="s">
        <v>62</v>
      </c>
      <c r="F4" s="32" t="s">
        <v>62</v>
      </c>
      <c r="G4" s="32" t="s">
        <v>65</v>
      </c>
      <c r="H4" s="32" t="s">
        <v>63</v>
      </c>
      <c r="I4" s="32" t="s">
        <v>65</v>
      </c>
      <c r="J4" s="32" t="s">
        <v>65</v>
      </c>
      <c r="K4" s="32" t="s">
        <v>65</v>
      </c>
      <c r="L4" s="32" t="s">
        <v>65</v>
      </c>
      <c r="M4" s="32" t="s">
        <v>65</v>
      </c>
      <c r="N4" s="32" t="s">
        <v>65</v>
      </c>
      <c r="O4" s="32" t="s">
        <v>65</v>
      </c>
      <c r="P4" s="32" t="s">
        <v>62</v>
      </c>
      <c r="Q4" s="32" t="s">
        <v>64</v>
      </c>
      <c r="R4" s="32" t="s">
        <v>64</v>
      </c>
      <c r="S4" s="32" t="s">
        <v>64</v>
      </c>
      <c r="T4" s="32" t="s">
        <v>65</v>
      </c>
      <c r="U4" s="32" t="s">
        <v>65</v>
      </c>
      <c r="V4" s="32" t="s">
        <v>65</v>
      </c>
      <c r="W4" s="32" t="s">
        <v>65</v>
      </c>
      <c r="X4" s="32" t="s">
        <v>65</v>
      </c>
      <c r="Y4" s="32" t="s">
        <v>65</v>
      </c>
      <c r="Z4" s="32" t="s">
        <v>65</v>
      </c>
      <c r="AA4" s="32" t="s">
        <v>65</v>
      </c>
      <c r="AB4" s="32" t="s">
        <v>65</v>
      </c>
      <c r="AC4" s="32" t="s">
        <v>64</v>
      </c>
      <c r="AD4" s="32" t="s">
        <v>62</v>
      </c>
      <c r="AE4" s="32" t="s">
        <v>62</v>
      </c>
      <c r="AF4" s="32" t="s">
        <v>62</v>
      </c>
      <c r="AG4" s="32" t="s">
        <v>62</v>
      </c>
      <c r="AH4" s="32" t="s">
        <v>62</v>
      </c>
      <c r="AI4" s="32" t="s">
        <v>65</v>
      </c>
      <c r="AJ4" s="32" t="s">
        <v>62</v>
      </c>
      <c r="AK4" s="32" t="s">
        <v>62</v>
      </c>
      <c r="AL4" s="32" t="s">
        <v>65</v>
      </c>
      <c r="AM4" s="32" t="s">
        <v>65</v>
      </c>
      <c r="AN4" s="32" t="s">
        <v>65</v>
      </c>
      <c r="AO4" s="32" t="s">
        <v>62</v>
      </c>
      <c r="AP4" s="32" t="s">
        <v>62</v>
      </c>
      <c r="AQ4" s="32" t="s">
        <v>62</v>
      </c>
      <c r="AR4" s="32" t="s">
        <v>62</v>
      </c>
      <c r="AS4" s="32" t="s">
        <v>65</v>
      </c>
      <c r="AT4" s="32" t="s">
        <v>65</v>
      </c>
      <c r="AU4" s="32" t="s">
        <v>65</v>
      </c>
      <c r="AV4" s="32" t="s">
        <v>65</v>
      </c>
      <c r="AW4" s="32" t="s">
        <v>65</v>
      </c>
      <c r="AX4" s="32" t="s">
        <v>65</v>
      </c>
      <c r="AY4" s="32" t="s">
        <v>65</v>
      </c>
      <c r="AZ4" s="32" t="s">
        <v>65</v>
      </c>
      <c r="BA4" s="32" t="s">
        <v>65</v>
      </c>
      <c r="BB4" s="32" t="s">
        <v>65</v>
      </c>
      <c r="BC4" s="32" t="s">
        <v>65</v>
      </c>
      <c r="BD4" s="32" t="s">
        <v>65</v>
      </c>
      <c r="BE4" s="32" t="s">
        <v>65</v>
      </c>
      <c r="BF4" s="32" t="s">
        <v>65</v>
      </c>
      <c r="BG4" s="32" t="s">
        <v>65</v>
      </c>
      <c r="BH4" s="32" t="s">
        <v>65</v>
      </c>
      <c r="BI4" s="32" t="s">
        <v>65</v>
      </c>
      <c r="BJ4" s="32" t="s">
        <v>65</v>
      </c>
      <c r="BK4" s="32" t="s">
        <v>65</v>
      </c>
      <c r="BL4" s="32" t="s">
        <v>65</v>
      </c>
      <c r="BM4" s="32" t="s">
        <v>65</v>
      </c>
      <c r="BN4" s="32" t="s">
        <v>65</v>
      </c>
      <c r="BO4" s="32" t="s">
        <v>65</v>
      </c>
      <c r="BP4" s="32" t="s">
        <v>65</v>
      </c>
      <c r="BQ4" s="32" t="s">
        <v>65</v>
      </c>
      <c r="BR4" s="32" t="s">
        <v>65</v>
      </c>
      <c r="BS4" s="32" t="s">
        <v>65</v>
      </c>
      <c r="BT4" s="32" t="s">
        <v>65</v>
      </c>
      <c r="BU4" s="32" t="s">
        <v>65</v>
      </c>
      <c r="BV4" s="32" t="s">
        <v>65</v>
      </c>
      <c r="BW4" s="32" t="s">
        <v>65</v>
      </c>
      <c r="BX4" s="32" t="s">
        <v>65</v>
      </c>
      <c r="BY4" s="32" t="s">
        <v>65</v>
      </c>
      <c r="BZ4" s="32" t="s">
        <v>65</v>
      </c>
      <c r="CA4" s="32" t="s">
        <v>65</v>
      </c>
      <c r="CB4" s="32" t="s">
        <v>65</v>
      </c>
      <c r="CC4" s="32" t="s">
        <v>65</v>
      </c>
      <c r="CD4" s="32" t="s">
        <v>65</v>
      </c>
      <c r="CE4" s="32" t="s">
        <v>65</v>
      </c>
      <c r="CF4" s="32" t="s">
        <v>65</v>
      </c>
      <c r="CG4" s="32" t="s">
        <v>65</v>
      </c>
      <c r="CH4" s="32" t="s">
        <v>65</v>
      </c>
      <c r="CI4" s="32" t="s">
        <v>65</v>
      </c>
      <c r="CJ4" s="32" t="s">
        <v>65</v>
      </c>
      <c r="CK4" s="32" t="s">
        <v>65</v>
      </c>
      <c r="CL4" s="32" t="s">
        <v>65</v>
      </c>
      <c r="CM4" s="32" t="s">
        <v>65</v>
      </c>
      <c r="CN4" s="32" t="s">
        <v>65</v>
      </c>
      <c r="CO4" s="32" t="s">
        <v>65</v>
      </c>
      <c r="CP4" s="32" t="s">
        <v>65</v>
      </c>
      <c r="CQ4" s="32" t="s">
        <v>65</v>
      </c>
      <c r="CR4" s="32" t="s">
        <v>65</v>
      </c>
      <c r="CS4" s="32" t="s">
        <v>65</v>
      </c>
      <c r="CT4" s="32" t="s">
        <v>65</v>
      </c>
      <c r="CU4" s="32" t="s">
        <v>65</v>
      </c>
      <c r="CV4" s="32" t="s">
        <v>65</v>
      </c>
      <c r="CW4" s="32" t="s">
        <v>65</v>
      </c>
      <c r="CX4" s="32" t="s">
        <v>65</v>
      </c>
      <c r="CY4" s="32" t="s">
        <v>65</v>
      </c>
      <c r="CZ4" s="32" t="s">
        <v>65</v>
      </c>
      <c r="DA4" s="32" t="s">
        <v>65</v>
      </c>
      <c r="DB4" s="32" t="s">
        <v>65</v>
      </c>
      <c r="DC4" s="32" t="s">
        <v>65</v>
      </c>
      <c r="DD4" s="32" t="s">
        <v>65</v>
      </c>
      <c r="DE4" s="32" t="s">
        <v>65</v>
      </c>
      <c r="DF4" s="32" t="s">
        <v>65</v>
      </c>
      <c r="DG4" s="32" t="s">
        <v>65</v>
      </c>
      <c r="DH4" s="32" t="s">
        <v>65</v>
      </c>
      <c r="DI4" s="32" t="s">
        <v>65</v>
      </c>
      <c r="DJ4" s="32" t="s">
        <v>65</v>
      </c>
      <c r="DK4" s="32" t="s">
        <v>65</v>
      </c>
      <c r="DL4" s="32" t="s">
        <v>65</v>
      </c>
      <c r="DM4" s="32" t="s">
        <v>65</v>
      </c>
      <c r="DN4" s="32" t="s">
        <v>65</v>
      </c>
      <c r="DO4" s="32" t="s">
        <v>65</v>
      </c>
      <c r="DP4" s="32" t="s">
        <v>65</v>
      </c>
      <c r="DQ4" s="32" t="s">
        <v>65</v>
      </c>
      <c r="DR4" s="32" t="s">
        <v>65</v>
      </c>
      <c r="DS4" s="32" t="s">
        <v>65</v>
      </c>
      <c r="DT4" s="32" t="s">
        <v>65</v>
      </c>
      <c r="DU4" s="32" t="s">
        <v>65</v>
      </c>
      <c r="DV4" s="32" t="s">
        <v>65</v>
      </c>
      <c r="DW4" s="32" t="s">
        <v>65</v>
      </c>
      <c r="DX4" s="32" t="s">
        <v>65</v>
      </c>
      <c r="DY4" s="32" t="s">
        <v>65</v>
      </c>
      <c r="DZ4" s="32" t="s">
        <v>65</v>
      </c>
      <c r="EA4" s="32" t="s">
        <v>65</v>
      </c>
      <c r="EB4" s="32" t="s">
        <v>65</v>
      </c>
      <c r="EC4" s="32" t="s">
        <v>65</v>
      </c>
      <c r="ED4" s="32" t="s">
        <v>65</v>
      </c>
      <c r="EE4" s="32" t="s">
        <v>65</v>
      </c>
      <c r="EF4" s="32" t="s">
        <v>65</v>
      </c>
      <c r="EG4" s="32" t="s">
        <v>65</v>
      </c>
      <c r="EH4" s="32" t="s">
        <v>65</v>
      </c>
      <c r="EI4" s="32" t="s">
        <v>65</v>
      </c>
      <c r="EJ4" s="32" t="s">
        <v>65</v>
      </c>
      <c r="EK4" s="32" t="s">
        <v>65</v>
      </c>
      <c r="EL4" s="32" t="s">
        <v>65</v>
      </c>
      <c r="EM4" s="32" t="s">
        <v>65</v>
      </c>
      <c r="EN4" s="32" t="s">
        <v>65</v>
      </c>
      <c r="EO4" s="32" t="s">
        <v>65</v>
      </c>
      <c r="EP4" s="32" t="s">
        <v>65</v>
      </c>
      <c r="EQ4" s="32" t="s">
        <v>65</v>
      </c>
      <c r="ER4" s="32" t="s">
        <v>65</v>
      </c>
      <c r="ES4" s="32" t="s">
        <v>65</v>
      </c>
      <c r="ET4" s="32" t="s">
        <v>65</v>
      </c>
      <c r="EU4" s="32" t="s">
        <v>65</v>
      </c>
      <c r="EV4" s="32" t="s">
        <v>65</v>
      </c>
      <c r="EW4" s="32" t="s">
        <v>65</v>
      </c>
      <c r="EX4" s="32" t="s">
        <v>65</v>
      </c>
      <c r="EY4" s="32" t="s">
        <v>65</v>
      </c>
      <c r="EZ4" s="32" t="s">
        <v>65</v>
      </c>
      <c r="FA4" s="32" t="s">
        <v>65</v>
      </c>
      <c r="FB4" s="32" t="s">
        <v>65</v>
      </c>
      <c r="FC4" s="32" t="s">
        <v>65</v>
      </c>
      <c r="FD4" s="32" t="s">
        <v>65</v>
      </c>
      <c r="FE4" s="32" t="s">
        <v>65</v>
      </c>
      <c r="FF4" s="32" t="s">
        <v>65</v>
      </c>
      <c r="FG4" s="32" t="s">
        <v>65</v>
      </c>
      <c r="FH4" s="32" t="s">
        <v>65</v>
      </c>
      <c r="FI4" s="32" t="s">
        <v>65</v>
      </c>
      <c r="FJ4" s="32" t="s">
        <v>65</v>
      </c>
      <c r="FK4" s="32" t="s">
        <v>65</v>
      </c>
      <c r="FL4" s="32" t="s">
        <v>65</v>
      </c>
      <c r="FM4" s="32" t="s">
        <v>65</v>
      </c>
      <c r="FN4" s="32" t="s">
        <v>65</v>
      </c>
      <c r="FO4" s="32" t="s">
        <v>65</v>
      </c>
      <c r="FP4" s="32" t="s">
        <v>65</v>
      </c>
      <c r="FQ4" s="32" t="s">
        <v>65</v>
      </c>
      <c r="FR4" s="32" t="s">
        <v>65</v>
      </c>
      <c r="FS4" s="32" t="s">
        <v>65</v>
      </c>
      <c r="FT4" s="32" t="s">
        <v>65</v>
      </c>
      <c r="FU4" s="32" t="s">
        <v>65</v>
      </c>
      <c r="FV4" s="32" t="s">
        <v>65</v>
      </c>
      <c r="FW4" s="32" t="s">
        <v>65</v>
      </c>
      <c r="FX4" s="32" t="s">
        <v>65</v>
      </c>
      <c r="FY4" s="32" t="s">
        <v>65</v>
      </c>
      <c r="FZ4" s="32" t="s">
        <v>65</v>
      </c>
      <c r="GA4" s="32" t="s">
        <v>65</v>
      </c>
      <c r="GB4" s="32" t="s">
        <v>65</v>
      </c>
      <c r="GC4" s="32" t="s">
        <v>65</v>
      </c>
      <c r="GD4" s="32" t="s">
        <v>65</v>
      </c>
      <c r="GE4" s="32" t="s">
        <v>65</v>
      </c>
      <c r="GF4" s="32" t="s">
        <v>65</v>
      </c>
      <c r="GG4" s="32" t="s">
        <v>65</v>
      </c>
      <c r="GH4" s="32" t="s">
        <v>65</v>
      </c>
      <c r="GI4" s="32" t="s">
        <v>65</v>
      </c>
      <c r="GJ4" s="32" t="s">
        <v>65</v>
      </c>
      <c r="GK4" s="32" t="s">
        <v>65</v>
      </c>
      <c r="GL4" s="32" t="s">
        <v>65</v>
      </c>
      <c r="GM4" s="32" t="s">
        <v>65</v>
      </c>
      <c r="GN4" s="32" t="s">
        <v>65</v>
      </c>
      <c r="GO4" s="32" t="s">
        <v>65</v>
      </c>
      <c r="GP4" s="32" t="s">
        <v>65</v>
      </c>
      <c r="GQ4" s="32" t="s">
        <v>65</v>
      </c>
      <c r="GR4" s="32" t="s">
        <v>65</v>
      </c>
      <c r="GS4" s="32" t="s">
        <v>62</v>
      </c>
      <c r="GT4" s="32" t="s">
        <v>62</v>
      </c>
      <c r="GU4" s="32" t="s">
        <v>65</v>
      </c>
      <c r="GV4" s="32" t="s">
        <v>65</v>
      </c>
      <c r="GW4" s="32" t="s">
        <v>65</v>
      </c>
      <c r="GX4" s="32" t="s">
        <v>65</v>
      </c>
      <c r="GY4" s="32" t="s">
        <v>65</v>
      </c>
      <c r="GZ4" s="32" t="s">
        <v>65</v>
      </c>
      <c r="HA4" s="32" t="s">
        <v>65</v>
      </c>
      <c r="HB4" s="32" t="s">
        <v>65</v>
      </c>
      <c r="HC4" s="32" t="s">
        <v>65</v>
      </c>
      <c r="HD4" s="32" t="s">
        <v>65</v>
      </c>
      <c r="HE4" s="32" t="s">
        <v>62</v>
      </c>
      <c r="HF4" s="32" t="s">
        <v>64</v>
      </c>
      <c r="HG4" s="32" t="s">
        <v>64</v>
      </c>
      <c r="HH4" s="32" t="s">
        <v>64</v>
      </c>
      <c r="HI4" s="32" t="s">
        <v>64</v>
      </c>
      <c r="HJ4" s="32" t="s">
        <v>64</v>
      </c>
      <c r="HK4" s="32" t="s">
        <v>64</v>
      </c>
      <c r="HL4" s="32" t="s">
        <v>64</v>
      </c>
      <c r="HM4" s="32" t="s">
        <v>64</v>
      </c>
      <c r="HN4" s="32" t="s">
        <v>64</v>
      </c>
      <c r="HO4" s="32" t="s">
        <v>64</v>
      </c>
      <c r="HP4" s="32" t="s">
        <v>64</v>
      </c>
      <c r="HQ4" s="32" t="s">
        <v>64</v>
      </c>
      <c r="HR4" s="32" t="s">
        <v>64</v>
      </c>
      <c r="HS4" s="32" t="s">
        <v>64</v>
      </c>
      <c r="HT4" s="32" t="s">
        <v>64</v>
      </c>
      <c r="HU4" s="32" t="s">
        <v>64</v>
      </c>
      <c r="HV4" s="32" t="s">
        <v>64</v>
      </c>
      <c r="HW4" s="32" t="s">
        <v>64</v>
      </c>
      <c r="HX4" s="32" t="s">
        <v>64</v>
      </c>
      <c r="HY4" s="32" t="s">
        <v>64</v>
      </c>
      <c r="HZ4" s="32" t="s">
        <v>64</v>
      </c>
      <c r="IA4" s="32" t="s">
        <v>64</v>
      </c>
      <c r="IB4" s="32" t="s">
        <v>64</v>
      </c>
      <c r="IC4" s="32" t="s">
        <v>64</v>
      </c>
      <c r="ID4" s="32" t="s">
        <v>64</v>
      </c>
      <c r="IE4" s="32" t="s">
        <v>64</v>
      </c>
      <c r="IF4" s="32" t="s">
        <v>64</v>
      </c>
      <c r="IG4" s="32" t="s">
        <v>64</v>
      </c>
      <c r="IH4" s="32" t="s">
        <v>64</v>
      </c>
      <c r="II4" s="32" t="s">
        <v>64</v>
      </c>
      <c r="IJ4" s="32" t="s">
        <v>64</v>
      </c>
      <c r="IK4" s="32" t="s">
        <v>65</v>
      </c>
      <c r="IL4" s="32" t="s">
        <v>64</v>
      </c>
      <c r="IM4" s="32" t="s">
        <v>64</v>
      </c>
      <c r="IN4" s="32" t="s">
        <v>64</v>
      </c>
      <c r="IO4" s="32" t="s">
        <v>65</v>
      </c>
      <c r="IP4" s="32" t="s">
        <v>64</v>
      </c>
      <c r="IQ4" s="32" t="s">
        <v>64</v>
      </c>
      <c r="IR4" s="32" t="s">
        <v>64</v>
      </c>
      <c r="IS4" s="32" t="s">
        <v>65</v>
      </c>
      <c r="IT4" s="32" t="s">
        <v>64</v>
      </c>
      <c r="IU4" s="32" t="s">
        <v>64</v>
      </c>
      <c r="IV4" s="32" t="s">
        <v>64</v>
      </c>
      <c r="IW4" s="32" t="s">
        <v>65</v>
      </c>
      <c r="IX4" s="32" t="s">
        <v>64</v>
      </c>
      <c r="IY4" s="32" t="s">
        <v>64</v>
      </c>
      <c r="IZ4" s="32" t="s">
        <v>64</v>
      </c>
      <c r="JA4" s="32" t="s">
        <v>65</v>
      </c>
      <c r="JB4" s="32" t="s">
        <v>64</v>
      </c>
      <c r="JC4" s="32" t="s">
        <v>64</v>
      </c>
      <c r="JD4" s="32" t="s">
        <v>64</v>
      </c>
      <c r="JE4" s="32" t="s">
        <v>65</v>
      </c>
      <c r="JF4" s="32" t="s">
        <v>64</v>
      </c>
      <c r="JG4" s="32" t="s">
        <v>64</v>
      </c>
      <c r="JH4" s="32" t="s">
        <v>64</v>
      </c>
      <c r="JI4" s="32" t="s">
        <v>65</v>
      </c>
      <c r="JJ4" s="32" t="s">
        <v>64</v>
      </c>
      <c r="JK4" s="32" t="s">
        <v>64</v>
      </c>
      <c r="JL4" s="32" t="s">
        <v>64</v>
      </c>
      <c r="JM4" s="32" t="s">
        <v>65</v>
      </c>
      <c r="JN4" s="32" t="s">
        <v>64</v>
      </c>
      <c r="JO4" s="32" t="s">
        <v>64</v>
      </c>
      <c r="JP4" s="32" t="s">
        <v>64</v>
      </c>
      <c r="JQ4" s="32" t="s">
        <v>65</v>
      </c>
      <c r="JR4" s="32" t="s">
        <v>64</v>
      </c>
      <c r="JS4" s="32" t="s">
        <v>64</v>
      </c>
      <c r="JT4" s="32" t="s">
        <v>64</v>
      </c>
      <c r="JU4" s="32" t="s">
        <v>65</v>
      </c>
      <c r="JV4" s="32" t="s">
        <v>64</v>
      </c>
      <c r="JW4" s="32" t="s">
        <v>64</v>
      </c>
      <c r="JX4" s="32" t="s">
        <v>64</v>
      </c>
      <c r="JY4" s="32" t="s">
        <v>62</v>
      </c>
      <c r="JZ4" s="32" t="s">
        <v>63</v>
      </c>
      <c r="KA4" s="32" t="s">
        <v>62</v>
      </c>
      <c r="KB4" s="32" t="s">
        <v>62</v>
      </c>
      <c r="KC4" s="32" t="s">
        <v>62</v>
      </c>
      <c r="KD4" s="32" t="s">
        <v>63</v>
      </c>
      <c r="KE4" s="32" t="s">
        <v>63</v>
      </c>
      <c r="KF4" s="32" t="s">
        <v>63</v>
      </c>
      <c r="KG4" s="32" t="s">
        <v>64</v>
      </c>
      <c r="KH4" s="32" t="s">
        <v>62</v>
      </c>
      <c r="KI4" s="32" t="s">
        <v>63</v>
      </c>
      <c r="KJ4" s="32" t="s">
        <v>63</v>
      </c>
      <c r="KK4" s="32" t="s">
        <v>63</v>
      </c>
      <c r="KL4" s="32" t="s">
        <v>62</v>
      </c>
      <c r="KM4" s="32" t="s">
        <v>63</v>
      </c>
      <c r="KN4" s="32" t="s">
        <v>62</v>
      </c>
      <c r="KO4" s="32" t="s">
        <v>65</v>
      </c>
      <c r="KP4" s="32" t="s">
        <v>63</v>
      </c>
      <c r="KQ4" s="32" t="s">
        <v>63</v>
      </c>
      <c r="KR4" s="32" t="s">
        <v>62</v>
      </c>
      <c r="KS4" s="32" t="s">
        <v>62</v>
      </c>
      <c r="KT4" s="32" t="s">
        <v>62</v>
      </c>
      <c r="KU4" s="32" t="s">
        <v>63</v>
      </c>
      <c r="KV4" s="32" t="s">
        <v>65</v>
      </c>
      <c r="KW4" s="32" t="s">
        <v>63</v>
      </c>
      <c r="KX4" s="32" t="s">
        <v>62</v>
      </c>
      <c r="KY4" s="32" t="s">
        <v>62</v>
      </c>
      <c r="KZ4" s="32" t="s">
        <v>63</v>
      </c>
      <c r="LA4" s="32" t="s">
        <v>63</v>
      </c>
    </row>
    <row r="5" spans="1:313" ht="50" customHeight="1">
      <c r="A5" s="19" t="s">
        <v>217</v>
      </c>
      <c r="B5" s="19" t="s">
        <v>96</v>
      </c>
      <c r="C5" s="19" t="s">
        <v>218</v>
      </c>
      <c r="D5" s="19" t="s">
        <v>219</v>
      </c>
      <c r="E5" s="19" t="s">
        <v>220</v>
      </c>
      <c r="F5" s="19" t="s">
        <v>221</v>
      </c>
      <c r="G5" s="19" t="s">
        <v>222</v>
      </c>
      <c r="H5" s="19" t="s">
        <v>223</v>
      </c>
      <c r="I5" s="19" t="s">
        <v>224</v>
      </c>
      <c r="J5" s="19" t="s">
        <v>225</v>
      </c>
      <c r="K5" s="19" t="s">
        <v>226</v>
      </c>
      <c r="L5" s="19" t="s">
        <v>227</v>
      </c>
      <c r="M5" s="19" t="s">
        <v>228</v>
      </c>
      <c r="N5" s="19" t="s">
        <v>229</v>
      </c>
      <c r="O5" s="19" t="s">
        <v>230</v>
      </c>
      <c r="P5" s="19" t="s">
        <v>231</v>
      </c>
      <c r="Q5" s="19" t="s">
        <v>232</v>
      </c>
      <c r="R5" s="19" t="s">
        <v>233</v>
      </c>
      <c r="S5" s="19" t="s">
        <v>234</v>
      </c>
      <c r="T5" s="19" t="s">
        <v>235</v>
      </c>
      <c r="U5" s="19" t="s">
        <v>236</v>
      </c>
      <c r="V5" s="19" t="s">
        <v>237</v>
      </c>
      <c r="W5" s="19" t="s">
        <v>238</v>
      </c>
      <c r="X5" s="19" t="s">
        <v>239</v>
      </c>
      <c r="Y5" s="19" t="s">
        <v>240</v>
      </c>
      <c r="Z5" s="19" t="s">
        <v>241</v>
      </c>
      <c r="AA5" s="19" t="s">
        <v>242</v>
      </c>
      <c r="AB5" s="19" t="s">
        <v>243</v>
      </c>
      <c r="AC5" s="19" t="s">
        <v>244</v>
      </c>
      <c r="AD5" s="19" t="s">
        <v>245</v>
      </c>
      <c r="AE5" s="19" t="s">
        <v>246</v>
      </c>
      <c r="AF5" s="19" t="s">
        <v>247</v>
      </c>
      <c r="AG5" s="19" t="s">
        <v>248</v>
      </c>
      <c r="AH5" s="19" t="s">
        <v>249</v>
      </c>
      <c r="AI5" s="19" t="s">
        <v>250</v>
      </c>
      <c r="AJ5" s="19" t="s">
        <v>251</v>
      </c>
      <c r="AK5" s="19" t="s">
        <v>252</v>
      </c>
      <c r="AL5" s="19" t="s">
        <v>253</v>
      </c>
      <c r="AM5" s="19" t="s">
        <v>254</v>
      </c>
      <c r="AN5" s="19" t="s">
        <v>255</v>
      </c>
      <c r="AO5" s="19" t="s">
        <v>256</v>
      </c>
      <c r="AP5" s="19" t="s">
        <v>257</v>
      </c>
      <c r="AQ5" s="19" t="s">
        <v>258</v>
      </c>
      <c r="AR5" s="19" t="s">
        <v>259</v>
      </c>
      <c r="AS5" s="19" t="s">
        <v>260</v>
      </c>
      <c r="AT5" s="19" t="s">
        <v>261</v>
      </c>
      <c r="AU5" s="19" t="s">
        <v>262</v>
      </c>
      <c r="AV5" s="19" t="s">
        <v>263</v>
      </c>
      <c r="AW5" s="19" t="s">
        <v>264</v>
      </c>
      <c r="AX5" s="19" t="s">
        <v>265</v>
      </c>
      <c r="AY5" s="19" t="s">
        <v>266</v>
      </c>
      <c r="AZ5" s="19" t="s">
        <v>267</v>
      </c>
      <c r="BA5" s="19" t="s">
        <v>268</v>
      </c>
      <c r="BB5" s="19" t="s">
        <v>269</v>
      </c>
      <c r="BC5" s="19" t="s">
        <v>270</v>
      </c>
      <c r="BD5" s="19" t="s">
        <v>271</v>
      </c>
      <c r="BE5" s="19" t="s">
        <v>272</v>
      </c>
      <c r="BF5" s="19" t="s">
        <v>273</v>
      </c>
      <c r="BG5" s="19" t="s">
        <v>274</v>
      </c>
      <c r="BH5" s="19" t="s">
        <v>275</v>
      </c>
      <c r="BI5" s="19" t="s">
        <v>276</v>
      </c>
      <c r="BJ5" s="19" t="s">
        <v>277</v>
      </c>
      <c r="BK5" s="19" t="s">
        <v>278</v>
      </c>
      <c r="BL5" s="19" t="s">
        <v>279</v>
      </c>
      <c r="BM5" s="19" t="s">
        <v>280</v>
      </c>
      <c r="BN5" s="19" t="s">
        <v>281</v>
      </c>
      <c r="BO5" s="19" t="s">
        <v>282</v>
      </c>
      <c r="BP5" s="19" t="s">
        <v>283</v>
      </c>
      <c r="BQ5" s="19" t="s">
        <v>284</v>
      </c>
      <c r="BR5" s="19" t="s">
        <v>285</v>
      </c>
      <c r="BS5" s="19" t="s">
        <v>286</v>
      </c>
      <c r="BT5" s="19" t="s">
        <v>287</v>
      </c>
      <c r="BU5" s="19" t="s">
        <v>288</v>
      </c>
      <c r="BV5" s="19" t="s">
        <v>289</v>
      </c>
      <c r="BW5" s="19" t="s">
        <v>290</v>
      </c>
      <c r="BX5" s="19" t="s">
        <v>291</v>
      </c>
      <c r="BY5" s="19" t="s">
        <v>292</v>
      </c>
      <c r="BZ5" s="19" t="s">
        <v>293</v>
      </c>
      <c r="CA5" s="19" t="s">
        <v>294</v>
      </c>
      <c r="CB5" s="19" t="s">
        <v>295</v>
      </c>
      <c r="CC5" s="19" t="s">
        <v>296</v>
      </c>
      <c r="CD5" s="19" t="s">
        <v>297</v>
      </c>
      <c r="CE5" s="19" t="s">
        <v>298</v>
      </c>
      <c r="CF5" s="19" t="s">
        <v>299</v>
      </c>
      <c r="CG5" s="19" t="s">
        <v>300</v>
      </c>
      <c r="CH5" s="19" t="s">
        <v>301</v>
      </c>
      <c r="CI5" s="19" t="s">
        <v>302</v>
      </c>
      <c r="CJ5" s="19" t="s">
        <v>303</v>
      </c>
      <c r="CK5" s="19" t="s">
        <v>304</v>
      </c>
      <c r="CL5" s="19" t="s">
        <v>305</v>
      </c>
      <c r="CM5" s="19" t="s">
        <v>306</v>
      </c>
      <c r="CN5" s="19" t="s">
        <v>307</v>
      </c>
      <c r="CO5" s="19" t="s">
        <v>308</v>
      </c>
      <c r="CP5" s="19" t="s">
        <v>309</v>
      </c>
      <c r="CQ5" s="19" t="s">
        <v>310</v>
      </c>
      <c r="CR5" s="19" t="s">
        <v>311</v>
      </c>
      <c r="CS5" s="19" t="s">
        <v>312</v>
      </c>
      <c r="CT5" s="19" t="s">
        <v>313</v>
      </c>
      <c r="CU5" s="19" t="s">
        <v>314</v>
      </c>
      <c r="CV5" s="19" t="s">
        <v>315</v>
      </c>
      <c r="CW5" s="19" t="s">
        <v>316</v>
      </c>
      <c r="CX5" s="19" t="s">
        <v>317</v>
      </c>
      <c r="CY5" s="19" t="s">
        <v>318</v>
      </c>
      <c r="CZ5" s="19" t="s">
        <v>319</v>
      </c>
      <c r="DA5" s="19" t="s">
        <v>320</v>
      </c>
      <c r="DB5" s="19" t="s">
        <v>321</v>
      </c>
      <c r="DC5" s="19" t="s">
        <v>322</v>
      </c>
      <c r="DD5" s="19" t="s">
        <v>323</v>
      </c>
      <c r="DE5" s="19" t="s">
        <v>324</v>
      </c>
      <c r="DF5" s="19" t="s">
        <v>325</v>
      </c>
      <c r="DG5" s="19" t="s">
        <v>326</v>
      </c>
      <c r="DH5" s="19" t="s">
        <v>327</v>
      </c>
      <c r="DI5" s="19" t="s">
        <v>328</v>
      </c>
      <c r="DJ5" s="19" t="s">
        <v>329</v>
      </c>
      <c r="DK5" s="19" t="s">
        <v>330</v>
      </c>
      <c r="DL5" s="19" t="s">
        <v>331</v>
      </c>
      <c r="DM5" s="19" t="s">
        <v>332</v>
      </c>
      <c r="DN5" s="19" t="s">
        <v>333</v>
      </c>
      <c r="DO5" s="19" t="s">
        <v>334</v>
      </c>
      <c r="DP5" s="19" t="s">
        <v>335</v>
      </c>
      <c r="DQ5" s="19" t="s">
        <v>336</v>
      </c>
      <c r="DR5" s="19" t="s">
        <v>337</v>
      </c>
      <c r="DS5" s="19" t="s">
        <v>338</v>
      </c>
      <c r="DT5" s="19" t="s">
        <v>339</v>
      </c>
      <c r="DU5" s="19" t="s">
        <v>340</v>
      </c>
      <c r="DV5" s="19" t="s">
        <v>341</v>
      </c>
      <c r="DW5" s="19" t="s">
        <v>342</v>
      </c>
      <c r="DX5" s="19" t="s">
        <v>343</v>
      </c>
      <c r="DY5" s="19" t="s">
        <v>344</v>
      </c>
      <c r="DZ5" s="19" t="s">
        <v>345</v>
      </c>
      <c r="EA5" s="19" t="s">
        <v>346</v>
      </c>
      <c r="EB5" s="19" t="s">
        <v>347</v>
      </c>
      <c r="EC5" s="19" t="s">
        <v>348</v>
      </c>
      <c r="ED5" s="19" t="s">
        <v>349</v>
      </c>
      <c r="EE5" s="19" t="s">
        <v>350</v>
      </c>
      <c r="EF5" s="19" t="s">
        <v>351</v>
      </c>
      <c r="EG5" s="19" t="s">
        <v>352</v>
      </c>
      <c r="EH5" s="19" t="s">
        <v>353</v>
      </c>
      <c r="EI5" s="19" t="s">
        <v>354</v>
      </c>
      <c r="EJ5" s="19" t="s">
        <v>355</v>
      </c>
      <c r="EK5" s="19" t="s">
        <v>356</v>
      </c>
      <c r="EL5" s="19" t="s">
        <v>357</v>
      </c>
      <c r="EM5" s="19" t="s">
        <v>358</v>
      </c>
      <c r="EN5" s="19" t="s">
        <v>359</v>
      </c>
      <c r="EO5" s="19" t="s">
        <v>360</v>
      </c>
      <c r="EP5" s="19" t="s">
        <v>361</v>
      </c>
      <c r="EQ5" s="19" t="s">
        <v>362</v>
      </c>
      <c r="ER5" s="19" t="s">
        <v>363</v>
      </c>
      <c r="ES5" s="19" t="s">
        <v>364</v>
      </c>
      <c r="ET5" s="19" t="s">
        <v>365</v>
      </c>
      <c r="EU5" s="19" t="s">
        <v>366</v>
      </c>
      <c r="EV5" s="19" t="s">
        <v>367</v>
      </c>
      <c r="EW5" s="19" t="s">
        <v>368</v>
      </c>
      <c r="EX5" s="19" t="s">
        <v>369</v>
      </c>
      <c r="EY5" s="19" t="s">
        <v>370</v>
      </c>
      <c r="EZ5" s="19" t="s">
        <v>371</v>
      </c>
      <c r="FA5" s="19" t="s">
        <v>372</v>
      </c>
      <c r="FB5" s="19" t="s">
        <v>373</v>
      </c>
      <c r="FC5" s="19" t="s">
        <v>374</v>
      </c>
      <c r="FD5" s="19" t="s">
        <v>375</v>
      </c>
      <c r="FE5" s="19" t="s">
        <v>376</v>
      </c>
      <c r="FF5" s="19" t="s">
        <v>377</v>
      </c>
      <c r="FG5" s="19" t="s">
        <v>378</v>
      </c>
      <c r="FH5" s="19" t="s">
        <v>379</v>
      </c>
      <c r="FI5" s="19" t="s">
        <v>380</v>
      </c>
      <c r="FJ5" s="19" t="s">
        <v>381</v>
      </c>
      <c r="FK5" s="19" t="s">
        <v>382</v>
      </c>
      <c r="FL5" s="19" t="s">
        <v>383</v>
      </c>
      <c r="FM5" s="19" t="s">
        <v>384</v>
      </c>
      <c r="FN5" s="19" t="s">
        <v>385</v>
      </c>
      <c r="FO5" s="19" t="s">
        <v>386</v>
      </c>
      <c r="FP5" s="19" t="s">
        <v>387</v>
      </c>
      <c r="FQ5" s="19" t="s">
        <v>388</v>
      </c>
      <c r="FR5" s="19" t="s">
        <v>389</v>
      </c>
      <c r="FS5" s="19" t="s">
        <v>390</v>
      </c>
      <c r="FT5" s="19" t="s">
        <v>391</v>
      </c>
      <c r="FU5" s="19" t="s">
        <v>392</v>
      </c>
      <c r="FV5" s="19" t="s">
        <v>393</v>
      </c>
      <c r="FW5" s="19" t="s">
        <v>394</v>
      </c>
      <c r="FX5" s="19" t="s">
        <v>395</v>
      </c>
      <c r="FY5" s="19" t="s">
        <v>396</v>
      </c>
      <c r="FZ5" s="19" t="s">
        <v>397</v>
      </c>
      <c r="GA5" s="19" t="s">
        <v>398</v>
      </c>
      <c r="GB5" s="19" t="s">
        <v>399</v>
      </c>
      <c r="GC5" s="19" t="s">
        <v>400</v>
      </c>
      <c r="GD5" s="19" t="s">
        <v>401</v>
      </c>
      <c r="GE5" s="19" t="s">
        <v>402</v>
      </c>
      <c r="GF5" s="19" t="s">
        <v>403</v>
      </c>
      <c r="GG5" s="19" t="s">
        <v>404</v>
      </c>
      <c r="GH5" s="19" t="s">
        <v>405</v>
      </c>
      <c r="GI5" s="19" t="s">
        <v>406</v>
      </c>
      <c r="GJ5" s="19" t="s">
        <v>407</v>
      </c>
      <c r="GK5" s="19" t="s">
        <v>408</v>
      </c>
      <c r="GL5" s="19" t="s">
        <v>409</v>
      </c>
      <c r="GM5" s="19" t="s">
        <v>410</v>
      </c>
      <c r="GN5" s="19" t="s">
        <v>411</v>
      </c>
      <c r="GO5" s="19" t="s">
        <v>412</v>
      </c>
      <c r="GP5" s="19" t="s">
        <v>413</v>
      </c>
      <c r="GQ5" s="19" t="s">
        <v>414</v>
      </c>
      <c r="GR5" s="19" t="s">
        <v>415</v>
      </c>
      <c r="GS5" s="19" t="s">
        <v>416</v>
      </c>
      <c r="GT5" s="19" t="s">
        <v>417</v>
      </c>
      <c r="GU5" s="19" t="s">
        <v>418</v>
      </c>
      <c r="GV5" s="19" t="s">
        <v>419</v>
      </c>
      <c r="GW5" s="19" t="s">
        <v>420</v>
      </c>
      <c r="GX5" s="19" t="s">
        <v>421</v>
      </c>
      <c r="GY5" s="19" t="s">
        <v>422</v>
      </c>
      <c r="GZ5" s="19" t="s">
        <v>423</v>
      </c>
      <c r="HA5" s="19" t="s">
        <v>424</v>
      </c>
      <c r="HB5" s="19" t="s">
        <v>425</v>
      </c>
      <c r="HC5" s="19" t="s">
        <v>426</v>
      </c>
      <c r="HD5" s="19" t="s">
        <v>427</v>
      </c>
      <c r="HE5" s="19" t="s">
        <v>428</v>
      </c>
      <c r="HF5" s="19" t="s">
        <v>429</v>
      </c>
      <c r="HG5" s="19" t="s">
        <v>430</v>
      </c>
      <c r="HH5" s="19" t="s">
        <v>431</v>
      </c>
      <c r="HI5" s="19" t="s">
        <v>432</v>
      </c>
      <c r="HJ5" s="19" t="s">
        <v>433</v>
      </c>
      <c r="HK5" s="19" t="s">
        <v>434</v>
      </c>
      <c r="HL5" s="19" t="s">
        <v>435</v>
      </c>
      <c r="HM5" s="19" t="s">
        <v>436</v>
      </c>
      <c r="HN5" s="19" t="s">
        <v>437</v>
      </c>
      <c r="HO5" s="19" t="s">
        <v>438</v>
      </c>
      <c r="HP5" s="19" t="s">
        <v>439</v>
      </c>
      <c r="HQ5" s="19" t="s">
        <v>440</v>
      </c>
      <c r="HR5" s="19" t="s">
        <v>441</v>
      </c>
      <c r="HS5" s="19" t="s">
        <v>442</v>
      </c>
      <c r="HT5" s="19" t="s">
        <v>443</v>
      </c>
      <c r="HU5" s="19" t="s">
        <v>444</v>
      </c>
      <c r="HV5" s="19" t="s">
        <v>445</v>
      </c>
      <c r="HW5" s="19" t="s">
        <v>446</v>
      </c>
      <c r="HX5" s="19" t="s">
        <v>447</v>
      </c>
      <c r="HY5" s="19" t="s">
        <v>448</v>
      </c>
      <c r="HZ5" s="19" t="s">
        <v>449</v>
      </c>
      <c r="IA5" s="19" t="s">
        <v>450</v>
      </c>
      <c r="IB5" s="19" t="s">
        <v>451</v>
      </c>
      <c r="IC5" s="19" t="s">
        <v>452</v>
      </c>
      <c r="ID5" s="19" t="s">
        <v>453</v>
      </c>
      <c r="IE5" s="19" t="s">
        <v>454</v>
      </c>
      <c r="IF5" s="19" t="s">
        <v>455</v>
      </c>
      <c r="IG5" s="19" t="s">
        <v>456</v>
      </c>
      <c r="IH5" s="19" t="s">
        <v>457</v>
      </c>
      <c r="II5" s="19" t="s">
        <v>458</v>
      </c>
      <c r="IJ5" s="19" t="s">
        <v>459</v>
      </c>
      <c r="IK5" s="19" t="s">
        <v>460</v>
      </c>
      <c r="IL5" s="19" t="s">
        <v>461</v>
      </c>
      <c r="IM5" s="19" t="s">
        <v>462</v>
      </c>
      <c r="IN5" s="19" t="s">
        <v>463</v>
      </c>
      <c r="IO5" s="19" t="s">
        <v>464</v>
      </c>
      <c r="IP5" s="19" t="s">
        <v>465</v>
      </c>
      <c r="IQ5" s="19" t="s">
        <v>466</v>
      </c>
      <c r="IR5" s="19" t="s">
        <v>467</v>
      </c>
      <c r="IS5" s="19" t="s">
        <v>468</v>
      </c>
      <c r="IT5" s="19" t="s">
        <v>469</v>
      </c>
      <c r="IU5" s="19" t="s">
        <v>470</v>
      </c>
      <c r="IV5" s="19" t="s">
        <v>471</v>
      </c>
      <c r="IW5" s="19" t="s">
        <v>472</v>
      </c>
      <c r="IX5" s="19" t="s">
        <v>473</v>
      </c>
      <c r="IY5" s="19" t="s">
        <v>474</v>
      </c>
      <c r="IZ5" s="19" t="s">
        <v>475</v>
      </c>
      <c r="JA5" s="19" t="s">
        <v>476</v>
      </c>
      <c r="JB5" s="19" t="s">
        <v>477</v>
      </c>
      <c r="JC5" s="19" t="s">
        <v>478</v>
      </c>
      <c r="JD5" s="19" t="s">
        <v>479</v>
      </c>
      <c r="JE5" s="19" t="s">
        <v>480</v>
      </c>
      <c r="JF5" s="19" t="s">
        <v>481</v>
      </c>
      <c r="JG5" s="19" t="s">
        <v>482</v>
      </c>
      <c r="JH5" s="19" t="s">
        <v>483</v>
      </c>
      <c r="JI5" s="19" t="s">
        <v>484</v>
      </c>
      <c r="JJ5" s="19" t="s">
        <v>485</v>
      </c>
      <c r="JK5" s="19" t="s">
        <v>486</v>
      </c>
      <c r="JL5" s="19" t="s">
        <v>487</v>
      </c>
      <c r="JM5" s="19" t="s">
        <v>488</v>
      </c>
      <c r="JN5" s="19" t="s">
        <v>489</v>
      </c>
      <c r="JO5" s="19" t="s">
        <v>490</v>
      </c>
      <c r="JP5" s="19" t="s">
        <v>491</v>
      </c>
      <c r="JQ5" s="19" t="s">
        <v>492</v>
      </c>
      <c r="JR5" s="19" t="s">
        <v>493</v>
      </c>
      <c r="JS5" s="19" t="s">
        <v>494</v>
      </c>
      <c r="JT5" s="19" t="s">
        <v>495</v>
      </c>
      <c r="JU5" s="19" t="s">
        <v>496</v>
      </c>
      <c r="JV5" s="19" t="s">
        <v>497</v>
      </c>
      <c r="JW5" s="19" t="s">
        <v>498</v>
      </c>
      <c r="JX5" s="19" t="s">
        <v>499</v>
      </c>
      <c r="JY5" s="19" t="s">
        <v>500</v>
      </c>
      <c r="JZ5" s="19" t="s">
        <v>501</v>
      </c>
      <c r="KA5" s="19" t="s">
        <v>502</v>
      </c>
      <c r="KB5" s="19" t="s">
        <v>503</v>
      </c>
      <c r="KC5" s="19" t="s">
        <v>504</v>
      </c>
      <c r="KD5" s="19" t="s">
        <v>505</v>
      </c>
      <c r="KE5" s="19" t="s">
        <v>506</v>
      </c>
      <c r="KF5" s="19" t="s">
        <v>507</v>
      </c>
      <c r="KG5" s="19" t="s">
        <v>508</v>
      </c>
      <c r="KH5" s="19" t="s">
        <v>509</v>
      </c>
      <c r="KI5" s="19" t="s">
        <v>510</v>
      </c>
      <c r="KJ5" s="19" t="s">
        <v>511</v>
      </c>
      <c r="KK5" s="19" t="s">
        <v>512</v>
      </c>
      <c r="KL5" s="19" t="s">
        <v>513</v>
      </c>
      <c r="KM5" s="19" t="s">
        <v>514</v>
      </c>
      <c r="KN5" s="19" t="s">
        <v>515</v>
      </c>
      <c r="KO5" s="19" t="s">
        <v>516</v>
      </c>
      <c r="KP5" s="19" t="s">
        <v>517</v>
      </c>
      <c r="KQ5" s="19" t="s">
        <v>518</v>
      </c>
      <c r="KR5" s="19" t="s">
        <v>519</v>
      </c>
      <c r="KS5" s="19" t="s">
        <v>520</v>
      </c>
      <c r="KT5" s="19" t="s">
        <v>521</v>
      </c>
      <c r="KU5" s="33" t="s">
        <v>522</v>
      </c>
      <c r="KV5" s="34" t="s">
        <v>523</v>
      </c>
      <c r="KW5" s="19" t="s">
        <v>524</v>
      </c>
      <c r="KX5" s="19" t="s">
        <v>525</v>
      </c>
      <c r="KY5" s="19" t="s">
        <v>526</v>
      </c>
      <c r="KZ5" s="19" t="s">
        <v>527</v>
      </c>
      <c r="LA5" s="19" t="s">
        <v>528</v>
      </c>
    </row>
    <row r="6" spans="1:313" ht="50" customHeight="1">
      <c r="A6" s="35" t="s">
        <v>529</v>
      </c>
      <c r="B6" s="35" t="s">
        <v>530</v>
      </c>
      <c r="C6" s="35" t="s">
        <v>531</v>
      </c>
      <c r="D6" s="35" t="s">
        <v>532</v>
      </c>
      <c r="E6" s="35" t="s">
        <v>533</v>
      </c>
      <c r="F6" s="35" t="s">
        <v>534</v>
      </c>
      <c r="G6" s="35" t="s">
        <v>535</v>
      </c>
      <c r="H6" s="35" t="s">
        <v>536</v>
      </c>
      <c r="I6" s="35" t="s">
        <v>537</v>
      </c>
      <c r="J6" s="35" t="s">
        <v>538</v>
      </c>
      <c r="K6" s="35" t="s">
        <v>539</v>
      </c>
      <c r="L6" s="35" t="s">
        <v>538</v>
      </c>
      <c r="M6" s="35" t="s">
        <v>539</v>
      </c>
      <c r="N6" s="35" t="s">
        <v>538</v>
      </c>
      <c r="O6" s="35" t="s">
        <v>539</v>
      </c>
      <c r="P6" s="35" t="s">
        <v>540</v>
      </c>
      <c r="Q6" s="35" t="s">
        <v>541</v>
      </c>
      <c r="R6" s="35" t="s">
        <v>542</v>
      </c>
      <c r="S6" s="35" t="s">
        <v>543</v>
      </c>
      <c r="T6" s="35" t="s">
        <v>544</v>
      </c>
      <c r="U6" s="35" t="s">
        <v>545</v>
      </c>
      <c r="V6" s="35" t="s">
        <v>545</v>
      </c>
      <c r="W6" s="35" t="s">
        <v>545</v>
      </c>
      <c r="X6" s="35" t="s">
        <v>545</v>
      </c>
      <c r="Y6" s="35" t="s">
        <v>545</v>
      </c>
      <c r="Z6" s="35" t="s">
        <v>545</v>
      </c>
      <c r="AA6" s="35" t="s">
        <v>545</v>
      </c>
      <c r="AB6" s="35" t="s">
        <v>545</v>
      </c>
      <c r="AC6" s="35" t="s">
        <v>546</v>
      </c>
      <c r="AD6" s="35" t="s">
        <v>547</v>
      </c>
      <c r="AE6" s="35" t="s">
        <v>548</v>
      </c>
      <c r="AF6" s="35" t="s">
        <v>549</v>
      </c>
      <c r="AG6" s="35" t="s">
        <v>550</v>
      </c>
      <c r="AH6" s="35" t="s">
        <v>551</v>
      </c>
      <c r="AI6" s="35" t="s">
        <v>552</v>
      </c>
      <c r="AJ6" s="35" t="s">
        <v>553</v>
      </c>
      <c r="AK6" s="35" t="s">
        <v>554</v>
      </c>
      <c r="AL6" s="35" t="s">
        <v>555</v>
      </c>
      <c r="AM6" s="35" t="s">
        <v>556</v>
      </c>
      <c r="AN6" s="35" t="s">
        <v>557</v>
      </c>
      <c r="AO6" s="35" t="s">
        <v>558</v>
      </c>
      <c r="AP6" s="35" t="s">
        <v>559</v>
      </c>
      <c r="AQ6" s="35" t="s">
        <v>560</v>
      </c>
      <c r="AR6" s="35" t="s">
        <v>561</v>
      </c>
      <c r="AS6" s="35" t="s">
        <v>558</v>
      </c>
      <c r="AT6" s="35" t="s">
        <v>559</v>
      </c>
      <c r="AU6" s="35" t="s">
        <v>560</v>
      </c>
      <c r="AV6" s="35" t="s">
        <v>561</v>
      </c>
      <c r="AW6" s="35" t="s">
        <v>558</v>
      </c>
      <c r="AX6" s="35" t="s">
        <v>559</v>
      </c>
      <c r="AY6" s="35" t="s">
        <v>560</v>
      </c>
      <c r="AZ6" s="35" t="s">
        <v>561</v>
      </c>
      <c r="BA6" s="35" t="s">
        <v>558</v>
      </c>
      <c r="BB6" s="35" t="s">
        <v>559</v>
      </c>
      <c r="BC6" s="35" t="s">
        <v>560</v>
      </c>
      <c r="BD6" s="35" t="s">
        <v>561</v>
      </c>
      <c r="BE6" s="35" t="s">
        <v>558</v>
      </c>
      <c r="BF6" s="35" t="s">
        <v>559</v>
      </c>
      <c r="BG6" s="35" t="s">
        <v>560</v>
      </c>
      <c r="BH6" s="35" t="s">
        <v>561</v>
      </c>
      <c r="BI6" s="35" t="s">
        <v>558</v>
      </c>
      <c r="BJ6" s="35" t="s">
        <v>559</v>
      </c>
      <c r="BK6" s="35" t="s">
        <v>560</v>
      </c>
      <c r="BL6" s="35" t="s">
        <v>561</v>
      </c>
      <c r="BM6" s="35" t="s">
        <v>558</v>
      </c>
      <c r="BN6" s="35" t="s">
        <v>559</v>
      </c>
      <c r="BO6" s="35" t="s">
        <v>560</v>
      </c>
      <c r="BP6" s="35" t="s">
        <v>561</v>
      </c>
      <c r="BQ6" s="35" t="s">
        <v>558</v>
      </c>
      <c r="BR6" s="35" t="s">
        <v>559</v>
      </c>
      <c r="BS6" s="35" t="s">
        <v>560</v>
      </c>
      <c r="BT6" s="35" t="s">
        <v>561</v>
      </c>
      <c r="BU6" s="35" t="s">
        <v>558</v>
      </c>
      <c r="BV6" s="35" t="s">
        <v>559</v>
      </c>
      <c r="BW6" s="35" t="s">
        <v>560</v>
      </c>
      <c r="BX6" s="35" t="s">
        <v>561</v>
      </c>
      <c r="BY6" s="35" t="s">
        <v>558</v>
      </c>
      <c r="BZ6" s="35" t="s">
        <v>559</v>
      </c>
      <c r="CA6" s="35" t="s">
        <v>560</v>
      </c>
      <c r="CB6" s="35" t="s">
        <v>561</v>
      </c>
      <c r="CC6" s="35" t="s">
        <v>558</v>
      </c>
      <c r="CD6" s="35" t="s">
        <v>559</v>
      </c>
      <c r="CE6" s="35" t="s">
        <v>560</v>
      </c>
      <c r="CF6" s="35" t="s">
        <v>561</v>
      </c>
      <c r="CG6" s="35" t="s">
        <v>558</v>
      </c>
      <c r="CH6" s="35" t="s">
        <v>559</v>
      </c>
      <c r="CI6" s="35" t="s">
        <v>560</v>
      </c>
      <c r="CJ6" s="35" t="s">
        <v>561</v>
      </c>
      <c r="CK6" s="35" t="s">
        <v>558</v>
      </c>
      <c r="CL6" s="35" t="s">
        <v>559</v>
      </c>
      <c r="CM6" s="35" t="s">
        <v>560</v>
      </c>
      <c r="CN6" s="35" t="s">
        <v>561</v>
      </c>
      <c r="CO6" s="35" t="s">
        <v>558</v>
      </c>
      <c r="CP6" s="35" t="s">
        <v>559</v>
      </c>
      <c r="CQ6" s="35" t="s">
        <v>560</v>
      </c>
      <c r="CR6" s="35" t="s">
        <v>561</v>
      </c>
      <c r="CS6" s="35" t="s">
        <v>558</v>
      </c>
      <c r="CT6" s="35" t="s">
        <v>559</v>
      </c>
      <c r="CU6" s="35" t="s">
        <v>560</v>
      </c>
      <c r="CV6" s="35" t="s">
        <v>561</v>
      </c>
      <c r="CW6" s="35" t="s">
        <v>558</v>
      </c>
      <c r="CX6" s="35" t="s">
        <v>559</v>
      </c>
      <c r="CY6" s="35" t="s">
        <v>560</v>
      </c>
      <c r="CZ6" s="35" t="s">
        <v>561</v>
      </c>
      <c r="DA6" s="35" t="s">
        <v>558</v>
      </c>
      <c r="DB6" s="35" t="s">
        <v>559</v>
      </c>
      <c r="DC6" s="35" t="s">
        <v>560</v>
      </c>
      <c r="DD6" s="35" t="s">
        <v>561</v>
      </c>
      <c r="DE6" s="35" t="s">
        <v>558</v>
      </c>
      <c r="DF6" s="35" t="s">
        <v>559</v>
      </c>
      <c r="DG6" s="35" t="s">
        <v>560</v>
      </c>
      <c r="DH6" s="35" t="s">
        <v>561</v>
      </c>
      <c r="DI6" s="35" t="s">
        <v>558</v>
      </c>
      <c r="DJ6" s="35" t="s">
        <v>559</v>
      </c>
      <c r="DK6" s="35" t="s">
        <v>560</v>
      </c>
      <c r="DL6" s="35" t="s">
        <v>561</v>
      </c>
      <c r="DM6" s="35" t="s">
        <v>558</v>
      </c>
      <c r="DN6" s="35" t="s">
        <v>559</v>
      </c>
      <c r="DO6" s="35" t="s">
        <v>560</v>
      </c>
      <c r="DP6" s="35" t="s">
        <v>561</v>
      </c>
      <c r="DQ6" s="35" t="s">
        <v>558</v>
      </c>
      <c r="DR6" s="35" t="s">
        <v>559</v>
      </c>
      <c r="DS6" s="35" t="s">
        <v>560</v>
      </c>
      <c r="DT6" s="35" t="s">
        <v>561</v>
      </c>
      <c r="DU6" s="35" t="s">
        <v>558</v>
      </c>
      <c r="DV6" s="35" t="s">
        <v>559</v>
      </c>
      <c r="DW6" s="35" t="s">
        <v>560</v>
      </c>
      <c r="DX6" s="35" t="s">
        <v>561</v>
      </c>
      <c r="DY6" s="35" t="s">
        <v>558</v>
      </c>
      <c r="DZ6" s="35" t="s">
        <v>559</v>
      </c>
      <c r="EA6" s="35" t="s">
        <v>560</v>
      </c>
      <c r="EB6" s="35" t="s">
        <v>561</v>
      </c>
      <c r="EC6" s="35" t="s">
        <v>558</v>
      </c>
      <c r="ED6" s="35" t="s">
        <v>559</v>
      </c>
      <c r="EE6" s="35" t="s">
        <v>560</v>
      </c>
      <c r="EF6" s="35" t="s">
        <v>561</v>
      </c>
      <c r="EG6" s="35" t="s">
        <v>558</v>
      </c>
      <c r="EH6" s="35" t="s">
        <v>559</v>
      </c>
      <c r="EI6" s="35" t="s">
        <v>560</v>
      </c>
      <c r="EJ6" s="35" t="s">
        <v>561</v>
      </c>
      <c r="EK6" s="35" t="s">
        <v>558</v>
      </c>
      <c r="EL6" s="35" t="s">
        <v>559</v>
      </c>
      <c r="EM6" s="35" t="s">
        <v>560</v>
      </c>
      <c r="EN6" s="35" t="s">
        <v>561</v>
      </c>
      <c r="EO6" s="35" t="s">
        <v>558</v>
      </c>
      <c r="EP6" s="35" t="s">
        <v>559</v>
      </c>
      <c r="EQ6" s="35" t="s">
        <v>560</v>
      </c>
      <c r="ER6" s="35" t="s">
        <v>561</v>
      </c>
      <c r="ES6" s="35" t="s">
        <v>558</v>
      </c>
      <c r="ET6" s="35" t="s">
        <v>559</v>
      </c>
      <c r="EU6" s="35" t="s">
        <v>560</v>
      </c>
      <c r="EV6" s="35" t="s">
        <v>561</v>
      </c>
      <c r="EW6" s="35" t="s">
        <v>558</v>
      </c>
      <c r="EX6" s="35" t="s">
        <v>559</v>
      </c>
      <c r="EY6" s="35" t="s">
        <v>560</v>
      </c>
      <c r="EZ6" s="35" t="s">
        <v>561</v>
      </c>
      <c r="FA6" s="35" t="s">
        <v>558</v>
      </c>
      <c r="FB6" s="35" t="s">
        <v>559</v>
      </c>
      <c r="FC6" s="35" t="s">
        <v>560</v>
      </c>
      <c r="FD6" s="35" t="s">
        <v>561</v>
      </c>
      <c r="FE6" s="35" t="s">
        <v>558</v>
      </c>
      <c r="FF6" s="35" t="s">
        <v>559</v>
      </c>
      <c r="FG6" s="35" t="s">
        <v>560</v>
      </c>
      <c r="FH6" s="35" t="s">
        <v>561</v>
      </c>
      <c r="FI6" s="35" t="s">
        <v>558</v>
      </c>
      <c r="FJ6" s="35" t="s">
        <v>559</v>
      </c>
      <c r="FK6" s="35" t="s">
        <v>560</v>
      </c>
      <c r="FL6" s="35" t="s">
        <v>561</v>
      </c>
      <c r="FM6" s="35" t="s">
        <v>558</v>
      </c>
      <c r="FN6" s="35" t="s">
        <v>559</v>
      </c>
      <c r="FO6" s="35" t="s">
        <v>560</v>
      </c>
      <c r="FP6" s="35" t="s">
        <v>561</v>
      </c>
      <c r="FQ6" s="35" t="s">
        <v>558</v>
      </c>
      <c r="FR6" s="35" t="s">
        <v>559</v>
      </c>
      <c r="FS6" s="35" t="s">
        <v>560</v>
      </c>
      <c r="FT6" s="35" t="s">
        <v>561</v>
      </c>
      <c r="FU6" s="35" t="s">
        <v>558</v>
      </c>
      <c r="FV6" s="35" t="s">
        <v>559</v>
      </c>
      <c r="FW6" s="35" t="s">
        <v>560</v>
      </c>
      <c r="FX6" s="35" t="s">
        <v>561</v>
      </c>
      <c r="FY6" s="35" t="s">
        <v>558</v>
      </c>
      <c r="FZ6" s="35" t="s">
        <v>559</v>
      </c>
      <c r="GA6" s="35" t="s">
        <v>560</v>
      </c>
      <c r="GB6" s="35" t="s">
        <v>561</v>
      </c>
      <c r="GC6" s="35" t="s">
        <v>558</v>
      </c>
      <c r="GD6" s="35" t="s">
        <v>559</v>
      </c>
      <c r="GE6" s="35" t="s">
        <v>560</v>
      </c>
      <c r="GF6" s="35" t="s">
        <v>561</v>
      </c>
      <c r="GG6" s="35" t="s">
        <v>558</v>
      </c>
      <c r="GH6" s="35" t="s">
        <v>559</v>
      </c>
      <c r="GI6" s="35" t="s">
        <v>560</v>
      </c>
      <c r="GJ6" s="35" t="s">
        <v>561</v>
      </c>
      <c r="GK6" s="35" t="s">
        <v>558</v>
      </c>
      <c r="GL6" s="35" t="s">
        <v>559</v>
      </c>
      <c r="GM6" s="35" t="s">
        <v>560</v>
      </c>
      <c r="GN6" s="35" t="s">
        <v>561</v>
      </c>
      <c r="GO6" s="35" t="s">
        <v>558</v>
      </c>
      <c r="GP6" s="35" t="s">
        <v>559</v>
      </c>
      <c r="GQ6" s="35" t="s">
        <v>560</v>
      </c>
      <c r="GR6" s="35" t="s">
        <v>561</v>
      </c>
      <c r="GS6" s="35" t="s">
        <v>562</v>
      </c>
      <c r="GT6" s="35" t="s">
        <v>563</v>
      </c>
      <c r="GU6" s="35" t="s">
        <v>564</v>
      </c>
      <c r="GV6" s="35" t="s">
        <v>565</v>
      </c>
      <c r="GW6" s="35" t="s">
        <v>564</v>
      </c>
      <c r="GX6" s="35" t="s">
        <v>565</v>
      </c>
      <c r="GY6" s="35" t="s">
        <v>564</v>
      </c>
      <c r="GZ6" s="35" t="s">
        <v>565</v>
      </c>
      <c r="HA6" s="35" t="s">
        <v>564</v>
      </c>
      <c r="HB6" s="35" t="s">
        <v>565</v>
      </c>
      <c r="HC6" s="35" t="s">
        <v>564</v>
      </c>
      <c r="HD6" s="35" t="s">
        <v>565</v>
      </c>
      <c r="HE6" s="35" t="s">
        <v>566</v>
      </c>
      <c r="HF6" s="35" t="s">
        <v>566</v>
      </c>
      <c r="HG6" s="35" t="s">
        <v>566</v>
      </c>
      <c r="HH6" s="35" t="s">
        <v>566</v>
      </c>
      <c r="HI6" s="35" t="s">
        <v>566</v>
      </c>
      <c r="HJ6" s="35" t="s">
        <v>566</v>
      </c>
      <c r="HK6" s="35" t="s">
        <v>566</v>
      </c>
      <c r="HL6" s="35" t="s">
        <v>566</v>
      </c>
      <c r="HM6" s="35" t="s">
        <v>566</v>
      </c>
      <c r="HN6" s="35" t="s">
        <v>566</v>
      </c>
      <c r="HO6" s="35" t="s">
        <v>566</v>
      </c>
      <c r="HP6" s="35" t="s">
        <v>566</v>
      </c>
      <c r="HQ6" s="35" t="s">
        <v>566</v>
      </c>
      <c r="HR6" s="35" t="s">
        <v>566</v>
      </c>
      <c r="HS6" s="35" t="s">
        <v>566</v>
      </c>
      <c r="HT6" s="35" t="s">
        <v>566</v>
      </c>
      <c r="HU6" s="35" t="s">
        <v>566</v>
      </c>
      <c r="HV6" s="35" t="s">
        <v>566</v>
      </c>
      <c r="HW6" s="35" t="s">
        <v>566</v>
      </c>
      <c r="HX6" s="35" t="s">
        <v>566</v>
      </c>
      <c r="HY6" s="35" t="s">
        <v>566</v>
      </c>
      <c r="HZ6" s="35" t="s">
        <v>566</v>
      </c>
      <c r="IA6" s="35" t="s">
        <v>566</v>
      </c>
      <c r="IB6" s="35" t="s">
        <v>566</v>
      </c>
      <c r="IC6" s="35" t="s">
        <v>566</v>
      </c>
      <c r="ID6" s="35" t="s">
        <v>566</v>
      </c>
      <c r="IE6" s="35" t="s">
        <v>566</v>
      </c>
      <c r="IF6" s="35" t="s">
        <v>566</v>
      </c>
      <c r="IG6" s="35" t="s">
        <v>566</v>
      </c>
      <c r="IH6" s="35" t="s">
        <v>566</v>
      </c>
      <c r="II6" s="35" t="s">
        <v>567</v>
      </c>
      <c r="IJ6" s="35" t="s">
        <v>567</v>
      </c>
      <c r="IK6" s="35" t="s">
        <v>568</v>
      </c>
      <c r="IL6" s="35" t="s">
        <v>569</v>
      </c>
      <c r="IM6" s="35" t="s">
        <v>570</v>
      </c>
      <c r="IN6" s="35" t="s">
        <v>571</v>
      </c>
      <c r="IO6" s="35" t="s">
        <v>568</v>
      </c>
      <c r="IP6" s="35" t="s">
        <v>569</v>
      </c>
      <c r="IQ6" s="35" t="s">
        <v>570</v>
      </c>
      <c r="IR6" s="35" t="s">
        <v>571</v>
      </c>
      <c r="IS6" s="35" t="s">
        <v>568</v>
      </c>
      <c r="IT6" s="35" t="s">
        <v>569</v>
      </c>
      <c r="IU6" s="35" t="s">
        <v>570</v>
      </c>
      <c r="IV6" s="35" t="s">
        <v>571</v>
      </c>
      <c r="IW6" s="35" t="s">
        <v>568</v>
      </c>
      <c r="IX6" s="35" t="s">
        <v>569</v>
      </c>
      <c r="IY6" s="35" t="s">
        <v>570</v>
      </c>
      <c r="IZ6" s="35" t="s">
        <v>571</v>
      </c>
      <c r="JA6" s="35" t="s">
        <v>568</v>
      </c>
      <c r="JB6" s="35" t="s">
        <v>569</v>
      </c>
      <c r="JC6" s="35" t="s">
        <v>570</v>
      </c>
      <c r="JD6" s="35" t="s">
        <v>571</v>
      </c>
      <c r="JE6" s="35" t="s">
        <v>568</v>
      </c>
      <c r="JF6" s="35" t="s">
        <v>569</v>
      </c>
      <c r="JG6" s="35" t="s">
        <v>570</v>
      </c>
      <c r="JH6" s="35" t="s">
        <v>571</v>
      </c>
      <c r="JI6" s="35" t="s">
        <v>568</v>
      </c>
      <c r="JJ6" s="35" t="s">
        <v>569</v>
      </c>
      <c r="JK6" s="35" t="s">
        <v>570</v>
      </c>
      <c r="JL6" s="35" t="s">
        <v>571</v>
      </c>
      <c r="JM6" s="35" t="s">
        <v>568</v>
      </c>
      <c r="JN6" s="35" t="s">
        <v>569</v>
      </c>
      <c r="JO6" s="35" t="s">
        <v>570</v>
      </c>
      <c r="JP6" s="35" t="s">
        <v>571</v>
      </c>
      <c r="JQ6" s="35" t="s">
        <v>568</v>
      </c>
      <c r="JR6" s="35" t="s">
        <v>569</v>
      </c>
      <c r="JS6" s="35" t="s">
        <v>570</v>
      </c>
      <c r="JT6" s="35" t="s">
        <v>571</v>
      </c>
      <c r="JU6" s="35" t="s">
        <v>568</v>
      </c>
      <c r="JV6" s="35" t="s">
        <v>569</v>
      </c>
      <c r="JW6" s="35" t="s">
        <v>570</v>
      </c>
      <c r="JX6" s="35" t="s">
        <v>571</v>
      </c>
      <c r="JY6" s="35" t="s">
        <v>572</v>
      </c>
      <c r="JZ6" s="35" t="s">
        <v>573</v>
      </c>
      <c r="KA6" s="35" t="s">
        <v>574</v>
      </c>
      <c r="KB6" s="35" t="s">
        <v>575</v>
      </c>
      <c r="KC6" s="35" t="s">
        <v>576</v>
      </c>
      <c r="KD6" s="35" t="s">
        <v>577</v>
      </c>
      <c r="KE6" s="35" t="s">
        <v>578</v>
      </c>
      <c r="KF6" s="35" t="s">
        <v>579</v>
      </c>
      <c r="KG6" s="35" t="s">
        <v>580</v>
      </c>
      <c r="KH6" s="35" t="s">
        <v>581</v>
      </c>
      <c r="KI6" s="35" t="s">
        <v>582</v>
      </c>
      <c r="KJ6" s="35" t="s">
        <v>583</v>
      </c>
      <c r="KK6" s="35" t="s">
        <v>584</v>
      </c>
      <c r="KL6" s="35" t="s">
        <v>585</v>
      </c>
      <c r="KM6" s="35" t="s">
        <v>586</v>
      </c>
      <c r="KN6" s="35" t="s">
        <v>587</v>
      </c>
      <c r="KO6" s="35" t="s">
        <v>588</v>
      </c>
      <c r="KP6" s="35" t="s">
        <v>589</v>
      </c>
      <c r="KQ6" s="35" t="s">
        <v>590</v>
      </c>
      <c r="KR6" s="35" t="s">
        <v>591</v>
      </c>
      <c r="KS6" s="35" t="s">
        <v>592</v>
      </c>
      <c r="KT6" s="35" t="s">
        <v>593</v>
      </c>
      <c r="KU6" s="35" t="s">
        <v>594</v>
      </c>
      <c r="KV6" s="35" t="s">
        <v>595</v>
      </c>
      <c r="KW6" s="35" t="s">
        <v>596</v>
      </c>
      <c r="KX6" s="35" t="s">
        <v>597</v>
      </c>
      <c r="KY6" s="35" t="s">
        <v>598</v>
      </c>
      <c r="KZ6" s="35" t="s">
        <v>599</v>
      </c>
      <c r="LA6" s="35" t="s">
        <v>600</v>
      </c>
    </row>
    <row r="7" spans="1:313" ht="50" customHeight="1">
      <c r="A7" s="35" t="s">
        <v>601</v>
      </c>
      <c r="B7" s="35" t="s">
        <v>67</v>
      </c>
      <c r="C7" s="35" t="s">
        <v>67</v>
      </c>
      <c r="D7" s="35" t="s">
        <v>67</v>
      </c>
      <c r="E7" s="35" t="s">
        <v>67</v>
      </c>
      <c r="F7" s="36" t="s">
        <v>602</v>
      </c>
      <c r="G7" s="35" t="s">
        <v>67</v>
      </c>
      <c r="H7" s="36" t="s">
        <v>602</v>
      </c>
      <c r="I7" s="35" t="s">
        <v>67</v>
      </c>
      <c r="J7" s="36" t="s">
        <v>602</v>
      </c>
      <c r="K7" s="35" t="s">
        <v>67</v>
      </c>
      <c r="L7" s="36" t="s">
        <v>602</v>
      </c>
      <c r="M7" s="35" t="s">
        <v>67</v>
      </c>
      <c r="N7" s="36" t="s">
        <v>602</v>
      </c>
      <c r="O7" s="35" t="s">
        <v>67</v>
      </c>
      <c r="P7" s="35" t="s">
        <v>603</v>
      </c>
      <c r="Q7" s="35" t="s">
        <v>603</v>
      </c>
      <c r="R7" s="35" t="s">
        <v>603</v>
      </c>
      <c r="S7" s="35" t="s">
        <v>603</v>
      </c>
      <c r="T7" s="35" t="s">
        <v>67</v>
      </c>
      <c r="U7" s="35" t="s">
        <v>67</v>
      </c>
      <c r="V7" s="35" t="s">
        <v>67</v>
      </c>
      <c r="W7" s="35" t="s">
        <v>67</v>
      </c>
      <c r="X7" s="35" t="s">
        <v>67</v>
      </c>
      <c r="Y7" s="35" t="s">
        <v>67</v>
      </c>
      <c r="Z7" s="35" t="s">
        <v>67</v>
      </c>
      <c r="AA7" s="35" t="s">
        <v>67</v>
      </c>
      <c r="AB7" s="35" t="s">
        <v>67</v>
      </c>
      <c r="AC7" s="35" t="s">
        <v>67</v>
      </c>
      <c r="AD7" s="35" t="s">
        <v>604</v>
      </c>
      <c r="AE7" s="35" t="s">
        <v>604</v>
      </c>
      <c r="AF7" s="35" t="s">
        <v>604</v>
      </c>
      <c r="AG7" s="35" t="s">
        <v>603</v>
      </c>
      <c r="AH7" s="36" t="s">
        <v>602</v>
      </c>
      <c r="AI7" s="36" t="s">
        <v>602</v>
      </c>
      <c r="AJ7" s="36" t="s">
        <v>602</v>
      </c>
      <c r="AK7" s="36" t="s">
        <v>602</v>
      </c>
      <c r="AL7" s="35" t="s">
        <v>67</v>
      </c>
      <c r="AM7" s="35" t="s">
        <v>72</v>
      </c>
      <c r="AN7" s="35" t="s">
        <v>72</v>
      </c>
      <c r="AO7" s="35" t="s">
        <v>603</v>
      </c>
      <c r="AP7" s="35" t="s">
        <v>603</v>
      </c>
      <c r="AQ7" s="35" t="s">
        <v>603</v>
      </c>
      <c r="AR7" s="35" t="s">
        <v>603</v>
      </c>
      <c r="AS7" s="35" t="s">
        <v>603</v>
      </c>
      <c r="AT7" s="35" t="s">
        <v>603</v>
      </c>
      <c r="AU7" s="35" t="s">
        <v>603</v>
      </c>
      <c r="AV7" s="35" t="s">
        <v>603</v>
      </c>
      <c r="AW7" s="35" t="s">
        <v>603</v>
      </c>
      <c r="AX7" s="35" t="s">
        <v>603</v>
      </c>
      <c r="AY7" s="35" t="s">
        <v>603</v>
      </c>
      <c r="AZ7" s="35" t="s">
        <v>603</v>
      </c>
      <c r="BA7" s="35" t="s">
        <v>603</v>
      </c>
      <c r="BB7" s="35" t="s">
        <v>603</v>
      </c>
      <c r="BC7" s="35" t="s">
        <v>603</v>
      </c>
      <c r="BD7" s="35" t="s">
        <v>603</v>
      </c>
      <c r="BE7" s="35" t="s">
        <v>603</v>
      </c>
      <c r="BF7" s="35" t="s">
        <v>603</v>
      </c>
      <c r="BG7" s="35" t="s">
        <v>603</v>
      </c>
      <c r="BH7" s="35" t="s">
        <v>603</v>
      </c>
      <c r="BI7" s="35" t="s">
        <v>603</v>
      </c>
      <c r="BJ7" s="35" t="s">
        <v>603</v>
      </c>
      <c r="BK7" s="35" t="s">
        <v>603</v>
      </c>
      <c r="BL7" s="35" t="s">
        <v>603</v>
      </c>
      <c r="BM7" s="35" t="s">
        <v>603</v>
      </c>
      <c r="BN7" s="35" t="s">
        <v>603</v>
      </c>
      <c r="BO7" s="35" t="s">
        <v>603</v>
      </c>
      <c r="BP7" s="35" t="s">
        <v>603</v>
      </c>
      <c r="BQ7" s="35" t="s">
        <v>603</v>
      </c>
      <c r="BR7" s="35" t="s">
        <v>603</v>
      </c>
      <c r="BS7" s="35" t="s">
        <v>603</v>
      </c>
      <c r="BT7" s="35" t="s">
        <v>603</v>
      </c>
      <c r="BU7" s="35" t="s">
        <v>603</v>
      </c>
      <c r="BV7" s="35" t="s">
        <v>603</v>
      </c>
      <c r="BW7" s="35" t="s">
        <v>603</v>
      </c>
      <c r="BX7" s="35" t="s">
        <v>603</v>
      </c>
      <c r="BY7" s="35" t="s">
        <v>603</v>
      </c>
      <c r="BZ7" s="35" t="s">
        <v>603</v>
      </c>
      <c r="CA7" s="35" t="s">
        <v>603</v>
      </c>
      <c r="CB7" s="35" t="s">
        <v>603</v>
      </c>
      <c r="CC7" s="35" t="s">
        <v>603</v>
      </c>
      <c r="CD7" s="35" t="s">
        <v>603</v>
      </c>
      <c r="CE7" s="35" t="s">
        <v>603</v>
      </c>
      <c r="CF7" s="35" t="s">
        <v>603</v>
      </c>
      <c r="CG7" s="35" t="s">
        <v>603</v>
      </c>
      <c r="CH7" s="35" t="s">
        <v>603</v>
      </c>
      <c r="CI7" s="35" t="s">
        <v>603</v>
      </c>
      <c r="CJ7" s="35" t="s">
        <v>603</v>
      </c>
      <c r="CK7" s="35" t="s">
        <v>603</v>
      </c>
      <c r="CL7" s="35" t="s">
        <v>603</v>
      </c>
      <c r="CM7" s="35" t="s">
        <v>603</v>
      </c>
      <c r="CN7" s="35" t="s">
        <v>603</v>
      </c>
      <c r="CO7" s="35" t="s">
        <v>603</v>
      </c>
      <c r="CP7" s="35" t="s">
        <v>603</v>
      </c>
      <c r="CQ7" s="35" t="s">
        <v>603</v>
      </c>
      <c r="CR7" s="35" t="s">
        <v>603</v>
      </c>
      <c r="CS7" s="35" t="s">
        <v>603</v>
      </c>
      <c r="CT7" s="35" t="s">
        <v>603</v>
      </c>
      <c r="CU7" s="35" t="s">
        <v>603</v>
      </c>
      <c r="CV7" s="35" t="s">
        <v>603</v>
      </c>
      <c r="CW7" s="35" t="s">
        <v>603</v>
      </c>
      <c r="CX7" s="35" t="s">
        <v>603</v>
      </c>
      <c r="CY7" s="35" t="s">
        <v>603</v>
      </c>
      <c r="CZ7" s="35" t="s">
        <v>603</v>
      </c>
      <c r="DA7" s="35" t="s">
        <v>603</v>
      </c>
      <c r="DB7" s="35" t="s">
        <v>603</v>
      </c>
      <c r="DC7" s="35" t="s">
        <v>603</v>
      </c>
      <c r="DD7" s="35" t="s">
        <v>603</v>
      </c>
      <c r="DE7" s="35" t="s">
        <v>603</v>
      </c>
      <c r="DF7" s="35" t="s">
        <v>603</v>
      </c>
      <c r="DG7" s="35" t="s">
        <v>603</v>
      </c>
      <c r="DH7" s="35" t="s">
        <v>603</v>
      </c>
      <c r="DI7" s="35" t="s">
        <v>603</v>
      </c>
      <c r="DJ7" s="35" t="s">
        <v>603</v>
      </c>
      <c r="DK7" s="35" t="s">
        <v>603</v>
      </c>
      <c r="DL7" s="35" t="s">
        <v>603</v>
      </c>
      <c r="DM7" s="35" t="s">
        <v>603</v>
      </c>
      <c r="DN7" s="35" t="s">
        <v>603</v>
      </c>
      <c r="DO7" s="35" t="s">
        <v>603</v>
      </c>
      <c r="DP7" s="35" t="s">
        <v>603</v>
      </c>
      <c r="DQ7" s="35" t="s">
        <v>603</v>
      </c>
      <c r="DR7" s="35" t="s">
        <v>603</v>
      </c>
      <c r="DS7" s="35" t="s">
        <v>603</v>
      </c>
      <c r="DT7" s="35" t="s">
        <v>603</v>
      </c>
      <c r="DU7" s="35" t="s">
        <v>603</v>
      </c>
      <c r="DV7" s="35" t="s">
        <v>603</v>
      </c>
      <c r="DW7" s="35" t="s">
        <v>603</v>
      </c>
      <c r="DX7" s="35" t="s">
        <v>603</v>
      </c>
      <c r="DY7" s="35" t="s">
        <v>603</v>
      </c>
      <c r="DZ7" s="35" t="s">
        <v>603</v>
      </c>
      <c r="EA7" s="35" t="s">
        <v>603</v>
      </c>
      <c r="EB7" s="35" t="s">
        <v>603</v>
      </c>
      <c r="EC7" s="35" t="s">
        <v>603</v>
      </c>
      <c r="ED7" s="35" t="s">
        <v>603</v>
      </c>
      <c r="EE7" s="35" t="s">
        <v>603</v>
      </c>
      <c r="EF7" s="35" t="s">
        <v>603</v>
      </c>
      <c r="EG7" s="35" t="s">
        <v>603</v>
      </c>
      <c r="EH7" s="35" t="s">
        <v>603</v>
      </c>
      <c r="EI7" s="35" t="s">
        <v>603</v>
      </c>
      <c r="EJ7" s="35" t="s">
        <v>603</v>
      </c>
      <c r="EK7" s="35" t="s">
        <v>603</v>
      </c>
      <c r="EL7" s="35" t="s">
        <v>603</v>
      </c>
      <c r="EM7" s="35" t="s">
        <v>603</v>
      </c>
      <c r="EN7" s="35" t="s">
        <v>603</v>
      </c>
      <c r="EO7" s="35" t="s">
        <v>603</v>
      </c>
      <c r="EP7" s="35" t="s">
        <v>603</v>
      </c>
      <c r="EQ7" s="35" t="s">
        <v>603</v>
      </c>
      <c r="ER7" s="35" t="s">
        <v>603</v>
      </c>
      <c r="ES7" s="35" t="s">
        <v>603</v>
      </c>
      <c r="ET7" s="35" t="s">
        <v>603</v>
      </c>
      <c r="EU7" s="35" t="s">
        <v>603</v>
      </c>
      <c r="EV7" s="35" t="s">
        <v>603</v>
      </c>
      <c r="EW7" s="35" t="s">
        <v>603</v>
      </c>
      <c r="EX7" s="35" t="s">
        <v>603</v>
      </c>
      <c r="EY7" s="35" t="s">
        <v>603</v>
      </c>
      <c r="EZ7" s="35" t="s">
        <v>603</v>
      </c>
      <c r="FA7" s="35" t="s">
        <v>603</v>
      </c>
      <c r="FB7" s="35" t="s">
        <v>603</v>
      </c>
      <c r="FC7" s="35" t="s">
        <v>603</v>
      </c>
      <c r="FD7" s="35" t="s">
        <v>603</v>
      </c>
      <c r="FE7" s="35" t="s">
        <v>603</v>
      </c>
      <c r="FF7" s="35" t="s">
        <v>603</v>
      </c>
      <c r="FG7" s="35" t="s">
        <v>603</v>
      </c>
      <c r="FH7" s="35" t="s">
        <v>603</v>
      </c>
      <c r="FI7" s="35" t="s">
        <v>603</v>
      </c>
      <c r="FJ7" s="35" t="s">
        <v>603</v>
      </c>
      <c r="FK7" s="35" t="s">
        <v>603</v>
      </c>
      <c r="FL7" s="35" t="s">
        <v>603</v>
      </c>
      <c r="FM7" s="35" t="s">
        <v>603</v>
      </c>
      <c r="FN7" s="35" t="s">
        <v>603</v>
      </c>
      <c r="FO7" s="35" t="s">
        <v>603</v>
      </c>
      <c r="FP7" s="35" t="s">
        <v>603</v>
      </c>
      <c r="FQ7" s="35" t="s">
        <v>603</v>
      </c>
      <c r="FR7" s="35" t="s">
        <v>603</v>
      </c>
      <c r="FS7" s="35" t="s">
        <v>603</v>
      </c>
      <c r="FT7" s="35" t="s">
        <v>603</v>
      </c>
      <c r="FU7" s="35" t="s">
        <v>603</v>
      </c>
      <c r="FV7" s="35" t="s">
        <v>603</v>
      </c>
      <c r="FW7" s="35" t="s">
        <v>603</v>
      </c>
      <c r="FX7" s="35" t="s">
        <v>603</v>
      </c>
      <c r="FY7" s="35" t="s">
        <v>603</v>
      </c>
      <c r="FZ7" s="35" t="s">
        <v>603</v>
      </c>
      <c r="GA7" s="35" t="s">
        <v>603</v>
      </c>
      <c r="GB7" s="35" t="s">
        <v>603</v>
      </c>
      <c r="GC7" s="35" t="s">
        <v>603</v>
      </c>
      <c r="GD7" s="35" t="s">
        <v>603</v>
      </c>
      <c r="GE7" s="35" t="s">
        <v>603</v>
      </c>
      <c r="GF7" s="35" t="s">
        <v>603</v>
      </c>
      <c r="GG7" s="35" t="s">
        <v>603</v>
      </c>
      <c r="GH7" s="35" t="s">
        <v>603</v>
      </c>
      <c r="GI7" s="35" t="s">
        <v>603</v>
      </c>
      <c r="GJ7" s="35" t="s">
        <v>603</v>
      </c>
      <c r="GK7" s="35" t="s">
        <v>603</v>
      </c>
      <c r="GL7" s="35" t="s">
        <v>603</v>
      </c>
      <c r="GM7" s="35" t="s">
        <v>603</v>
      </c>
      <c r="GN7" s="35" t="s">
        <v>603</v>
      </c>
      <c r="GO7" s="35" t="s">
        <v>603</v>
      </c>
      <c r="GP7" s="35" t="s">
        <v>603</v>
      </c>
      <c r="GQ7" s="35" t="s">
        <v>603</v>
      </c>
      <c r="GR7" s="35" t="s">
        <v>603</v>
      </c>
      <c r="GS7" s="36" t="s">
        <v>602</v>
      </c>
      <c r="GT7" s="35" t="s">
        <v>72</v>
      </c>
      <c r="GU7" s="36" t="s">
        <v>602</v>
      </c>
      <c r="GV7" s="36" t="s">
        <v>602</v>
      </c>
      <c r="GW7" s="36" t="s">
        <v>602</v>
      </c>
      <c r="GX7" s="36" t="s">
        <v>602</v>
      </c>
      <c r="GY7" s="36" t="s">
        <v>602</v>
      </c>
      <c r="GZ7" s="36" t="s">
        <v>602</v>
      </c>
      <c r="HA7" s="36" t="s">
        <v>602</v>
      </c>
      <c r="HB7" s="36" t="s">
        <v>602</v>
      </c>
      <c r="HC7" s="36" t="s">
        <v>602</v>
      </c>
      <c r="HD7" s="36" t="s">
        <v>602</v>
      </c>
      <c r="HE7" s="35" t="s">
        <v>67</v>
      </c>
      <c r="HF7" s="35" t="s">
        <v>67</v>
      </c>
      <c r="HG7" s="35" t="s">
        <v>67</v>
      </c>
      <c r="HH7" s="35" t="s">
        <v>67</v>
      </c>
      <c r="HI7" s="35" t="s">
        <v>67</v>
      </c>
      <c r="HJ7" s="35" t="s">
        <v>67</v>
      </c>
      <c r="HK7" s="35" t="s">
        <v>67</v>
      </c>
      <c r="HL7" s="35" t="s">
        <v>67</v>
      </c>
      <c r="HM7" s="35" t="s">
        <v>67</v>
      </c>
      <c r="HN7" s="35" t="s">
        <v>67</v>
      </c>
      <c r="HO7" s="35" t="s">
        <v>67</v>
      </c>
      <c r="HP7" s="35" t="s">
        <v>67</v>
      </c>
      <c r="HQ7" s="35" t="s">
        <v>67</v>
      </c>
      <c r="HR7" s="35" t="s">
        <v>67</v>
      </c>
      <c r="HS7" s="35" t="s">
        <v>67</v>
      </c>
      <c r="HT7" s="35" t="s">
        <v>67</v>
      </c>
      <c r="HU7" s="35" t="s">
        <v>67</v>
      </c>
      <c r="HV7" s="35" t="s">
        <v>67</v>
      </c>
      <c r="HW7" s="35" t="s">
        <v>67</v>
      </c>
      <c r="HX7" s="35" t="s">
        <v>67</v>
      </c>
      <c r="HY7" s="35" t="s">
        <v>67</v>
      </c>
      <c r="HZ7" s="35" t="s">
        <v>67</v>
      </c>
      <c r="IA7" s="35" t="s">
        <v>67</v>
      </c>
      <c r="IB7" s="35" t="s">
        <v>67</v>
      </c>
      <c r="IC7" s="35" t="s">
        <v>67</v>
      </c>
      <c r="ID7" s="35" t="s">
        <v>67</v>
      </c>
      <c r="IE7" s="35" t="s">
        <v>67</v>
      </c>
      <c r="IF7" s="35" t="s">
        <v>67</v>
      </c>
      <c r="IG7" s="35" t="s">
        <v>67</v>
      </c>
      <c r="IH7" s="35" t="s">
        <v>67</v>
      </c>
      <c r="II7" s="35" t="s">
        <v>67</v>
      </c>
      <c r="IJ7" s="35" t="s">
        <v>67</v>
      </c>
      <c r="IK7" s="35" t="s">
        <v>67</v>
      </c>
      <c r="IL7" s="36" t="s">
        <v>605</v>
      </c>
      <c r="IM7" s="36" t="s">
        <v>606</v>
      </c>
      <c r="IN7" s="36" t="s">
        <v>602</v>
      </c>
      <c r="IO7" s="35" t="s">
        <v>67</v>
      </c>
      <c r="IP7" s="36" t="s">
        <v>605</v>
      </c>
      <c r="IQ7" s="36" t="s">
        <v>606</v>
      </c>
      <c r="IR7" s="36" t="s">
        <v>602</v>
      </c>
      <c r="IS7" s="35" t="s">
        <v>67</v>
      </c>
      <c r="IT7" s="36" t="s">
        <v>605</v>
      </c>
      <c r="IU7" s="36" t="s">
        <v>606</v>
      </c>
      <c r="IV7" s="36" t="s">
        <v>602</v>
      </c>
      <c r="IW7" s="35" t="s">
        <v>67</v>
      </c>
      <c r="IX7" s="36" t="s">
        <v>605</v>
      </c>
      <c r="IY7" s="36" t="s">
        <v>606</v>
      </c>
      <c r="IZ7" s="36" t="s">
        <v>602</v>
      </c>
      <c r="JA7" s="35" t="s">
        <v>67</v>
      </c>
      <c r="JB7" s="36" t="s">
        <v>605</v>
      </c>
      <c r="JC7" s="36" t="s">
        <v>606</v>
      </c>
      <c r="JD7" s="36" t="s">
        <v>602</v>
      </c>
      <c r="JE7" s="35" t="s">
        <v>67</v>
      </c>
      <c r="JF7" s="36" t="s">
        <v>605</v>
      </c>
      <c r="JG7" s="36" t="s">
        <v>606</v>
      </c>
      <c r="JH7" s="36" t="s">
        <v>602</v>
      </c>
      <c r="JI7" s="35" t="s">
        <v>67</v>
      </c>
      <c r="JJ7" s="36" t="s">
        <v>605</v>
      </c>
      <c r="JK7" s="36" t="s">
        <v>606</v>
      </c>
      <c r="JL7" s="36" t="s">
        <v>602</v>
      </c>
      <c r="JM7" s="35" t="s">
        <v>67</v>
      </c>
      <c r="JN7" s="36" t="s">
        <v>605</v>
      </c>
      <c r="JO7" s="36" t="s">
        <v>606</v>
      </c>
      <c r="JP7" s="36" t="s">
        <v>602</v>
      </c>
      <c r="JQ7" s="35" t="s">
        <v>67</v>
      </c>
      <c r="JR7" s="36" t="s">
        <v>605</v>
      </c>
      <c r="JS7" s="36" t="s">
        <v>606</v>
      </c>
      <c r="JT7" s="36" t="s">
        <v>602</v>
      </c>
      <c r="JU7" s="35" t="s">
        <v>67</v>
      </c>
      <c r="JV7" s="36" t="s">
        <v>605</v>
      </c>
      <c r="JW7" s="36" t="s">
        <v>606</v>
      </c>
      <c r="JX7" s="36" t="s">
        <v>602</v>
      </c>
      <c r="JY7" s="36" t="s">
        <v>602</v>
      </c>
      <c r="JZ7" s="36" t="s">
        <v>607</v>
      </c>
      <c r="KA7" s="36" t="s">
        <v>602</v>
      </c>
      <c r="KB7" s="36" t="s">
        <v>608</v>
      </c>
      <c r="KC7" s="36" t="s">
        <v>609</v>
      </c>
      <c r="KD7" s="35" t="s">
        <v>72</v>
      </c>
      <c r="KE7" s="36" t="s">
        <v>610</v>
      </c>
      <c r="KF7" s="36" t="s">
        <v>602</v>
      </c>
      <c r="KG7" s="36" t="s">
        <v>611</v>
      </c>
      <c r="KH7" s="35" t="s">
        <v>72</v>
      </c>
      <c r="KI7" s="36" t="s">
        <v>602</v>
      </c>
      <c r="KJ7" s="36" t="s">
        <v>612</v>
      </c>
      <c r="KK7" s="36" t="s">
        <v>613</v>
      </c>
      <c r="KL7" s="36" t="s">
        <v>614</v>
      </c>
      <c r="KM7" s="35" t="s">
        <v>604</v>
      </c>
      <c r="KN7" s="36" t="s">
        <v>615</v>
      </c>
      <c r="KO7" s="36" t="s">
        <v>616</v>
      </c>
      <c r="KP7" s="36" t="s">
        <v>617</v>
      </c>
      <c r="KQ7" s="36" t="s">
        <v>618</v>
      </c>
      <c r="KR7" s="35" t="s">
        <v>603</v>
      </c>
      <c r="KS7" s="35" t="s">
        <v>603</v>
      </c>
      <c r="KT7" s="35" t="s">
        <v>603</v>
      </c>
      <c r="KU7" s="35" t="s">
        <v>72</v>
      </c>
      <c r="KV7" s="36" t="s">
        <v>602</v>
      </c>
      <c r="KW7" s="36" t="s">
        <v>602</v>
      </c>
      <c r="KX7" s="36" t="s">
        <v>602</v>
      </c>
      <c r="KY7" s="35" t="s">
        <v>72</v>
      </c>
      <c r="KZ7" s="36" t="s">
        <v>602</v>
      </c>
      <c r="LA7" s="35" t="s">
        <v>72</v>
      </c>
    </row>
    <row r="8" spans="1:313">
      <c r="B8" s="37" t="s">
        <v>619</v>
      </c>
      <c r="C8" s="37" t="s">
        <v>620</v>
      </c>
      <c r="D8" s="37" t="s">
        <v>620</v>
      </c>
      <c r="E8" s="37" t="s">
        <v>620</v>
      </c>
      <c r="F8" s="38"/>
      <c r="G8" s="38"/>
      <c r="H8" s="37" t="s">
        <v>620</v>
      </c>
      <c r="I8" s="37" t="s">
        <v>620</v>
      </c>
      <c r="J8" s="37" t="s">
        <v>620</v>
      </c>
      <c r="K8" s="37" t="s">
        <v>620</v>
      </c>
      <c r="L8" s="37" t="s">
        <v>620</v>
      </c>
      <c r="M8" s="37" t="s">
        <v>620</v>
      </c>
      <c r="N8" s="37" t="s">
        <v>620</v>
      </c>
      <c r="O8" s="37" t="s">
        <v>620</v>
      </c>
      <c r="P8" s="37" t="s">
        <v>620</v>
      </c>
      <c r="Q8" s="37" t="s">
        <v>620</v>
      </c>
      <c r="R8" s="37" t="s">
        <v>620</v>
      </c>
      <c r="S8" s="37" t="s">
        <v>620</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7" t="s">
        <v>620</v>
      </c>
      <c r="HF8" s="37" t="s">
        <v>620</v>
      </c>
      <c r="HG8" s="37" t="s">
        <v>620</v>
      </c>
      <c r="HH8" s="37" t="s">
        <v>620</v>
      </c>
      <c r="HI8" s="37" t="s">
        <v>620</v>
      </c>
      <c r="HJ8" s="37" t="s">
        <v>620</v>
      </c>
      <c r="HK8" s="37" t="s">
        <v>620</v>
      </c>
      <c r="HL8" s="37" t="s">
        <v>620</v>
      </c>
      <c r="HM8" s="37" t="s">
        <v>620</v>
      </c>
      <c r="HN8" s="37" t="s">
        <v>620</v>
      </c>
      <c r="HO8" s="37" t="s">
        <v>620</v>
      </c>
      <c r="HP8" s="37" t="s">
        <v>620</v>
      </c>
      <c r="HQ8" s="37" t="s">
        <v>620</v>
      </c>
      <c r="HR8" s="37" t="s">
        <v>620</v>
      </c>
      <c r="HS8" s="37" t="s">
        <v>620</v>
      </c>
      <c r="HT8" s="37" t="s">
        <v>620</v>
      </c>
      <c r="HU8" s="37" t="s">
        <v>620</v>
      </c>
      <c r="HV8" s="37" t="s">
        <v>620</v>
      </c>
      <c r="HW8" s="37" t="s">
        <v>620</v>
      </c>
      <c r="HX8" s="37" t="s">
        <v>620</v>
      </c>
      <c r="HY8" s="37" t="s">
        <v>620</v>
      </c>
      <c r="HZ8" s="37" t="s">
        <v>620</v>
      </c>
      <c r="IA8" s="37" t="s">
        <v>620</v>
      </c>
      <c r="IB8" s="37" t="s">
        <v>620</v>
      </c>
      <c r="IC8" s="37" t="s">
        <v>620</v>
      </c>
      <c r="ID8" s="37" t="s">
        <v>620</v>
      </c>
      <c r="IE8" s="37" t="s">
        <v>620</v>
      </c>
      <c r="IF8" s="37" t="s">
        <v>620</v>
      </c>
      <c r="IG8" s="37" t="s">
        <v>620</v>
      </c>
      <c r="IH8" s="37" t="s">
        <v>620</v>
      </c>
      <c r="II8" s="37" t="s">
        <v>620</v>
      </c>
      <c r="IJ8" s="37" t="s">
        <v>620</v>
      </c>
      <c r="IK8" s="37" t="s">
        <v>620</v>
      </c>
      <c r="IL8" s="37" t="s">
        <v>620</v>
      </c>
      <c r="IM8" s="37" t="s">
        <v>620</v>
      </c>
      <c r="IN8" s="37" t="s">
        <v>620</v>
      </c>
      <c r="IO8" s="37" t="s">
        <v>620</v>
      </c>
      <c r="IP8" s="37" t="s">
        <v>620</v>
      </c>
      <c r="IQ8" s="37" t="s">
        <v>620</v>
      </c>
      <c r="IR8" s="37" t="s">
        <v>620</v>
      </c>
      <c r="IS8" s="37" t="s">
        <v>620</v>
      </c>
      <c r="IT8" s="37" t="s">
        <v>620</v>
      </c>
      <c r="IU8" s="37" t="s">
        <v>620</v>
      </c>
      <c r="IV8" s="37" t="s">
        <v>620</v>
      </c>
      <c r="IW8" s="37" t="s">
        <v>620</v>
      </c>
      <c r="IX8" s="37" t="s">
        <v>620</v>
      </c>
      <c r="IY8" s="37" t="s">
        <v>620</v>
      </c>
      <c r="IZ8" s="37" t="s">
        <v>620</v>
      </c>
      <c r="JA8" s="37" t="s">
        <v>620</v>
      </c>
      <c r="JB8" s="37" t="s">
        <v>620</v>
      </c>
      <c r="JC8" s="37" t="s">
        <v>620</v>
      </c>
      <c r="JD8" s="37" t="s">
        <v>620</v>
      </c>
      <c r="JE8" s="37" t="s">
        <v>620</v>
      </c>
      <c r="JF8" s="37" t="s">
        <v>620</v>
      </c>
      <c r="JG8" s="37" t="s">
        <v>620</v>
      </c>
      <c r="JH8" s="37" t="s">
        <v>620</v>
      </c>
      <c r="JI8" s="37" t="s">
        <v>620</v>
      </c>
      <c r="JJ8" s="37" t="s">
        <v>620</v>
      </c>
      <c r="JK8" s="37" t="s">
        <v>620</v>
      </c>
      <c r="JL8" s="37" t="s">
        <v>620</v>
      </c>
      <c r="JM8" s="37" t="s">
        <v>620</v>
      </c>
      <c r="JN8" s="37" t="s">
        <v>620</v>
      </c>
      <c r="JO8" s="37" t="s">
        <v>620</v>
      </c>
      <c r="JP8" s="37" t="s">
        <v>620</v>
      </c>
      <c r="JQ8" s="37" t="s">
        <v>620</v>
      </c>
      <c r="JR8" s="37" t="s">
        <v>620</v>
      </c>
      <c r="JS8" s="37" t="s">
        <v>620</v>
      </c>
      <c r="JT8" s="37" t="s">
        <v>620</v>
      </c>
      <c r="JU8" s="37" t="s">
        <v>620</v>
      </c>
      <c r="JV8" s="37" t="s">
        <v>620</v>
      </c>
      <c r="JW8" s="37" t="s">
        <v>620</v>
      </c>
      <c r="JX8" s="37" t="s">
        <v>620</v>
      </c>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row>
    <row r="9" spans="1:313">
      <c r="A9" cm="1">
        <f t="array" ref="A9">_xlfn.BYROW('3757-S-WUO_ERR'!B9:LA508, _xlfn.LAMBDA(_xlpm.r, _xlfn.LET(_xlpm.high_priority, IFERROR(INDEX(_xlpm.r, MATCH(TRUE, (_xlpm.r &lt;&gt; "") * ((LEFT(_xlpm.r, 2) = "1:") + (LEFT(_xlpm.r, 2) = "3:")) &gt; 0, 0)), ""), IF(_xlpm.high_priority &lt;&gt; "", _xlpm.high_priority, IFERROR(INDEX(_xlpm.r, MATCH(TRUE, (_xlpm.r &lt;&gt; "") * (LEFT(_xlpm.r, 2) = "4:") &gt; 0, 0)), "")))))</f>
        <v>0</v>
      </c>
      <c r="B9" s="22" cm="1">
        <f t="array" ref="B9">_xlfn.MAP('3757 - Wall Stickers (S)'!B9:B508, '3757 - Wall Stickers (S)'!B9:B508, _xlfn.LAMBDA(_xlpm.part, _xlpm.val, IF(_xlpm.part = "", "", _xlfn.LET(_xlpm.check1, IF(AND(_xlpm.val &lt;&gt; "" ,LEN(_xlpm.val)&gt;64), "1:Supplier Part Number must be no more than 64 characters", ""), IF(LEN(_xlpm.check1) &gt; 0, _xlpm.check1, _xlfn.LET(_xlpm.check2, IF(OR(ISNUMBER(SEARCH({"&lt;","&gt;","Ø","•","‣","⁃","⁌","⁍","™","∙","⌀","◦"}, _xlpm.val))), "1:Supplier Part Number cannot contain Special Characters", ""), IF(LEN(_xlpm.check2) &gt; 0, _xlpm.check2, _xlfn.LET(_xlpm.check3, IF(OR(ISNUMBER(SEARCH({","}, _xlpm.val))), "1:Supplier Part Number cannot contain Commas", ""), IF(LEN(_xlpm.check3) &gt; 0, _xlpm.check3, IF(_xlpm.val = "", "3:Supplier Part Number is required", ""))))))))))</f>
        <v>0</v>
      </c>
      <c r="C9" s="22" cm="1">
        <f t="array" ref="C9">_xlfn.MAP('3757 - Wall Stickers (S)'!B9:B508, '3757 - Wall Stickers (S)'!C9:C508, _xlfn.LAMBDA(_xlpm.part, _xlpm.val, IF(_xlpm.part = "", "", _xlfn.LET(_xlpm.check1, IF(AND(_xlpm.val &lt;&gt; "" ,LEN(_xlpm.val)&gt;64), "1:Manufacturer Part Number must be no more than 64 characters", ""), IF(LEN(_xlpm.check1) &gt; 0, _xlpm.check1, _xlfn.LET(_xlpm.check2, IF(OR(ISNUMBER(SEARCH({"&lt;","&gt;","Ø","•","‣","⁃","⁌","⁍","™","∙","⌀","◦"}, _xlpm.val))), "1:Manufacturer Part Number cannot contain Special Characters", ""), IF(LEN(_xlpm.check2) &gt; 0, _xlpm.check2, _xlfn.LET(_xlpm.check3, IF(OR(ISNUMBER(SEARCH({","}, _xlpm.val))), "1:Manufacturer Part Number cannot contain Commas", ""), IF(LEN(_xlpm.check3) &gt; 0, _xlpm.check3, IF(_xlpm.val = "", "3:Manufacturer Part Number is required", ""))))))))))</f>
        <v>0</v>
      </c>
      <c r="D9" s="22" cm="1">
        <f t="array" ref="D9">_xlfn.MAP('3757 - Wall Stickers (S)'!B9:B508, '3757 - Wall Stickers (S)'!D9:D508, _xlfn.LAMBDA(_xlpm.part, _xlpm.val, IF(_xlpm.part = "", "", _xlfn.LET(_xlpm.check1, IF(AND(_xlpm.val &lt;&gt; "" ,NOT(OR(LEN(_xlpm.val)=8,LEN(_xlpm.val)=12,LEN(_xlpm.val)=13,LEN(_xlpm.val)=14))), "1:Universal Product Code must be 8,12,13,14 characters", ""), IF(LEN(_xlpm.check1) &gt; 0, _xlpm.check1, IF(OR(ISNUMBER(SEARCH({"&lt;","&gt;","Ø","•","‣","⁃","⁌","⁍","™","∙","⌀","◦"}, _xlpm.val))), "1:Universal Product Code cannot contain Special Characters", ""))))))</f>
        <v>0</v>
      </c>
      <c r="E9" s="22" cm="1">
        <f t="array" ref="E9">_xlfn.MAP('3757 - Wall Stickers (S)'!B9:B508, '3757 - Wall Stickers (S)'!E9:E508, _xlfn.LAMBDA(_xlpm.part, _xlpm.val, IF(_xlpm.part = "", "", _xlfn.LET(_xlpm.check1, IF(AND(_xlpm.val &lt;&gt; "", LEN(_xlpm.val) &lt; 10), "1:Product Name must be at least 10 characters", ""), IF(LEN(_xlpm.check1) &gt; 0, _xlpm.check1, _xlfn.LET(_xlpm.check2, IF(AND(_xlpm.val &lt;&gt; "" ,LEN(_xlpm.val)&gt;254), "1:Product Name must be no more than 254 characters", ""), IF(LEN(_xlpm.check2) &gt; 0, _xlpm.check2, _xlfn.LET(_xlpm.check3, IF(OR(ISNUMBER(SEARCH({"&lt;","&gt;","Ø","•","‣","⁃","⁌","⁍","™","∙","⌀","◦"}, _xlpm.val))), "1:Product Name cannot contain Special Characters", ""), IF(LEN(_xlpm.check3) &gt; 0, _xlpm.check3, IF(_xlpm.val = "", "3:Product Name is required", ""))))))))))</f>
        <v>0</v>
      </c>
      <c r="F9" s="22" cm="1">
        <f t="array" ref="F9">_xlfn.MAP('3757 - Wall Stickers (S)'!B9:B508, '3757 - Wall Stickers (S)'!F9:F508, '3757 - Wall Stickers (S)'!H9:H508, _xlfn.LAMBDA(_xlpm.part, _xlpm.val, _xlpm.dep1, IF(_xlpm.part = "", "", _xlfn.LET(_xlpm.check1, IF(AND(_xlpm.val = "", _xlpm.dep1 = "Non-Primary Variant"), "2:Autofill", ""), IF(LEN(_xlpm.check1) &gt; 0, _xlpm.check1, IF(AND(_xlpm.val = "", '3757 - Wall Stickers (S)'!F$8=""), "3:Brand is required", ""))))))</f>
        <v>0</v>
      </c>
      <c r="G9" s="22" cm="1">
        <f t="array" ref="G9">_xlfn.MAP('3757 - Wall Stickers (S)'!B9:B508, '3757 - Wall Stickers (S)'!G9:G508, '3757 - Wall Stickers (S)'!H9:H508, _xlfn.LAMBDA(_xlpm.part, _xlpm.val, _xlpm.dep1, IF(_xlpm.part = "", "", IF(AND(_xlpm.val = "", _xlpm.dep1 = "Non-Primary Variant"), "2:Autofill", ""))))</f>
        <v>0</v>
      </c>
      <c r="I9" s="22" cm="1">
        <f t="array" ref="I9">_xlfn.MAP('3757 - Wall Stickers (S)'!B9:B508, '3757 - Wall Stickers (S)'!I9:I508, '3757 - Wall Stickers (S)'!H9:H508, _xlfn.LAMBDA(_xlpm.part, _xlpm.val, _xlpm.dep1, IF(_xlpm.part = "", "", _xlfn.LET(_xlpm.check1, IF(OR(_xlpm.dep1 = "Not Variant", _xlpm.dep1 = ""), IF(_xlpm.val = "", "2:Disable", "1:Group Reference ID must be left blank when Variant Type equals Not Variant, EMPTY"), ""), IF(LEN(_xlpm.check1) &gt; 0, _xlpm.check1, _xlfn.LET(_xlpm.check2, IF(_xlpm.dep1 = "Non-Primary Variant", IF(_xlpm.val = "", "3:Group Reference ID is required when Variant Type equals Non-Primary Variant", ""), ""), IF(LEN(_xlpm.check2) &gt; 0, _xlpm.check2, IF(_xlpm.dep1 = "Primary Variant", IF(_xlpm.val = "", "3:Group Reference ID is required when Variant Type equals Primary Variant", ""), ""))))))))</f>
        <v>0</v>
      </c>
      <c r="J9" s="22" cm="1">
        <f t="array" ref="J9">_xlfn.MAP('3757 - Wall Stickers (S)'!B9:B508, '3757 - Wall Stickers (S)'!J9:J508, '3757 - Wall Stickers (S)'!H9:H508, _xlfn.LAMBDA(_xlpm.part, _xlpm.val, _xlpm.dep1, IF(_xlpm.part = "", "", _xlfn.LET(_xlpm.check1, IF(AND(_xlpm.val = "", _xlpm.dep1 = "Non-Primary Variant"), "2:Autofill", ""), IF(LEN(_xlpm.check1) &gt; 0, _xlpm.check1, _xlfn.LET(_xlpm.check2, IF(OR(_xlpm.dep1 = "Not Variant", _xlpm.dep1 = ""), IF(_xlpm.val = "", "2:Disable", "1:Variant Grouping must be left blank when Variant Type equals Not Variant, EMPTY"), ""), IF(LEN(_xlpm.check2) &gt; 0, _xlpm.check2, IF(_xlpm.dep1 = "Primary Variant", IF(_xlpm.val = "", "3:Variant Grouping is required when Variant Type equals Primary Variant", ""), ""))))))))</f>
        <v>0</v>
      </c>
      <c r="K9" s="22" cm="1">
        <f t="array" ref="K9">_xlfn.MAP('3757 - Wall Stickers (S)'!B9:B508, '3757 - Wall Stickers (S)'!K9:K508, '3757 - Wall Stickers (S)'!H9:H508, '3757 - Wall Stickers (S)'!J9:J508, _xlfn.LAMBDA(_xlpm.part, _xlpm.val, _xlpm.dep1, _xlpm.dep2, IF(_xlpm.part = "", "", _xlfn.LET(_xlpm.check1, IF(AND(_xlpm.val = "", OR(_xlpm.dep2 = "Color", _xlpm.dep2 = "Size")), "2:Autofill", ""), IF(LEN(_xlpm.check1) &gt; 0, _xlpm.check1, _xlfn.LET(_xlpm.check2, IF(OR(_xlpm.dep1 = "Not Variant", _xlpm.dep1 = ""), IF(_xlpm.val = "", "2:Disable", "1:Variant Attribute Name On Site must be left blank when Variant Type equals Not Variant, EMPTY"), ""), IF(LEN(_xlpm.check2) &gt; 0, _xlpm.check2, IF(AND(_xlpm.dep2 &lt;&gt; "", _xlpm.dep2 &lt;&gt; "Color", _xlpm.dep2 &lt;&gt; "Size"), IF(_xlpm.val = "", "3:Name on site is required when variant grouping value is provided", ""), ""))))))))</f>
        <v>0</v>
      </c>
      <c r="P9" s="22" cm="1">
        <f t="array" ref="P9">_xlfn.MAP('3757 - Wall Stickers (S)'!B9:B508, '3757 - Wall Stickers (S)'!P9:P508, _xlfn.LAMBDA(_xlpm.part, _xlpm.val, IF(_xlpm.part = "", "", _xlfn.LET(_xlpm.check1, IF(AND(NOT(ISBLANK(_xlpm.val)),OR(NOT(ISNUMBER(IFERROR(VALUE(_xlpm.val), ""))), IFERROR(VALUE(_xlpm.val), -1) &lt; 0)), "1:Base Cost must be a number", ""), IF(LEN(_xlpm.check1) &gt; 0, _xlpm.check1, IF(_xlpm.val = "", "3:Base Cost is required", ""))))))</f>
        <v>0</v>
      </c>
      <c r="Q9" s="22" cm="1">
        <f t="array" ref="Q9">_xlfn.MAP('3757 - Wall Stickers (S)'!B9:B508, '3757 - Wall Stickers (S)'!Q9:Q508, _xlfn.LAMBDA(_xlpm.part, _xlpm.val, IF(_xlpm.part = "", "", IF(AND(NOT(ISBLANK(_xlpm.val)),OR(NOT(ISNUMBER(IFERROR(VALUE(_xlpm.val), ""))), IFERROR(VALUE(_xlpm.val), -1) &lt; 0)), "1:Everyday B2B Discount Rate must be a number", ""))))</f>
        <v>0</v>
      </c>
      <c r="R9" s="22" cm="1">
        <f t="array" ref="R9">_xlfn.MAP('3757 - Wall Stickers (S)'!B9:B508, '3757 - Wall Stickers (S)'!R9:R508, _xlfn.LAMBDA(_xlpm.part, _xlpm.val, IF(_xlpm.part = "", "", IF(AND(NOT(ISBLANK(_xlpm.val)),OR(NOT(ISNUMBER(IFERROR(VALUE(_xlpm.val), ""))), IFERROR(VALUE(_xlpm.val), -1) &lt; 0)), "1:Minimum Advertised Price must be a number", ""))))</f>
        <v>0</v>
      </c>
      <c r="S9" s="22" cm="1">
        <f t="array" ref="S9">_xlfn.MAP('3757 - Wall Stickers (S)'!B9:B508, '3757 - Wall Stickers (S)'!S9:S508, _xlfn.LAMBDA(_xlpm.part, _xlpm.val, IF(_xlpm.part = "", "", IF(AND(NOT(ISBLANK(_xlpm.val)),OR(NOT(ISNUMBER(IFERROR(VALUE(_xlpm.val), ""))), IFERROR(VALUE(_xlpm.val), -1) &lt; 0)), "1:Manufacturer Suggested Retail Price must be a number", ""))))</f>
        <v>0</v>
      </c>
      <c r="T9" s="22" cm="1">
        <f t="array" ref="T9">_xlfn.MAP('3757 - Wall Stickers (S)'!B9:B508, '3757 - Wall Stickers (S)'!T9:T508, '3757 - Wall Stickers (S)'!H9:H508, '3757 - Wall Stickers (S)'!U9:U508, '3757 - Wall Stickers (S)'!V9:V508, '3757 - Wall Stickers (S)'!W9:W508, _xlfn.LAMBDA(_xlpm.part, _xlpm.val, _xlpm.dep1, _xlpm.dep2, _xlpm.dep3, _xlpm.dep4, IF(_xlpm.part = "", "", _xlfn.LET(_xlpm.check1, IF(AND(_xlpm.val = "", _xlpm.dep1 = "Non-Primary Variant"), "2:Autofill", ""), IF(LEN(_xlpm.check1) &gt; 0, _xlpm.check1, _xlfn.LET(_xlpm.check2, IF(AND(_xlpm.val &lt;&gt; "", LEN(_xlpm.val) &lt; 16), "1:Marketing Copy must be at least 16 characters", ""), IF(LEN(_xlpm.check2) &gt; 0, _xlpm.check2, _xlfn.LET(_xlpm.check3, IF(AND(_xlpm.val &lt;&gt; "" ,LEN(_xlpm.val)&gt;1500), "1:Marketing Copy must be no more than 1500 characters", ""), IF(LEN(_xlpm.check3) &gt; 0, _xlpm.check3, _xlfn.LET(_xlpm.check4, IF(OR(ISNUMBER(SEARCH({"&lt;","&gt;","Ø","•","‣","⁃","⁌","⁍","™","∙","⌀","◦"}, _xlpm.val))), "1:Marketing Copy cannot contain Special Characters", ""), IF(LEN(_xlpm.check4) &gt; 0, _xlpm.check4, _xlfn.LET(_xlpm.check5, IF(_xlpm.dep2 = "", IF(AND(_xlpm.val = "", '3757 - Wall Stickers (S)'!T$8=""), "3:Marketing Copy is required when Feature Bullet equals EMPTY", ""), ""), IF(LEN(_xlpm.check5) &gt; 0, _xlpm.check5, _xlfn.LET(_xlpm.check6, IF(_xlpm.dep3 = "", IF(AND(_xlpm.val = "", '3757 - Wall Stickers (S)'!T$8=""), "3:Marketing Copy is required when Feature Bullet equals EMPTY", ""), ""), IF(LEN(_xlpm.check6) &gt; 0, _xlpm.check6, IF(_xlpm.dep4 = "", IF(AND(_xlpm.val = "", '3757 - Wall Stickers (S)'!T$8=""), "3:Marketing Copy is required when Feature Bullet equals EMPTY", ""), ""))))))))))))))))</f>
        <v>0</v>
      </c>
      <c r="U9" s="22" cm="1">
        <f t="array" ref="U9">_xlfn.MAP('3757 - Wall Stickers (S)'!B9:B508, '3757 - Wall Stickers (S)'!U9:U508, '3757 - Wall Stickers (S)'!H9:H508, '3757 - Wall Stickers (S)'!T9:T508, _xlfn.LAMBDA(_xlpm.part, _xlpm.val, _xlpm.dep1, _xlpm.dep2, IF(_xlpm.part = "", "", _xlfn.LET(_xlpm.check1, IF(AND(_xlpm.val = "", _xlpm.dep1 = "Non-Primary Variant"), "2:Autofill", ""), IF(LEN(_xlpm.check1) &gt; 0, _xlpm.check1, _xlfn.LET(_xlpm.check2, IF(AND(_xlpm.val &lt;&gt; "" ,LEN(_xlpm.val)&gt;200), "1:Feature Bullet must be no more than 200 characters", ""), IF(LEN(_xlpm.check2) &gt; 0, _xlpm.check2, _xlfn.LET(_xlpm.check3, IF(OR(ISNUMBER(SEARCH({"&lt;","&gt;","Ø","•","‣","⁃","⁌","⁍","™","∙","⌀","◦"}, _xlpm.val))), "1:Feature Bullet cannot contain Special Characters", ""), IF(LEN(_xlpm.check3) &gt; 0, _xlpm.check3, IF(_xlpm.dep2 = "", IF(AND(_xlpm.val = "", '3757 - Wall Stickers (S)'!U$8=""), "3:Feature Bullet is required when Marketing Copy equals EMPTY", ""), ""))))))))))</f>
        <v>0</v>
      </c>
      <c r="V9" s="22" cm="1">
        <f t="array" ref="V9">_xlfn.MAP('3757 - Wall Stickers (S)'!B9:B508, '3757 - Wall Stickers (S)'!V9:V508, '3757 - Wall Stickers (S)'!H9:H508, '3757 - Wall Stickers (S)'!T9:T508, _xlfn.LAMBDA(_xlpm.part, _xlpm.val, _xlpm.dep1, _xlpm.dep2, IF(_xlpm.part = "", "", _xlfn.LET(_xlpm.check1, IF(AND(_xlpm.val = "", _xlpm.dep1 = "Non-Primary Variant"), "2:Autofill", ""), IF(LEN(_xlpm.check1) &gt; 0, _xlpm.check1, _xlfn.LET(_xlpm.check2, IF(AND(_xlpm.val &lt;&gt; "" ,LEN(_xlpm.val)&gt;200), "1:Feature Bullet must be no more than 200 characters", ""), IF(LEN(_xlpm.check2) &gt; 0, _xlpm.check2, _xlfn.LET(_xlpm.check3, IF(OR(ISNUMBER(SEARCH({"&lt;","&gt;","Ø","•","‣","⁃","⁌","⁍","™","∙","⌀","◦"}, _xlpm.val))), "1:Feature Bullet cannot contain Special Characters", ""), IF(LEN(_xlpm.check3) &gt; 0, _xlpm.check3, IF(_xlpm.dep2 = "", IF(AND(_xlpm.val = "", '3757 - Wall Stickers (S)'!V$8=""), "3:Feature Bullet is required when Marketing Copy equals EMPTY", ""), ""))))))))))</f>
        <v>0</v>
      </c>
      <c r="W9" s="22" cm="1">
        <f t="array" ref="W9">_xlfn.MAP('3757 - Wall Stickers (S)'!B9:B508, '3757 - Wall Stickers (S)'!W9:W508, '3757 - Wall Stickers (S)'!H9:H508, '3757 - Wall Stickers (S)'!T9:T508, _xlfn.LAMBDA(_xlpm.part, _xlpm.val, _xlpm.dep1, _xlpm.dep2, IF(_xlpm.part = "", "", _xlfn.LET(_xlpm.check1, IF(AND(_xlpm.val = "", _xlpm.dep1 = "Non-Primary Variant"), "2:Autofill", ""), IF(LEN(_xlpm.check1) &gt; 0, _xlpm.check1, _xlfn.LET(_xlpm.check2, IF(AND(_xlpm.val &lt;&gt; "" ,LEN(_xlpm.val)&gt;200), "1:Feature Bullet must be no more than 200 characters", ""), IF(LEN(_xlpm.check2) &gt; 0, _xlpm.check2, _xlfn.LET(_xlpm.check3, IF(OR(ISNUMBER(SEARCH({"&lt;","&gt;","Ø","•","‣","⁃","⁌","⁍","™","∙","⌀","◦"}, _xlpm.val))), "1:Feature Bullet cannot contain Special Characters", ""), IF(LEN(_xlpm.check3) &gt; 0, _xlpm.check3, IF(_xlpm.dep2 = "", IF(AND(_xlpm.val = "", '3757 - Wall Stickers (S)'!W$8=""), "3:Feature Bullet is required when Marketing Copy equals EMPTY", ""), ""))))))))))</f>
        <v>0</v>
      </c>
      <c r="AC9" s="22" cm="1">
        <f t="array" ref="AC9">_xlfn.MAP('3757 - Wall Stickers (S)'!B9:B508, '3757 - Wall Stickers (S)'!AC9:AC508, _xlfn.LAMBDA(_xlpm.part, _xlpm.val, IF(_xlpm.part = "", "", _xlfn.LET(_xlpm.check1, IF(AND(_xlpm.val &lt;&gt; "", LEN(_xlpm.val) &lt; 1), "1:Amazon Seller SKU must be at least 1 characters", ""), IF(LEN(_xlpm.check1) &gt; 0, _xlpm.check1, IF(AND(_xlpm.val &lt;&gt; "" ,LEN(_xlpm.val)&gt;40), "1:Amazon Seller SKU must be no more than 40 characters", ""))))))</f>
        <v>0</v>
      </c>
      <c r="AD9" s="22" cm="1">
        <f t="array" ref="AD9">_xlfn.MAP('3757 - Wall Stickers (S)'!B9:B508, '3757 - Wall Stickers (S)'!AD9:AD508, '3757 - Wall Stickers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must be a number", ""), IF(LEN(_xlpm.check2) &gt; 0, _xlpm.check2, _xlfn.LET(_xlpm.check3, IF(AND(_xlpm.val &lt;&gt; "" ,IFERROR(VALUE(_xlpm.val), _xlpm.val)&lt;0.0), "1:Minimum Order Quantity must be greater than 0.0", ""), IF(LEN(_xlpm.check3) &gt; 0, _xlpm.check3, _xlfn.LET(_xlpm.check4, IF(AND(_xlpm.val &lt;&gt; "" , IFERROR(VALUE(_xlpm.val), _xlpm.val)&gt;32767.0), "1:Minimum Order Quantity must be less than 32767.0", ""), IF(LEN(_xlpm.check4) &gt; 0, _xlpm.check4, IF(AND(_xlpm.val = "", '3757 - Wall Stickers (S)'!AD$8=""), "3:Minimum Order Quantity is required", ""))))))))))))</f>
        <v>0</v>
      </c>
      <c r="AE9" s="22" cm="1">
        <f t="array" ref="AE9">_xlfn.MAP('3757 - Wall Stickers (S)'!B9:B508, '3757 - Wall Stickers (S)'!AE9:AE508, '3757 - Wall Stickers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must be a number", ""), IF(LEN(_xlpm.check2) &gt; 0, _xlpm.check2, _xlfn.LET(_xlpm.check3, IF(AND(_xlpm.val &lt;&gt; "" ,IFERROR(VALUE(_xlpm.val), _xlpm.val)&lt;0.0), "1:Force Quantity Multiplier must be greater than 0.0", ""), IF(LEN(_xlpm.check3) &gt; 0, _xlpm.check3, _xlfn.LET(_xlpm.check4, IF(AND(_xlpm.val &lt;&gt; "" , IFERROR(VALUE(_xlpm.val), _xlpm.val)&gt;32767.0), "1:Force Quantity Multiplier must be less than 32767.0", ""), IF(LEN(_xlpm.check4) &gt; 0, _xlpm.check4, IF(AND(_xlpm.val = "", '3757 - Wall Stickers (S)'!AE$8=""), "3:Force Quantity Multiplier is required", ""))))))))))))</f>
        <v>0</v>
      </c>
      <c r="AF9" s="22" cm="1">
        <f t="array" ref="AF9">_xlfn.MAP('3757 - Wall Stickers (S)'!B9:B508, '3757 - Wall Stickers (S)'!AF9:AF508, '3757 - Wall Stickers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must be a number", ""), IF(LEN(_xlpm.check2) &gt; 0, _xlpm.check2, _xlfn.LET(_xlpm.check3, IF(AND(_xlpm.val &lt;&gt; "" ,IFERROR(VALUE(_xlpm.val), _xlpm.val)&lt;0.0), "1:Display Set Quantity must be greater than 0.0", ""), IF(LEN(_xlpm.check3) &gt; 0, _xlpm.check3, _xlfn.LET(_xlpm.check4, IF(AND(_xlpm.val &lt;&gt; "" , IFERROR(VALUE(_xlpm.val), _xlpm.val)&gt;32767.0), "1:Display Set Quantity must be less than 32767.0", ""), IF(LEN(_xlpm.check4) &gt; 0, _xlpm.check4, IF(AND(_xlpm.val = "", '3757 - Wall Stickers (S)'!AF$8=""), "3:Display Set Quantity is required", ""))))))))))))</f>
        <v>0</v>
      </c>
      <c r="AG9" s="22" cm="1">
        <f t="array" ref="AG9">_xlfn.MAP('3757 - Wall Stickers (S)'!B9:B508, '3757 - Wall Stickers (S)'!AG9:AG508, '3757 - Wall Stickers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must be a number", ""), IF(LEN(_xlpm.check2) &gt; 0, _xlpm.check2, _xlfn.LET(_xlpm.check3, IF(AND(_xlpm.val &lt;&gt; "" ,IFERROR(VALUE(_xlpm.val), _xlpm.val)&lt;0.0), "1:Product Weight must be greater than 0.0", ""), IF(LEN(_xlpm.check3) &gt; 0, _xlpm.check3, IF(AND(_xlpm.val = "", '3757 - Wall Stickers (S)'!AG$8=""), "3:Product Weight is required", ""))))))))))</f>
        <v>0</v>
      </c>
      <c r="AH9" s="22" cm="1">
        <f t="array" ref="AH9">_xlfn.MAP('3757 - Wall Stickers (S)'!B9:B508, '3757 - Wall Stickers (S)'!AH9:AH508, '3757 - Wall Stickers (S)'!H9:H508, _xlfn.LAMBDA(_xlpm.part, _xlpm.val, _xlpm.dep1, IF(_xlpm.part = "", "", _xlfn.LET(_xlpm.check1, IF(AND(_xlpm.val = "", _xlpm.dep1 = "Non-Primary Variant"), "2:Autofill", ""), IF(LEN(_xlpm.check1) &gt; 0, _xlpm.check1, IF(AND(_xlpm.val = "", '3757 - Wall Stickers (S)'!AH$8=""), "3:Ship Type is required", ""))))))</f>
        <v>0</v>
      </c>
      <c r="AI9" s="22" cm="1">
        <f t="array" ref="AI9">_xlfn.MAP('3757 - Wall Stickers (S)'!B9:B508, '3757 - Wall Stickers (S)'!AI9:AI508, '3757 - Wall Stickers (S)'!H9:H508, '3757 - Wall Stickers (S)'!AH9:AH508, _xlfn.LAMBDA(_xlpm.part, _xlpm.val, _xlpm.dep1, _xlpm.dep2, IF(_xlpm.part = "", "", _xlfn.LET(_xlpm.check1, IF(AND(_xlpm.val = "", _xlpm.dep1 = "Non-Primary Variant"), "2:Autofill", ""), IF(LEN(_xlpm.check1) &gt; 0, _xlpm.check1, IF(_xlpm.dep2 = "LTL", IF(AND(_xlpm.val = "", '3757 - Wall Stickers (S)'!AI$8=""), "3:Freight Class is required when Ship Type equals LTL", ""), ""))))))</f>
        <v>0</v>
      </c>
      <c r="AJ9" s="22" cm="1">
        <f t="array" ref="AJ9">_xlfn.MAP('3757 - Wall Stickers (S)'!B9:B508, '3757 - Wall Stickers (S)'!AJ9:AJ508, '3757 - Wall Stickers (S)'!H9:H508, _xlfn.LAMBDA(_xlpm.part, _xlpm.val, _xlpm.dep1, IF(_xlpm.part = "", "", _xlfn.LET(_xlpm.check1, IF(AND(_xlpm.val = "", _xlpm.dep1 = "Non-Primary Variant"), "2:Autofill", ""), IF(LEN(_xlpm.check1) &gt; 0, _xlpm.check1, IF(AND(_xlpm.val = "", '3757 - Wall Stickers (S)'!AJ$8=""), "3:Lead Time is required", ""))))))</f>
        <v>0</v>
      </c>
      <c r="AK9" s="22" cm="1">
        <f t="array" ref="AK9">_xlfn.MAP('3757 - Wall Stickers (S)'!B9:B508, '3757 - Wall Stickers (S)'!AK9:AK508, '3757 - Wall Stickers (S)'!H9:H508, _xlfn.LAMBDA(_xlpm.part, _xlpm.val, _xlpm.dep1, IF(_xlpm.part = "", "", _xlfn.LET(_xlpm.check1, IF(AND(_xlpm.val = "", _xlpm.dep1 = "Non-Primary Variant"), "2:Autofill", ""), IF(LEN(_xlpm.check1) &gt; 0, _xlpm.check1, IF(AND(_xlpm.val = "", '3757 - Wall Stickers (S)'!AK$8=""), "3:Replacement Lead Time is required", ""))))))</f>
        <v>0</v>
      </c>
      <c r="AL9" s="22" cm="1">
        <f t="array" ref="AL9">_xlfn.MAP('3757 - Wall Stickers (S)'!B9:B508, '3757 - Wall Stickers (S)'!AL9:AL508, '3757 - Wall Stickers (S)'!H9:H508, _xlfn.LAMBDA(_xlpm.part, _xlpm.val, _xlpm.dep1, IF(_xlpm.part = "", "", _xlfn.LET(_xlpm.check1, IF(AND(_xlpm.val = "", _xlpm.dep1 = "Non-Primary Variant"), "2:Autofill", ""), IF(LEN(_xlpm.check1) &gt; 0, _xlpm.check1, _xlfn.LET(_xlpm.check2, IF(AND(_xlpm.val &lt;&gt; "", LEN(_xlpm.val) &lt; 5), "1:National Motor Freight Class must be at least 5 characters", ""), IF(LEN(_xlpm.check2) &gt; 0, _xlpm.check2, IF(AND(_xlpm.val &lt;&gt; "" ,LEN(_xlpm.val)&gt;7), "1:National Motor Freight Class must be no more than 7 characters", ""))))))))</f>
        <v>0</v>
      </c>
      <c r="AM9" s="22" cm="1">
        <f t="array" ref="AM9">_xlfn.MAP('3757 - Wall Stickers (S)'!B9:B508, '3757 - Wall Stickers (S)'!AM9:AM508, '3757 - Wall Stickers (S)'!H9:H508, _xlfn.LAMBDA(_xlpm.part, _xlpm.val, _xlpm.dep1, IF(_xlpm.part = "", "", IF(AND(_xlpm.val = "", _xlpm.dep1 = "Non-Primary Variant"), "2:Autofill", ""))))</f>
        <v>0</v>
      </c>
      <c r="AN9" s="22" cm="1">
        <f t="array" ref="AN9">_xlfn.MAP('3757 - Wall Stickers (S)'!B9:B508, '3757 - Wall Stickers (S)'!AN9:AN508, '3757 - Wall Stickers (S)'!H9:H508, _xlfn.LAMBDA(_xlpm.part, _xlpm.val, _xlpm.dep1, IF(_xlpm.part = "", "", IF(AND(_xlpm.val = "", _xlpm.dep1 = "Non-Primary Variant"), "2:Autofill", ""))))</f>
        <v>0</v>
      </c>
      <c r="AO9" s="22" cm="1">
        <f t="array" ref="AO9">_xlfn.MAP('3757 - Wall Stickers (S)'!B9:B508, '3757 - Wall Stickers (S)'!AO9:AO508, '3757 - Wall Stickers (S)'!AP9:AP508, '3757 - Wall Stickers (S)'!AQ9:AQ508, '3757 - Wall Stickers (S)'!AR9:AR508, _xlfn.LAMBDA(_xlpm.part, _xlpm.val, _xlpm.dep1, _xlpm.dep2, _xlpm.dep3, IF(_xlpm.part = "", "", _xlfn.LET(_xlpm.check1, IF(AND(NOT(ISBLANK(_xlpm.val)),OR(NOT(ISNUMBER(IFERROR(VALUE(_xlpm.val), ""))), IFERROR(VALUE(_xlpm.val), -1) &lt; 0)), "1:Carton Weight must be a number", ""), IF(LEN(_xlpm.check1) &gt; 0, _xlpm.check1, _xlfn.LET(_xlpm.check2, IF(AND(_xlpm.val &lt;&gt; "" ,IFERROR(VALUE(_xlpm.val), _xlpm.val)&lt;0.0), "1:Carton Weight must be greater than 0.0", ""), IF(LEN(_xlpm.check2) &gt; 0, _xlpm.check2, _xlfn.LET(_xlpm.check3, IF(_xlpm.dep1 &lt;&gt; "", IF(AND(_xlpm.val = "", '3757 - Wall Stickers (S)'!AO$8=""), "3:Carton Weight is required when Carton Height does not equal EMPTY", ""), ""), IF(LEN(_xlpm.check3) &gt; 0, _xlpm.check3, _xlfn.LET(_xlpm.check4, IF(_xlpm.dep2 &lt;&gt; "", IF(AND(_xlpm.val = "", '3757 - Wall Stickers (S)'!AO$8=""), "3:Carton Weight is required when Carton Width does not equal EMPTY", ""), ""), IF(LEN(_xlpm.check4) &gt; 0, _xlpm.check4, _xlfn.LET(_xlpm.check5, IF(_xlpm.dep3 &lt;&gt; "", IF(AND(_xlpm.val = "", '3757 - Wall Stickers (S)'!AO$8=""), "3:Carton Weight is required when Carton Depth does not equal EMPTY", ""), ""), IF(LEN(_xlpm.check5) &gt; 0, _xlpm.check5, IF(AND(_xlpm.val = "", '3757 - Wall Stickers (S)'!AO$8=""), "3:Carton Weight is required", ""))))))))))))))</f>
        <v>0</v>
      </c>
      <c r="AP9" s="22" cm="1">
        <f t="array" ref="AP9">_xlfn.MAP('3757 - Wall Stickers (S)'!B9:B508, '3757 - Wall Stickers (S)'!AP9:AP508, '3757 - Wall Stickers (S)'!AO9:AO508, '3757 - Wall Stickers (S)'!AQ9:AQ508, '3757 - Wall Stickers (S)'!AR9:AR508, _xlfn.LAMBDA(_xlpm.part, _xlpm.val, _xlpm.dep1, _xlpm.dep2, _xlpm.dep3, IF(_xlpm.part = "", "", _xlfn.LET(_xlpm.check1, IF(AND(NOT(ISBLANK(_xlpm.val)),OR(NOT(ISNUMBER(IFERROR(VALUE(_xlpm.val), ""))), IFERROR(VALUE(_xlpm.val), -1) &lt; 0)), "1:Carton Height must be a number", ""), IF(LEN(_xlpm.check1) &gt; 0, _xlpm.check1, _xlfn.LET(_xlpm.check2, IF(AND(_xlpm.val &lt;&gt; "" ,IFERROR(VALUE(_xlpm.val), _xlpm.val)&lt;0.0), "1:Carton Height must be greater than 0.0", ""), IF(LEN(_xlpm.check2) &gt; 0, _xlpm.check2, _xlfn.LET(_xlpm.check3, IF(_xlpm.dep1 &lt;&gt; "", IF(AND(_xlpm.val = "", '3757 - Wall Stickers (S)'!AP$8=""), "3:Carton Height is required when Carton Weight does not equal EMPTY", ""), ""), IF(LEN(_xlpm.check3) &gt; 0, _xlpm.check3, _xlfn.LET(_xlpm.check4, IF(_xlpm.dep2 &lt;&gt; "", IF(AND(_xlpm.val = "", '3757 - Wall Stickers (S)'!AP$8=""), "3:Carton Height is required when Carton Width does not equal EMPTY", ""), ""), IF(LEN(_xlpm.check4) &gt; 0, _xlpm.check4, _xlfn.LET(_xlpm.check5, IF(_xlpm.dep3 &lt;&gt; "", IF(AND(_xlpm.val = "", '3757 - Wall Stickers (S)'!AP$8=""), "3:Carton Height is required when Carton Depth does not equal EMPTY", ""), ""), IF(LEN(_xlpm.check5) &gt; 0, _xlpm.check5, IF(AND(_xlpm.val = "", '3757 - Wall Stickers (S)'!AP$8=""), "3:Carton Height is required", ""))))))))))))))</f>
        <v>0</v>
      </c>
      <c r="AQ9" s="22" cm="1">
        <f t="array" ref="AQ9">_xlfn.MAP('3757 - Wall Stickers (S)'!B9:B508, '3757 - Wall Stickers (S)'!AQ9:AQ508, '3757 - Wall Stickers (S)'!AO9:AO508, '3757 - Wall Stickers (S)'!AP9:AP508, '3757 - Wall Stickers (S)'!AR9:AR508, _xlfn.LAMBDA(_xlpm.part, _xlpm.val, _xlpm.dep1, _xlpm.dep2, _xlpm.dep3, IF(_xlpm.part = "", "", _xlfn.LET(_xlpm.check1, IF(AND(NOT(ISBLANK(_xlpm.val)),OR(NOT(ISNUMBER(IFERROR(VALUE(_xlpm.val), ""))), IFERROR(VALUE(_xlpm.val), -1) &lt; 0)), "1:Carton Width must be a number", ""), IF(LEN(_xlpm.check1) &gt; 0, _xlpm.check1, _xlfn.LET(_xlpm.check2, IF(AND(_xlpm.val &lt;&gt; "" ,IFERROR(VALUE(_xlpm.val), _xlpm.val)&lt;0.0), "1:Carton Width must be greater than 0.0", ""), IF(LEN(_xlpm.check2) &gt; 0, _xlpm.check2, _xlfn.LET(_xlpm.check3, IF(_xlpm.dep1 &lt;&gt; "", IF(AND(_xlpm.val = "", '3757 - Wall Stickers (S)'!AQ$8=""), "3:Carton Width is required when Carton Weight does not equal EMPTY", ""), ""), IF(LEN(_xlpm.check3) &gt; 0, _xlpm.check3, _xlfn.LET(_xlpm.check4, IF(_xlpm.dep2 &lt;&gt; "", IF(AND(_xlpm.val = "", '3757 - Wall Stickers (S)'!AQ$8=""), "3:Carton Width is required when Carton Height does not equal EMPTY", ""), ""), IF(LEN(_xlpm.check4) &gt; 0, _xlpm.check4, _xlfn.LET(_xlpm.check5, IF(_xlpm.dep3 &lt;&gt; "", IF(AND(_xlpm.val = "", '3757 - Wall Stickers (S)'!AQ$8=""), "3:Carton Width is required when Carton Depth does not equal EMPTY", ""), ""), IF(LEN(_xlpm.check5) &gt; 0, _xlpm.check5, IF(AND(_xlpm.val = "", '3757 - Wall Stickers (S)'!AQ$8=""), "3:Carton Width is required", ""))))))))))))))</f>
        <v>0</v>
      </c>
      <c r="AR9" s="22" cm="1">
        <f t="array" ref="AR9">_xlfn.MAP('3757 - Wall Stickers (S)'!B9:B508, '3757 - Wall Stickers (S)'!AR9:AR508, '3757 - Wall Stickers (S)'!AO9:AO508, '3757 - Wall Stickers (S)'!AP9:AP508, '3757 - Wall Stickers (S)'!AQ9:AQ508, _xlfn.LAMBDA(_xlpm.part, _xlpm.val, _xlpm.dep1, _xlpm.dep2, _xlpm.dep3, IF(_xlpm.part = "", "", _xlfn.LET(_xlpm.check1, IF(AND(NOT(ISBLANK(_xlpm.val)),OR(NOT(ISNUMBER(IFERROR(VALUE(_xlpm.val), ""))), IFERROR(VALUE(_xlpm.val), -1) &lt; 0)), "1:Carton Depth must be a number", ""), IF(LEN(_xlpm.check1) &gt; 0, _xlpm.check1, _xlfn.LET(_xlpm.check2, IF(AND(_xlpm.val &lt;&gt; "" ,IFERROR(VALUE(_xlpm.val), _xlpm.val)&lt;0.0), "1:Carton Depth must be greater than 0.0", ""), IF(LEN(_xlpm.check2) &gt; 0, _xlpm.check2, _xlfn.LET(_xlpm.check3, IF(_xlpm.dep1 &lt;&gt; "", IF(AND(_xlpm.val = "", '3757 - Wall Stickers (S)'!AR$8=""), "3:Carton Depth is required when Carton Weight does not equal EMPTY", ""), ""), IF(LEN(_xlpm.check3) &gt; 0, _xlpm.check3, _xlfn.LET(_xlpm.check4, IF(_xlpm.dep2 &lt;&gt; "", IF(AND(_xlpm.val = "", '3757 - Wall Stickers (S)'!AR$8=""), "3:Carton Depth is required when Carton Height does not equal EMPTY", ""), ""), IF(LEN(_xlpm.check4) &gt; 0, _xlpm.check4, _xlfn.LET(_xlpm.check5, IF(_xlpm.dep3 &lt;&gt; "", IF(AND(_xlpm.val = "", '3757 - Wall Stickers (S)'!AR$8=""), "3:Carton Depth is required when Carton Width does not equal EMPTY", ""), ""), IF(LEN(_xlpm.check5) &gt; 0, _xlpm.check5, IF(AND(_xlpm.val = "", '3757 - Wall Stickers (S)'!AR$8=""), "3:Carton Depth is required", ""))))))))))))))</f>
        <v>0</v>
      </c>
      <c r="AS9" s="22" cm="1">
        <f t="array" ref="AS9">_xlfn.MAP('3757 - Wall Stickers (S)'!B9:B508, '3757 - Wall Stickers (S)'!AS9:AS508, '3757 - Wall Stickers (S)'!AT9:AT508, '3757 - Wall Stickers (S)'!AU9:AU508, '3757 - Wall Stickers (S)'!AV9:AV508, _xlfn.LAMBDA(_xlpm.part, _xlpm.val, _xlpm.dep1, _xlpm.dep2, _xlpm.dep3, IF(_xlpm.part = "", "", _xlfn.LET(_xlpm.check1, IF(AND(NOT(ISBLANK(_xlpm.val)),OR(NOT(ISNUMBER(IFERROR(VALUE(_xlpm.val), ""))), IFERROR(VALUE(_xlpm.val), -1) &lt; 0)), "1:Carton Weight must be a number", ""), IF(LEN(_xlpm.check1) &gt; 0, _xlpm.check1, _xlfn.LET(_xlpm.check2, IF(AND(_xlpm.val &lt;&gt; "" ,IFERROR(VALUE(_xlpm.val), _xlpm.val)&lt;0.0), "1:Carton Weight must be greater than 0.0", ""), IF(LEN(_xlpm.check2) &gt; 0, _xlpm.check2, _xlfn.LET(_xlpm.check3, IF(_xlpm.dep1 &lt;&gt; "", IF(AND(_xlpm.val = "", '3757 - Wall Stickers (S)'!AS$8=""), "3:Carton Weight is required when Carton Height does not equal EMPTY", ""), ""), IF(LEN(_xlpm.check3) &gt; 0, _xlpm.check3, _xlfn.LET(_xlpm.check4, IF(_xlpm.dep2 &lt;&gt; "", IF(AND(_xlpm.val = "", '3757 - Wall Stickers (S)'!AS$8=""), "3:Carton Weight is required when Carton Width does not equal EMPTY", ""), ""), IF(LEN(_xlpm.check4) &gt; 0, _xlpm.check4, IF(_xlpm.dep3 &lt;&gt; "", IF(AND(_xlpm.val = "", '3757 - Wall Stickers (S)'!AS$8=""), "3:Carton Weight is required when Carton Depth does not equal EMPTY", ""), ""))))))))))))</f>
        <v>0</v>
      </c>
      <c r="AT9" s="22" cm="1">
        <f t="array" ref="AT9">_xlfn.MAP('3757 - Wall Stickers (S)'!B9:B508, '3757 - Wall Stickers (S)'!AT9:AT508, '3757 - Wall Stickers (S)'!AS9:AS508, '3757 - Wall Stickers (S)'!AU9:AU508, '3757 - Wall Stickers (S)'!AV9:AV508, _xlfn.LAMBDA(_xlpm.part, _xlpm.val, _xlpm.dep1, _xlpm.dep2, _xlpm.dep3, IF(_xlpm.part = "", "", _xlfn.LET(_xlpm.check1, IF(AND(NOT(ISBLANK(_xlpm.val)),OR(NOT(ISNUMBER(IFERROR(VALUE(_xlpm.val), ""))), IFERROR(VALUE(_xlpm.val), -1) &lt; 0)), "1:Carton Height must be a number", ""), IF(LEN(_xlpm.check1) &gt; 0, _xlpm.check1, _xlfn.LET(_xlpm.check2, IF(AND(_xlpm.val &lt;&gt; "" ,IFERROR(VALUE(_xlpm.val), _xlpm.val)&lt;0.0), "1:Carton Height must be greater than 0.0", ""), IF(LEN(_xlpm.check2) &gt; 0, _xlpm.check2, _xlfn.LET(_xlpm.check3, IF(_xlpm.dep1 &lt;&gt; "", IF(AND(_xlpm.val = "", '3757 - Wall Stickers (S)'!AT$8=""), "3:Carton Height is required when Carton Weight does not equal EMPTY", ""), ""), IF(LEN(_xlpm.check3) &gt; 0, _xlpm.check3, _xlfn.LET(_xlpm.check4, IF(_xlpm.dep2 &lt;&gt; "", IF(AND(_xlpm.val = "", '3757 - Wall Stickers (S)'!AT$8=""), "3:Carton Height is required when Carton Width does not equal EMPTY", ""), ""), IF(LEN(_xlpm.check4) &gt; 0, _xlpm.check4, IF(_xlpm.dep3 &lt;&gt; "", IF(AND(_xlpm.val = "", '3757 - Wall Stickers (S)'!AT$8=""), "3:Carton Height is required when Carton Depth does not equal EMPTY", ""), ""))))))))))))</f>
        <v>0</v>
      </c>
      <c r="AU9" s="22" cm="1">
        <f t="array" ref="AU9">_xlfn.MAP('3757 - Wall Stickers (S)'!B9:B508, '3757 - Wall Stickers (S)'!AU9:AU508, '3757 - Wall Stickers (S)'!AS9:AS508, '3757 - Wall Stickers (S)'!AT9:AT508, '3757 - Wall Stickers (S)'!AV9:AV508, _xlfn.LAMBDA(_xlpm.part, _xlpm.val, _xlpm.dep1, _xlpm.dep2, _xlpm.dep3, IF(_xlpm.part = "", "", _xlfn.LET(_xlpm.check1, IF(AND(NOT(ISBLANK(_xlpm.val)),OR(NOT(ISNUMBER(IFERROR(VALUE(_xlpm.val), ""))), IFERROR(VALUE(_xlpm.val), -1) &lt; 0)), "1:Carton Width must be a number", ""), IF(LEN(_xlpm.check1) &gt; 0, _xlpm.check1, _xlfn.LET(_xlpm.check2, IF(AND(_xlpm.val &lt;&gt; "" ,IFERROR(VALUE(_xlpm.val), _xlpm.val)&lt;0.0), "1:Carton Width must be greater than 0.0", ""), IF(LEN(_xlpm.check2) &gt; 0, _xlpm.check2, _xlfn.LET(_xlpm.check3, IF(_xlpm.dep1 &lt;&gt; "", IF(AND(_xlpm.val = "", '3757 - Wall Stickers (S)'!AU$8=""), "3:Carton Width is required when Carton Weight does not equal EMPTY", ""), ""), IF(LEN(_xlpm.check3) &gt; 0, _xlpm.check3, _xlfn.LET(_xlpm.check4, IF(_xlpm.dep2 &lt;&gt; "", IF(AND(_xlpm.val = "", '3757 - Wall Stickers (S)'!AU$8=""), "3:Carton Width is required when Carton Height does not equal EMPTY", ""), ""), IF(LEN(_xlpm.check4) &gt; 0, _xlpm.check4, IF(_xlpm.dep3 &lt;&gt; "", IF(AND(_xlpm.val = "", '3757 - Wall Stickers (S)'!AU$8=""), "3:Carton Width is required when Carton Depth does not equal EMPTY", ""), ""))))))))))))</f>
        <v>0</v>
      </c>
      <c r="AV9" s="22" cm="1">
        <f t="array" ref="AV9">_xlfn.MAP('3757 - Wall Stickers (S)'!B9:B508, '3757 - Wall Stickers (S)'!AV9:AV508, '3757 - Wall Stickers (S)'!AS9:AS508, '3757 - Wall Stickers (S)'!AT9:AT508, '3757 - Wall Stickers (S)'!AU9:AU508, _xlfn.LAMBDA(_xlpm.part, _xlpm.val, _xlpm.dep1, _xlpm.dep2, _xlpm.dep3, IF(_xlpm.part = "", "", _xlfn.LET(_xlpm.check1, IF(AND(NOT(ISBLANK(_xlpm.val)),OR(NOT(ISNUMBER(IFERROR(VALUE(_xlpm.val), ""))), IFERROR(VALUE(_xlpm.val), -1) &lt; 0)), "1:Carton Depth must be a number", ""), IF(LEN(_xlpm.check1) &gt; 0, _xlpm.check1, _xlfn.LET(_xlpm.check2, IF(AND(_xlpm.val &lt;&gt; "" ,IFERROR(VALUE(_xlpm.val), _xlpm.val)&lt;0.0), "1:Carton Depth must be greater than 0.0", ""), IF(LEN(_xlpm.check2) &gt; 0, _xlpm.check2, _xlfn.LET(_xlpm.check3, IF(_xlpm.dep1 &lt;&gt; "", IF(AND(_xlpm.val = "", '3757 - Wall Stickers (S)'!AV$8=""), "3:Carton Depth is required when Carton Weight does not equal EMPTY", ""), ""), IF(LEN(_xlpm.check3) &gt; 0, _xlpm.check3, _xlfn.LET(_xlpm.check4, IF(_xlpm.dep2 &lt;&gt; "", IF(AND(_xlpm.val = "", '3757 - Wall Stickers (S)'!AV$8=""), "3:Carton Depth is required when Carton Height does not equal EMPTY", ""), ""), IF(LEN(_xlpm.check4) &gt; 0, _xlpm.check4, IF(_xlpm.dep3 &lt;&gt; "", IF(AND(_xlpm.val = "", '3757 - Wall Stickers (S)'!AV$8=""), "3:Carton Depth is required when Carton Width does not equal EMPTY", ""), ""))))))))))))</f>
        <v>0</v>
      </c>
      <c r="AW9" s="22" cm="1">
        <f t="array" ref="AW9">_xlfn.MAP('3757 - Wall Stickers (S)'!B9:B508, '3757 - Wall Stickers (S)'!AW9:AW508, '3757 - Wall Stickers (S)'!AX9:AX508, '3757 - Wall Stickers (S)'!AY9:AY508, '3757 - Wall Stickers (S)'!AZ9:AZ508, _xlfn.LAMBDA(_xlpm.part, _xlpm.val, _xlpm.dep1, _xlpm.dep2, _xlpm.dep3, IF(_xlpm.part = "", "", _xlfn.LET(_xlpm.check1, IF(AND(NOT(ISBLANK(_xlpm.val)),OR(NOT(ISNUMBER(IFERROR(VALUE(_xlpm.val), ""))), IFERROR(VALUE(_xlpm.val), -1) &lt; 0)), "1:Carton Weight must be a number", ""), IF(LEN(_xlpm.check1) &gt; 0, _xlpm.check1, _xlfn.LET(_xlpm.check2, IF(AND(_xlpm.val &lt;&gt; "" ,IFERROR(VALUE(_xlpm.val), _xlpm.val)&lt;0.0), "1:Carton Weight must be greater than 0.0", ""), IF(LEN(_xlpm.check2) &gt; 0, _xlpm.check2, _xlfn.LET(_xlpm.check3, IF(_xlpm.dep1 &lt;&gt; "", IF(AND(_xlpm.val = "", '3757 - Wall Stickers (S)'!AW$8=""), "3:Carton Weight is required when Carton Height does not equal EMPTY", ""), ""), IF(LEN(_xlpm.check3) &gt; 0, _xlpm.check3, _xlfn.LET(_xlpm.check4, IF(_xlpm.dep2 &lt;&gt; "", IF(AND(_xlpm.val = "", '3757 - Wall Stickers (S)'!AW$8=""), "3:Carton Weight is required when Carton Width does not equal EMPTY", ""), ""), IF(LEN(_xlpm.check4) &gt; 0, _xlpm.check4, IF(_xlpm.dep3 &lt;&gt; "", IF(AND(_xlpm.val = "", '3757 - Wall Stickers (S)'!AW$8=""), "3:Carton Weight is required when Carton Depth does not equal EMPTY", ""), ""))))))))))))</f>
        <v>0</v>
      </c>
      <c r="AX9" s="22" cm="1">
        <f t="array" ref="AX9">_xlfn.MAP('3757 - Wall Stickers (S)'!B9:B508, '3757 - Wall Stickers (S)'!AX9:AX508, '3757 - Wall Stickers (S)'!AW9:AW508, '3757 - Wall Stickers (S)'!AY9:AY508, '3757 - Wall Stickers (S)'!AZ9:AZ508, _xlfn.LAMBDA(_xlpm.part, _xlpm.val, _xlpm.dep1, _xlpm.dep2, _xlpm.dep3, IF(_xlpm.part = "", "", _xlfn.LET(_xlpm.check1, IF(AND(NOT(ISBLANK(_xlpm.val)),OR(NOT(ISNUMBER(IFERROR(VALUE(_xlpm.val), ""))), IFERROR(VALUE(_xlpm.val), -1) &lt; 0)), "1:Carton Height must be a number", ""), IF(LEN(_xlpm.check1) &gt; 0, _xlpm.check1, _xlfn.LET(_xlpm.check2, IF(AND(_xlpm.val &lt;&gt; "" ,IFERROR(VALUE(_xlpm.val), _xlpm.val)&lt;0.0), "1:Carton Height must be greater than 0.0", ""), IF(LEN(_xlpm.check2) &gt; 0, _xlpm.check2, _xlfn.LET(_xlpm.check3, IF(_xlpm.dep1 &lt;&gt; "", IF(AND(_xlpm.val = "", '3757 - Wall Stickers (S)'!AX$8=""), "3:Carton Height is required when Carton Weight does not equal EMPTY", ""), ""), IF(LEN(_xlpm.check3) &gt; 0, _xlpm.check3, _xlfn.LET(_xlpm.check4, IF(_xlpm.dep2 &lt;&gt; "", IF(AND(_xlpm.val = "", '3757 - Wall Stickers (S)'!AX$8=""), "3:Carton Height is required when Carton Width does not equal EMPTY", ""), ""), IF(LEN(_xlpm.check4) &gt; 0, _xlpm.check4, IF(_xlpm.dep3 &lt;&gt; "", IF(AND(_xlpm.val = "", '3757 - Wall Stickers (S)'!AX$8=""), "3:Carton Height is required when Carton Depth does not equal EMPTY", ""), ""))))))))))))</f>
        <v>0</v>
      </c>
      <c r="AY9" s="22" cm="1">
        <f t="array" ref="AY9">_xlfn.MAP('3757 - Wall Stickers (S)'!B9:B508, '3757 - Wall Stickers (S)'!AY9:AY508, '3757 - Wall Stickers (S)'!AW9:AW508, '3757 - Wall Stickers (S)'!AX9:AX508, '3757 - Wall Stickers (S)'!AZ9:AZ508, _xlfn.LAMBDA(_xlpm.part, _xlpm.val, _xlpm.dep1, _xlpm.dep2, _xlpm.dep3, IF(_xlpm.part = "", "", _xlfn.LET(_xlpm.check1, IF(AND(NOT(ISBLANK(_xlpm.val)),OR(NOT(ISNUMBER(IFERROR(VALUE(_xlpm.val), ""))), IFERROR(VALUE(_xlpm.val), -1) &lt; 0)), "1:Carton Width must be a number", ""), IF(LEN(_xlpm.check1) &gt; 0, _xlpm.check1, _xlfn.LET(_xlpm.check2, IF(AND(_xlpm.val &lt;&gt; "" ,IFERROR(VALUE(_xlpm.val), _xlpm.val)&lt;0.0), "1:Carton Width must be greater than 0.0", ""), IF(LEN(_xlpm.check2) &gt; 0, _xlpm.check2, _xlfn.LET(_xlpm.check3, IF(_xlpm.dep1 &lt;&gt; "", IF(AND(_xlpm.val = "", '3757 - Wall Stickers (S)'!AY$8=""), "3:Carton Width is required when Carton Weight does not equal EMPTY", ""), ""), IF(LEN(_xlpm.check3) &gt; 0, _xlpm.check3, _xlfn.LET(_xlpm.check4, IF(_xlpm.dep2 &lt;&gt; "", IF(AND(_xlpm.val = "", '3757 - Wall Stickers (S)'!AY$8=""), "3:Carton Width is required when Carton Height does not equal EMPTY", ""), ""), IF(LEN(_xlpm.check4) &gt; 0, _xlpm.check4, IF(_xlpm.dep3 &lt;&gt; "", IF(AND(_xlpm.val = "", '3757 - Wall Stickers (S)'!AY$8=""), "3:Carton Width is required when Carton Depth does not equal EMPTY", ""), ""))))))))))))</f>
        <v>0</v>
      </c>
      <c r="AZ9" s="22" cm="1">
        <f t="array" ref="AZ9">_xlfn.MAP('3757 - Wall Stickers (S)'!B9:B508, '3757 - Wall Stickers (S)'!AZ9:AZ508, '3757 - Wall Stickers (S)'!AW9:AW508, '3757 - Wall Stickers (S)'!AX9:AX508, '3757 - Wall Stickers (S)'!AY9:AY508, _xlfn.LAMBDA(_xlpm.part, _xlpm.val, _xlpm.dep1, _xlpm.dep2, _xlpm.dep3, IF(_xlpm.part = "", "", _xlfn.LET(_xlpm.check1, IF(AND(NOT(ISBLANK(_xlpm.val)),OR(NOT(ISNUMBER(IFERROR(VALUE(_xlpm.val), ""))), IFERROR(VALUE(_xlpm.val), -1) &lt; 0)), "1:Carton Depth must be a number", ""), IF(LEN(_xlpm.check1) &gt; 0, _xlpm.check1, _xlfn.LET(_xlpm.check2, IF(AND(_xlpm.val &lt;&gt; "" ,IFERROR(VALUE(_xlpm.val), _xlpm.val)&lt;0.0), "1:Carton Depth must be greater than 0.0", ""), IF(LEN(_xlpm.check2) &gt; 0, _xlpm.check2, _xlfn.LET(_xlpm.check3, IF(_xlpm.dep1 &lt;&gt; "", IF(AND(_xlpm.val = "", '3757 - Wall Stickers (S)'!AZ$8=""), "3:Carton Depth is required when Carton Weight does not equal EMPTY", ""), ""), IF(LEN(_xlpm.check3) &gt; 0, _xlpm.check3, _xlfn.LET(_xlpm.check4, IF(_xlpm.dep2 &lt;&gt; "", IF(AND(_xlpm.val = "", '3757 - Wall Stickers (S)'!AZ$8=""), "3:Carton Depth is required when Carton Height does not equal EMPTY", ""), ""), IF(LEN(_xlpm.check4) &gt; 0, _xlpm.check4, IF(_xlpm.dep3 &lt;&gt; "", IF(AND(_xlpm.val = "", '3757 - Wall Stickers (S)'!AZ$8=""), "3:Carton Depth is required when Carton Width does not equal EMPTY", ""), ""))))))))))))</f>
        <v>0</v>
      </c>
      <c r="GS9" s="22" cm="1">
        <f t="array" ref="GS9">_xlfn.MAP('3757 - Wall Stickers (S)'!B9:B508, '3757 - Wall Stickers (S)'!GS9:GS508, '3757 - Wall Stickers (S)'!H9:H508, _xlfn.LAMBDA(_xlpm.part, _xlpm.val, _xlpm.dep1, IF(_xlpm.part = "", "", _xlfn.LET(_xlpm.check1, IF(AND(_xlpm.val = "", _xlpm.dep1 = "Non-Primary Variant"), "2:Autofill", ""), IF(LEN(_xlpm.check1) &gt; 0, _xlpm.check1, IF(AND(_xlpm.val = "", '3757 - Wall Stickers (S)'!GS$8=""), "3:Country of Origin is required", ""))))))</f>
        <v>0</v>
      </c>
      <c r="GT9" s="22" cm="1">
        <f t="array" ref="GT9">_xlfn.MAP('3757 - Wall Stickers (S)'!B9:B508, '3757 - Wall Stickers (S)'!GT9:GT508, _xlfn.LAMBDA(_xlpm.part, _xlpm.val, IF(_xlpm.part = "", "", IF(AND(_xlpm.val = "", '3757 - Wall Stickers (S)'!GT$8=""), "3:Warning Required is required", ""))))</f>
        <v>0</v>
      </c>
      <c r="GU9" s="22" cm="1">
        <f t="array" ref="GU9">_xlfn.MAP('3757 - Wall Stickers (S)'!B9:B508, '3757 - Wall Stickers (S)'!GU9:GU508, '3757 - Wall Stickers (S)'!GT9:GT508, '3757 - Wall Stickers (S)'!GV9:GV508, _xlfn.LAMBDA(_xlpm.part, _xlpm.val, _xlpm.dep1, _xlpm.dep2, IF(_xlpm.part = "", "", _xlfn.LET(_xlpm.check1, IF(_xlpm.dep1 = "Yes", IF(AND(_xlpm.val = "", '3757 - Wall Stickers (S)'!GU$8=""), "3:Chemical is required when Warning Required equals Yes", ""), ""), IF(LEN(_xlpm.check1) &gt; 0, _xlpm.check1, IF(_xlpm.dep2 &lt;&gt; "", IF(AND(_xlpm.val = "", '3757 - Wall Stickers (S)'!GU$8=""), "3:Chemical is required when Toxicity does not equal EMPTY", ""), ""))))))</f>
        <v>0</v>
      </c>
      <c r="GV9" s="22" cm="1">
        <f t="array" ref="GV9">_xlfn.MAP('3757 - Wall Stickers (S)'!B9:B508, '3757 - Wall Stickers (S)'!GV9:GV508, '3757 - Wall Stickers (S)'!GT9:GT508, '3757 - Wall Stickers (S)'!GU9:GU508, _xlfn.LAMBDA(_xlpm.part, _xlpm.val, _xlpm.dep1, _xlpm.dep2, IF(_xlpm.part = "", "", _xlfn.LET(_xlpm.check1, IF(_xlpm.dep1 = "Yes", IF(AND(_xlpm.val = "", '3757 - Wall Stickers (S)'!GV$8=""), "3:Toxicity is required when Warning Required equals Yes", ""), ""), IF(LEN(_xlpm.check1) &gt; 0, _xlpm.check1, IF(_xlpm.dep2 &lt;&gt; "", IF(AND(_xlpm.val = "", '3757 - Wall Stickers (S)'!GV$8=""), "3:Toxicity is required when Chemical does not equal EMPTY", ""), ""))))))</f>
        <v>0</v>
      </c>
      <c r="HE9" s="22" cm="1">
        <f t="array" ref="HE9">_xlfn.MAP('3757 - Wall Stickers (S)'!B9:B508, '3757 - Wall Stickers (S)'!HE9:HE508, _xlfn.LAMBDA(_xlpm.part, _xlpm.val, IF(_xlpm.part = "", "", IF(_xlpm.val = "", "3:Image File Name or URL is required", ""))))</f>
        <v>0</v>
      </c>
      <c r="IK9" s="22" cm="1">
        <f t="array" ref="IK9">_xlfn.MAP('3757 - Wall Stickers (S)'!B9:B508, '3757 - Wall Stickers (S)'!IK9:IK508, '3757 - Wall Stickers (S)'!IL9:IL508, '3757 - Wall Stickers (S)'!IM9:IM508, '3757 - Wall Stickers (S)'!IN9:IN508, _xlfn.LAMBDA(_xlpm.part, _xlpm.val, _xlpm.dep1, _xlpm.dep2, _xlpm.dep3, IF(_xlpm.part = "", "", _xlfn.LET(_xlpm.check1, IF(_xlpm.dep1 &lt;&gt; "", IF(_xlpm.val = "", "3:Document File Name or URL is required when Document Type does not equal EMPTY", ""), ""), IF(LEN(_xlpm.check1) &gt; 0, _xlpm.check1, _xlfn.LET(_xlpm.check2, IF(_xlpm.dep2 &lt;&gt; "", IF(_xlpm.val = "", "3:Document File Name or URL is required when Legal Document Type does not equal EMPTY", ""), ""), IF(LEN(_xlpm.check2) &gt; 0, _xlpm.check2, IF(_xlpm.dep3 &lt;&gt; "", IF(_xlpm.val = "", "3:Document File Name or URL is required when Document Region does not equal EMPTY", ""), ""))))))))</f>
        <v>0</v>
      </c>
      <c r="IL9" s="22" cm="1">
        <f t="array" ref="IL9">_xlfn.MAP('3757 - Wall Stickers (S)'!B9:B508, '3757 - Wall Stickers (S)'!IL9:IL508, _xlfn.LAMBDA(_xlpm.part, _xlpm.val, IF(_xlpm.part = "", "", IF(NOT(ISBLANK(_xlpm.val)),_xlfn.LET(_xlpm.items, _xlfn.TEXTSPLIT(_xlpm.val, ";"),_xlpm.trimmed, _xlfn.MAP(_xlpm.items, _xlfn.LAMBDA(_xlpm.x, TRIM(_xlpm.x))),_xlpm.invalid, _xlfn._xlws.FILTER(_xlpm.trimmed, ISNA(MATCH(_xlpm.trimmed, allowed9064_fp_S_class_3757, 0)), ""),IF(AND(_xlpm.invalid&lt;&gt;"", COUNTA(_xlpm.invalid)&gt;0),"1:Please select valid values from the provided list. Answers are case-sensitive and must be separated by a semicolon.","")), ""))))</f>
        <v>0</v>
      </c>
      <c r="IM9" s="22" cm="1">
        <f t="array" ref="IM9">_xlfn.MAP('3757 - Wall Stickers (S)'!B9:B508, '3757 - Wall Stickers (S)'!IM9:IM508, _xlfn.LAMBDA(_xlpm.part, _xlpm.val, IF(_xlpm.part = "", "", IF(NOT(ISBLANK(_xlpm.val)),_xlfn.LET(_xlpm.items, _xlfn.TEXTSPLIT(_xlpm.val, ";"),_xlpm.trimmed, _xlfn.MAP(_xlpm.items, _xlfn.LAMBDA(_xlpm.x, TRIM(_xlpm.x))),_xlpm.invalid, _xlfn._xlws.FILTER(_xlpm.trimmed, ISNA(MATCH(_xlpm.trimmed, allowed9065_fp_S_class_3757, 0)), ""),IF(AND(_xlpm.invalid&lt;&gt;"", COUNTA(_xlpm.invalid)&gt;0),"1:Please select valid values from the provided list. Answers are case-sensitive and must be separated by a semicolon.","")), ""))))</f>
        <v>0</v>
      </c>
      <c r="JY9" s="22" cm="1">
        <f t="array" ref="JY9">_xlfn.MAP('3757 - Wall Stickers (S)'!B9:B508, '3757 - Wall Stickers (S)'!JY9:JY508, _xlfn.LAMBDA(_xlpm.part, _xlpm.val, IF(_xlpm.part = "", "", IF(AND(_xlpm.val = "", '3757 - Wall Stickers (S)'!JY$8=""), "3:Product Type is required", ""))))</f>
        <v>0</v>
      </c>
      <c r="KA9" s="22" cm="1">
        <f t="array" ref="KA9">_xlfn.MAP('3757 - Wall Stickers (S)'!B9:B508, '3757 - Wall Stickers (S)'!KA9:KA508, _xlfn.LAMBDA(_xlpm.part, _xlpm.val, IF(_xlpm.part = "", "", IF(AND(_xlpm.val = "", '3757 - Wall Stickers (S)'!KA$8=""), "3:Surface Type is required", ""))))</f>
        <v>0</v>
      </c>
      <c r="KB9" s="22" cm="1">
        <f t="array" ref="KB9">_xlfn.MAP('3757 - Wall Stickers (S)'!B9:B508, '3757 - Wall Stickers (S)'!KB9:KB508, _xlfn.LAMBDA(_xlpm.part, _xlpm.val, IF(_xlpm.part = "", "", IF(AND(_xlpm.val = "", '3757 - Wall Stickers (S)'!KB$8=""), "3:Material is required", ""))))</f>
        <v>0</v>
      </c>
      <c r="KC9" s="22" cm="1">
        <f t="array" ref="KC9">_xlfn.MAP('3757 - Wall Stickers (S)'!B9:B508, '3757 - Wall Stickers (S)'!KC9:KC508, _xlfn.LAMBDA(_xlpm.part, _xlpm.val, IF(_xlpm.part = "", "", IF(AND(_xlpm.val = "", '3757 - Wall Stickers (S)'!KC$8=""), "3:Compatible Surfaces is required", ""))))</f>
        <v>0</v>
      </c>
      <c r="KH9" s="22" cm="1">
        <f t="array" ref="KH9">_xlfn.MAP('3757 - Wall Stickers (S)'!B9:B508, '3757 - Wall Stickers (S)'!KH9:KH508, _xlfn.LAMBDA(_xlpm.part, _xlpm.val, IF(_xlpm.part = "", "", IF(AND(_xlpm.val = "", '3757 - Wall Stickers (S)'!KH$8=""), "3:BPA Free is required", ""))))</f>
        <v>0</v>
      </c>
      <c r="KL9" s="22" cm="1">
        <f t="array" ref="KL9">_xlfn.MAP('3757 - Wall Stickers (S)'!B9:B508, '3757 - Wall Stickers (S)'!KL9:KL508, _xlfn.LAMBDA(_xlpm.part, _xlpm.val, IF(_xlpm.part = "", "", IF(AND(_xlpm.val = "", '3757 - Wall Stickers (S)'!KL$8=""), "3:Color is required", ""))))</f>
        <v>0</v>
      </c>
      <c r="KM9" s="22" cm="1">
        <f t="array" ref="KM9">_xlfn.MAP('3757 - Wall Stickers (S)'!B9:B508, '3757 - Wall Stickers (S)'!KM9:KM508, _xlfn.LAMBDA(_xlpm.part, _xlpm.val, IF(_xlpm.part = "", "", IF(AND(NOT(ISBLANK(_xlpm.val)),OR(NOT(ISNUMBER(IFERROR(VALUE(_xlpm.val), ""))), IFERROR(VALUE(_xlpm.val), -1) &lt; 0)), "1:Total Number of Pieces Included must be a number", ""))))</f>
        <v>0</v>
      </c>
      <c r="KN9" s="22" cm="1">
        <f t="array" ref="KN9">_xlfn.MAP('3757 - Wall Stickers (S)'!B9:B508, '3757 - Wall Stickers (S)'!KN9:KN508, _xlfn.LAMBDA(_xlpm.part, _xlpm.val, IF(_xlpm.part = "", "", _xlfn.LET(_xlpm.check1, IF(NOT(ISBLANK(_xlpm.val)),_xlfn.LET(_xlpm.items, _xlfn.TEXTSPLIT(_xlpm.val, ";"),_xlpm.trimmed, _xlfn.MAP(_xlpm.items, _xlfn.LAMBDA(_xlpm.x, TRIM(_xlpm.x))),_xlpm.invalid, _xlfn._xlws.FILTER(_xlpm.trimmed, ISNA(MATCH(_xlpm.trimmed, allowed6253_fp_S_class_3757, 0)), ""),IF(AND(_xlpm.invalid&lt;&gt;"", COUNTA(_xlpm.invalid)&gt;0),"1:Please select valid values from the provided list. Answers are case-sensitive and must be separated by a semicolon.","")), ""), IF(LEN(_xlpm.check1) &gt; 0, _xlpm.check1, IF(AND(_xlpm.val = "", '3757 - Wall Stickers (S)'!KN$8=""), "3:Pieces Included is required", ""))))))</f>
        <v>0</v>
      </c>
      <c r="KO9" s="22" cm="1">
        <f t="array" ref="KO9">_xlfn.MAP('3757 - Wall Stickers (S)'!B9:B508, '3757 - Wall Stickers (S)'!KO9:KO508, '3757 - Wall Stickers (S)'!KI9:KI508, _xlfn.LAMBDA(_xlpm.part, _xlpm.val, _xlpm.dep1, IF(_xlpm.part = "", "", IF(AND(_xlpm.val = "", NOT(ISNUMBER(SEARCH("Entertainment/Characters", _xlpm.dep1)))), "2:Autofill", ""))))</f>
        <v>0</v>
      </c>
      <c r="KQ9" s="22" cm="1">
        <f t="array" ref="KQ9">_xlfn.MAP('3757 - Wall Stickers (S)'!B9:B508, '3757 - Wall Stickers (S)'!KQ9:KQ508, _xlfn.LAMBDA(_xlpm.part, _xlpm.val, IF(_xlpm.part = "", "", IF(NOT(ISBLANK(_xlpm.val)),_xlfn.LET(_xlpm.items, _xlfn.TEXTSPLIT(_xlpm.val, ";"),_xlpm.trimmed, _xlfn.MAP(_xlpm.items, _xlfn.LAMBDA(_xlpm.x, TRIM(_xlpm.x))),_xlpm.invalid, _xlfn._xlws.FILTER(_xlpm.trimmed, ISNA(MATCH(_xlpm.trimmed, allowed1557_fp_S_class_3757, 0)), ""),IF(AND(_xlpm.invalid&lt;&gt;"", COUNTA(_xlpm.invalid)&gt;0),"1:Please select valid values from the provided list. Answers are case-sensitive and must be separated by a semicolon.","")), ""))))</f>
        <v>0</v>
      </c>
      <c r="KR9" s="22" cm="1">
        <f t="array" ref="KR9">_xlfn.MAP('3757 - Wall Stickers (S)'!B9:B508, '3757 - Wall Stickers (S)'!KR9:KR508, _xlfn.LAMBDA(_xlpm.part, _xlpm.val, IF(_xlpm.part = "", "", IF(AND(_xlpm.val = "", '3757 - Wall Stickers (S)'!KR$8=""), "3:Overall Height - Top to Bottom is required", ""))))</f>
        <v>0</v>
      </c>
      <c r="KS9" s="22" cm="1">
        <f t="array" ref="KS9">_xlfn.MAP('3757 - Wall Stickers (S)'!B9:B508, '3757 - Wall Stickers (S)'!KS9:KS508, _xlfn.LAMBDA(_xlpm.part, _xlpm.val, IF(_xlpm.part = "", "", _xlfn.LET(_xlpm.check1, IF(AND(NOT(ISBLANK(_xlpm.val)),OR(NOT(ISNUMBER(IFERROR(VALUE(_xlpm.val), ""))), IFERROR(VALUE(_xlpm.val), -1) &lt; 0)), "1:Overall Width - Side to Side must be a number", ""), IF(LEN(_xlpm.check1) &gt; 0, _xlpm.check1, IF(AND(_xlpm.val = "", '3757 - Wall Stickers (S)'!KS$8=""), "3:Overall Width - Side to Side is required", ""))))))</f>
        <v>0</v>
      </c>
      <c r="KT9" s="22" cm="1">
        <f t="array" ref="KT9">_xlfn.MAP('3757 - Wall Stickers (S)'!B9:B508, '3757 - Wall Stickers (S)'!KT9:KT508, _xlfn.LAMBDA(_xlpm.part, _xlpm.val, IF(_xlpm.part = "", "", IF(AND(_xlpm.val = "", '3757 - Wall Stickers (S)'!KT$8=""), "3:Overall Product Weight is required", ""))))</f>
        <v>0</v>
      </c>
      <c r="KV9" s="22" cm="1">
        <f t="array" ref="KV9">_xlfn.MAP('3757 - Wall Stickers (S)'!B9:B508, '3757 - Wall Stickers (S)'!KV9:KV508, '3757 - Wall Stickers (S)'!KU9:KU508, _xlfn.LAMBDA(_xlpm.part, _xlpm.val, _xlpm.dep1, IF(_xlpm.part = "", "", _xlfn.LET(_xlpm.check1, IF(AND(_xlpm.val = "", OR(_xlpm.dep1 = "No", _xlpm.dep1 = "Does Not Apply", _xlpm.dep1 = "Unavailable")), "2:Autofill", ""), IF(LEN(_xlpm.check1) &gt; 0, _xlpm.check1, _xlfn.LET(_xlpm.check2, IF(_xlpm.dep1 = "No", IF(_xlpm.val &lt;&gt; "Does Not Apply", "1:Commercial Warranty Length must be Does Not Apply when Commercial Warranty is No", ""), ""), IF(LEN(_xlpm.check2) &gt; 0, _xlpm.check2, _xlfn.LET(_xlpm.check3, IF(_xlpm.dep1 = "Does Not Apply", IF(_xlpm.val &lt;&gt; "Does Not Apply", "1:Commercial Warranty Length must be Does Not Apply when Commercial Warranty is Does Not Apply", ""), ""), IF(LEN(_xlpm.check3) &gt; 0, _xlpm.check3, _xlfn.LET(_xlpm.check4, IF(_xlpm.dep1 = "Unavailable", IF(_xlpm.val &lt;&gt; "Unavailable", "1:Commercial Warranty Length must be Unavailable when Commercial Warranty is Unavailable", ""), ""), IF(LEN(_xlpm.check4) &gt; 0, _xlpm.check4, IF(AND(_xlpm.dep1 &lt;&gt; "No", _xlpm.dep1 &lt;&gt; "Does Not Apply", _xlpm.dep1 &lt;&gt; "Unavailable", _xlpm.dep1 &lt;&gt; ""), IF(AND(_xlpm.val = "", '3757 - Wall Stickers (S)'!KV$8=""), "3:Commercial Warranty Length is required when Commercial Warranty has an answer", ""), ""))))))))))))</f>
        <v>0</v>
      </c>
      <c r="KX9" s="22" cm="1">
        <f t="array" ref="KX9">_xlfn.MAP('3757 - Wall Stickers (S)'!B9:B508, '3757 - Wall Stickers (S)'!KX9:KX508, '3757 - Wall Stickers (S)'!KW9:KW508, _xlfn.LAMBDA(_xlpm.part, _xlpm.val, _xlpm.dep1, IF(_xlpm.part = "", "", _xlfn.LET(_xlpm.check1, IF(AND(_xlpm.val = "", _xlpm.dep1 = "Yes"), "2:Autofill", ""), IF(LEN(_xlpm.check1) &gt; 0, _xlpm.check1, IF(AND(_xlpm.val = "", '3757 - Wall Stickers (S)'!KX$8=""), "3:Uniform Packaging and Labeling Regulations (UPLR) Compliant is required", ""))))))</f>
        <v>0</v>
      </c>
      <c r="KY9" s="22" cm="1">
        <f t="array" ref="KY9">_xlfn.MAP('3757 - Wall Stickers (S)'!B9:B508, '3757 - Wall Stickers (S)'!KY9:KY508, _xlfn.LAMBDA(_xlpm.part, _xlpm.val, IF(_xlpm.part = "", "", IF(AND(_xlpm.val = "", '3757 - Wall Stickers (S)'!KY$8=""), "3:Canada Product Restriction is required", ""))))</f>
        <v>0</v>
      </c>
    </row>
  </sheetData>
  <sheetProtection password="E2F4" sheet="1" objects="1" scenarios="1" formatColumns="0"/>
  <mergeCells count="10">
    <mergeCell ref="B3:E3"/>
    <mergeCell ref="F3:G3"/>
    <mergeCell ref="H3:O3"/>
    <mergeCell ref="P3:S3"/>
    <mergeCell ref="T3:AB3"/>
    <mergeCell ref="AC3:AN3"/>
    <mergeCell ref="AO3:GR3"/>
    <mergeCell ref="GS3:HD3"/>
    <mergeCell ref="HE3:JX3"/>
    <mergeCell ref="JY3:LA3"/>
  </mergeCells>
  <dataValidations count="212">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allowed9007_fp_S_class_3757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allowed9030_fp_S_class_3757</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allowed9031_fp_S_class_3757</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allowed9032_fp_S_class_3757</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allowed9033_fp_S_class_3757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allowed9035_fp_S_class_3757</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allowed9036_fp_S_class_3757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allowed647_fp_S_class_3757</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allowed9043_fp_S_class_3757</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allowed6109_fp_S_class_3757</formula1>
    </dataValidation>
    <dataValidation type="list" errorStyle="warning" allowBlank="1" showInputMessage="1" showErrorMessage="1" errorTitle="Invalid Surface Type" error="The value provided is not a valid Surface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KA8">
      <formula1>allowed1217_fp_S_class_3757</formula1>
    </dataValidation>
    <dataValidation type="list" allowBlank="1" showInputMessage="1" showErrorMessage="1" errorTitle="Invalid Personalization or Monog" error="The value provided is not a valid Personalization or Monogramming." promptTitle="" prompt="If all products in this class consistently have the same answer, you can set a default value to apply automatically. For any exceptions, you can modify the answer for specific products without changing the default." sqref="KD8">
      <formula1>allowed2389_fp_S_class_3757</formula1>
    </dataValidation>
    <dataValidation type="list" allowBlank="1" showInputMessage="1" showErrorMessage="1" errorTitle="Invalid Holiday / Occasion" error="The value provided is not a valid Holiday / Occasion." promptTitle="" prompt="If all products in this class consistently have the same answer, you can set a default value to apply automatically. For any exceptions, you can modify the answer for specific products without changing the default." sqref="KF8">
      <formula1>allowed137_fp_S_class_3757</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H8">
      <formula1>allowed807_fp_S_class_3757</formula1>
    </dataValidation>
    <dataValidation type="list" errorStyle="warning" allowBlank="1" showInputMessage="1" showErrorMessage="1" errorTitle="Invalid Licensed Product Categor" error="The value provided is not a valid Licensed Product Category. Would you like to provide a custom answer?" promptTitle="" prompt="If all products in this class consistently have the same answer, you can set a default value to apply automatically. For any exceptions, you can modify the answer for specific products without changing the default." sqref="KI8">
      <formula1>allowed1379_fp_S_class_3757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U8">
      <formula1>allowed28_fp_S_class_3757</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V8">
      <formula1>allowed135_fp_S_class_3757</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W8">
      <formula1>allowed256_fp_S_class_3757</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KX8">
      <formula1>allowed31_fp_S_class_3757</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KY8">
      <formula1>allowed117_fp_S_class_3757</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KZ8">
      <formula1>allowed8205_fp_S_class_3757</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A8">
      <formula1>allowed8462_fp_S_class_3757</formula1>
    </dataValidation>
  </dataValidations>
  <hyperlinks>
    <hyperlink ref="F7" location="#vvh_9007_fp_S_class_3757" display="Select"/>
    <hyperlink ref="H7" location="#vvh_9009_fp_S_class_3757" display="Select"/>
    <hyperlink ref="J7" location="#vvh_9011_fp_S_class_3757" display="Select"/>
    <hyperlink ref="L7" location="#vvh_9011_fp_S_class_3757" display="Select"/>
    <hyperlink ref="N7" location="#vvh_9011_fp_S_class_3757" display="Select"/>
    <hyperlink ref="AH7" location="#vvh_9030_fp_S_class_3757" display="Select"/>
    <hyperlink ref="AI7" location="#vvh_9031_fp_S_class_3757" display="Select"/>
    <hyperlink ref="AJ7" location="#vvh_9032_fp_S_class_3757" display="Select"/>
    <hyperlink ref="AK7" location="#vvh_9033_fp_S_class_3757" display="Select"/>
    <hyperlink ref="GS7" location="#vvh_647_fp_S_class_3757" display="Select"/>
    <hyperlink ref="GU7" location="#vvh_9042_fp_S_class_3757" display="Select"/>
    <hyperlink ref="GV7" location="#vvh_9043_fp_S_class_3757" display="Select"/>
    <hyperlink ref="GW7" location="#vvh_9042_fp_S_class_3757" display="Select"/>
    <hyperlink ref="GX7" location="#vvh_9043_fp_S_class_3757" display="Select"/>
    <hyperlink ref="GY7" location="#vvh_9042_fp_S_class_3757" display="Select"/>
    <hyperlink ref="GZ7" location="#vvh_9043_fp_S_class_3757" display="Select"/>
    <hyperlink ref="HA7" location="#vvh_9042_fp_S_class_3757" display="Select"/>
    <hyperlink ref="HB7" location="#vvh_9043_fp_S_class_3757" display="Select"/>
    <hyperlink ref="HC7" location="#vvh_9042_fp_S_class_3757" display="Select"/>
    <hyperlink ref="HD7" location="#vvh_9043_fp_S_class_3757" display="Select"/>
    <hyperlink ref="IL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M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N7" location="#vvh_9066_fp_S_class_3757" display="Select"/>
    <hyperlink ref="IP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Q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R7" location="#vvh_9066_fp_S_class_3757" display="Select"/>
    <hyperlink ref="IT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U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V7" location="#vvh_9066_fp_S_class_3757" display="Select"/>
    <hyperlink ref="IX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Y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Z7" location="#vvh_9066_fp_S_class_3757" display="Select"/>
    <hyperlink ref="JB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C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D7" location="#vvh_9066_fp_S_class_3757" display="Select"/>
    <hyperlink ref="JF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G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H7" location="#vvh_9066_fp_S_class_3757" display="Select"/>
    <hyperlink ref="JJ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K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L7" location="#vvh_9066_fp_S_class_3757" display="Select"/>
    <hyperlink ref="JN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O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P7" location="#vvh_9066_fp_S_class_3757" display="Select"/>
    <hyperlink ref="JR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S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T7" location="#vvh_9066_fp_S_class_3757" display="Select"/>
    <hyperlink ref="JV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W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X7" location="#vvh_9066_fp_S_class_3757" display="Select"/>
    <hyperlink ref="JY7" location="#vvh_6109_fp_S_class_3757" display="Select"/>
    <hyperlink ref="JZ7" location="#vvh_1966_fp_S_class_3757" display="Please choose one or more from the following, using a semicolon (;) to separate each value: Animals; Astrology &amp; Stars; Scenic &amp; Cityscapes; Food &amp; Beverage; Insects; Patriotic; Entertainment; Plants &amp; Flowers; Religious &amp; Spiritual; Nautical &amp; Beach; Abstract; Sports; People; Geography; Fantasy &amp; Sci-Fi; Landscape &amp; Nature; Text &amp; Numbers; Furniture; Novelty &amp; Humor; STEM; Fashion; Buildings &amp; Architecture; Transportation; Bath &amp; Laundry; History &amp; Language; Cities &amp; Countries; Disney/Pixar; No Subject; Education; Birds; U.S. States &amp; Territories; Unavailable"/>
    <hyperlink ref="KA7" location="#vvh_1217_fp_S_class_3757" display="Select"/>
    <hyperlink ref="KB7" location="#vvh_2385_fp_S_class_3757" display="Please choose one or more from the following, using a semicolon (;) to separate each value: Fabric; Vinyl; Canvas; Paper; Plastic; PVC; Polycarbonate (PC); Polyethylene Plastic; Glass; Stainless Steel; Polypropylene; Aluminum; Acrylic; Foam; Cardboard / Paper; Gel; Cardboard; Leather; Ceramic; Copper; Faux Leather; Iron; Leather / Faux Leather; Medium Density Fiberboard (MDF); Nylon; Plastic / Acrylic; Polyester; Polymer; Polyvinyl Chloride (PVC); Polyurethane; Porcelain; Polyurethane (PU); Rubber; Recycled P.E.T; Sponge; Synthetic; Steel; Solid Wood; MDF; Particle Board / Chipboard; Plywood / Laminate Board; Paper / Printed Veneer; Real Wood Veneer"/>
    <hyperlink ref="KC7" location="#vvh_3538_fp_S_class_3757" display="Please choose one or more from the following, using a semicolon (;) to separate each value: Multi-Surface; Flat Surface; Textured Wall; Brick Wall; Cement Wall; Solid Wood; Glass Wall; Stainless Steel; Existing Tile; Chalkboard; Appliance; Mirror; Wallpaper; Painted Gypsum; Acrylic Panel; Orange Peel Wall; Gypsum Wall; Laminate; Plywood Wall; Drywall; Stucco Wall; Ceramic Tile Wall; Concrete; Stone Wall; Medium Density Fiberboard; Unavailable"/>
    <hyperlink ref="KE7" location="#vvh_1560_fp_S_class_3757" display="Please choose one or more from the following, using a semicolon (;) to separate each value: Bathroom; Kitchen; Bedroom; Living Room; Laundry Room; Nursery; Dining Room; Pantry; Home Office; Game Room; Foyer; Playroom; Patio; Closet; Restaurant Dining Room; Basement; Garage/Shop; Commercial Office; Backyard; Mudroom/Deck; School Classroom; Hotel Room; Lobby/Reception; Hallway; Studio; Art School; Commercial Kitchen; Does Not Apply; Unavailable"/>
    <hyperlink ref="KF7" location="#vvh_137_fp_S_class_3757" display="Select"/>
    <hyperlink ref="KG7" location="#vvh_95_fp_S_class_3757" display="Please choose one or more from the following, using a semicolon (;) to separate each value: Made in USA; Made in USA of Imported Materials; Product of Canada; Made In Canada; Does Not Apply"/>
    <hyperlink ref="KI7" location="#vvh_1379_fp_S_class_3757" display="Select"/>
    <hyperlink ref="KJ7" location="#vvh_1437_fp_S_class_3757" display="Please choose one or more from the following, using a semicolon (;) to separate each value: Mold / Mildew Resistant; Water Resistant; No Durability Features; Fade Resistant; Heat Resistant; Stain Resistant; Tip Resistant; Waterproof; Shatter Resistant; Weather Resistant; Rust Resistant; Anodic Protection; Predator Resistant; Drill Resistant; Condensation Free; Antimicrobial; Pry Resistant; Fray Resistant; Non-Staining"/>
    <hyperlink ref="KK7" location="#vvh_1567_fp_S_class_3757" display="Please choose one or more from the following, using a semicolon (;) to separate each value: Removable; Retractable; Reversible; Configurable / Modular; Trimmable; Rotating; Lift Assist; Double Sided; Glider; Adjustable; Stackable; No Adjustability Features; Does Not Apply; Unavailable"/>
    <hyperlink ref="KL7" location="#vvh_1316_fp_S_class_3757" display="Please choose one or more from the following, using a semicolon (;) to separate each value: Blue; Black; Brown; White; Green; Gray; Red; Beige; Yellow; Pink; Orange; Purple; Silver; Gold; Clear; Cream; Ivory; Tan; Teal; Navy"/>
    <hyperlink ref="KN7" location="#vvh_6253_fp_S_class_3757" display="Please choose one or more from the following, using a semicolon (;) to separate each value: Handle(s); Paste; Does Not Apply; Unavailable"/>
    <hyperlink ref="KO7" location="#vvh_1388_fp_S_class_3757" display="Please choose one or more from the following, using a semicolon (;) to separate each value: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hyperlink ref="KP7" location="#vvh_8653_fp_S_class_3757" display="Please choose one or more from the following, using a semicolon (;) to separate each value: Breathable; Dual Sided; Animated; Double Sided; Non-Wall Damaging; Reusable; Vintage; Window Clinging; No General Features"/>
    <hyperlink ref="KQ7" location="#vvh_1557_fp_S_class_3757" display="Please choose one or more from the following, using a semicolon (;) to separate each value: Newborn (Birth - 6 months old); Infant (6 - 12 Months); Toddler (1 - 3 Years); Pre-school (3 - 5 Years); Youth (5 - 8 Years); Pre-teen (9 - 12 Years); Teen (13+); Adult (18+); All Ages; Adult; Baby; Kid; Teen; Toddler"/>
    <hyperlink ref="KV7" location="#vvh_135_fp_S_class_3757" display="Select"/>
    <hyperlink ref="KW7" location="#vvh_256_fp_S_class_3757" display="Select"/>
    <hyperlink ref="KX7" location="#vvh_31_fp_S_class_3757" display="Select"/>
    <hyperlink ref="KZ7" location="#vvh_8205_fp_S_class_3757" display="Select"/>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sheetPr>
    <outlinePr summaryRight="0"/>
  </sheetPr>
  <dimension ref="A1:LA9"/>
  <sheetViews>
    <sheetView workbookViewId="0">
      <pane xSplit="2" topLeftCell="C1" activePane="topRight" state="frozen"/>
      <selection pane="topRight"/>
    </sheetView>
  </sheetViews>
  <sheetFormatPr defaultRowHeight="15" outlineLevelCol="7"/>
  <cols>
    <col min="1" max="1" width="35.7109375" customWidth="1"/>
    <col min="2" max="2" width="25.7109375" style="22" customWidth="1"/>
    <col min="3" max="3" width="29.7109375" style="22" customWidth="1"/>
    <col min="4" max="4" width="27.7109375" style="22" customWidth="1"/>
    <col min="5" max="5" width="17.7109375" style="22" customWidth="1"/>
    <col min="6" max="6" width="10.7109375" style="22" customWidth="1"/>
    <col min="7" max="7" width="20.7109375" style="22" customWidth="1"/>
    <col min="8" max="8" width="17.7109375" style="22" customWidth="1"/>
    <col min="9" max="10" width="23.7109375" style="22" customWidth="1"/>
    <col min="11" max="11" width="37.7109375" style="22" customWidth="1" collapsed="1"/>
    <col min="12" max="12" width="23.7109375" style="22" hidden="1" customWidth="1" outlineLevel="1"/>
    <col min="13" max="13" width="37.7109375" style="22" hidden="1" customWidth="1" outlineLevel="1"/>
    <col min="14" max="14" width="23.7109375" style="22" hidden="1" customWidth="1" outlineLevel="1"/>
    <col min="15" max="15" width="37.7109375" style="22" hidden="1" customWidth="1" outlineLevel="1"/>
    <col min="16" max="16" width="14.7109375" style="22" customWidth="1"/>
    <col min="17" max="17" width="31.7109375" style="22" customWidth="1"/>
    <col min="18" max="18" width="29.7109375" style="22" customWidth="1"/>
    <col min="19" max="19" width="40.7109375" style="22" customWidth="1"/>
    <col min="20" max="20" width="19.7109375" style="22" customWidth="1"/>
    <col min="21" max="22" width="21.7109375" style="22" customWidth="1"/>
    <col min="23" max="23" width="21.7109375" style="22" customWidth="1" collapsed="1"/>
    <col min="24" max="27" width="21.7109375" style="22" hidden="1" customWidth="1" outlineLevel="1"/>
    <col min="28" max="28" width="21.7109375" style="22" hidden="1" customWidth="1" outlineLevel="1" collapsed="1"/>
    <col min="29" max="29" width="22.7109375" style="22" customWidth="1"/>
    <col min="30" max="30" width="27.7109375" style="22" customWidth="1"/>
    <col min="31" max="31" width="30.7109375" style="22" customWidth="1"/>
    <col min="32" max="32" width="25.7109375" style="22" customWidth="1"/>
    <col min="33" max="33" width="19.7109375" style="22" customWidth="1"/>
    <col min="34" max="34" width="14.7109375" style="22" customWidth="1"/>
    <col min="35" max="35" width="18.7109375" style="22" customWidth="1"/>
    <col min="36" max="36" width="14.7109375" style="22" customWidth="1"/>
    <col min="37" max="37" width="26.7109375" style="22" customWidth="1"/>
    <col min="38" max="38" width="33.7109375" style="22" customWidth="1"/>
    <col min="39" max="39" width="14.7109375" style="22" customWidth="1"/>
    <col min="40" max="42" width="20.7109375" style="22" customWidth="1"/>
    <col min="43" max="44" width="19.7109375" style="22" customWidth="1"/>
    <col min="45" max="46" width="20.7109375" style="22" customWidth="1"/>
    <col min="47" max="48" width="19.7109375" style="22" customWidth="1"/>
    <col min="49" max="50" width="20.7109375" style="22" customWidth="1"/>
    <col min="51" max="51" width="19.7109375" style="22" customWidth="1"/>
    <col min="52" max="52" width="19.7109375" style="22" customWidth="1" collapsed="1"/>
    <col min="53" max="54" width="20.7109375" style="22" hidden="1" customWidth="1" outlineLevel="1"/>
    <col min="55" max="56" width="19.7109375" style="22" hidden="1" customWidth="1" outlineLevel="1"/>
    <col min="57" max="58" width="20.7109375" style="22" hidden="1" customWidth="1" outlineLevel="1"/>
    <col min="59" max="60" width="19.7109375" style="22" hidden="1" customWidth="1" outlineLevel="1"/>
    <col min="61" max="62" width="20.7109375" style="22" hidden="1" customWidth="1" outlineLevel="1"/>
    <col min="63" max="64" width="19.7109375" style="22" hidden="1" customWidth="1" outlineLevel="1"/>
    <col min="65" max="66" width="20.7109375" style="22" hidden="1" customWidth="1" outlineLevel="1"/>
    <col min="67" max="68" width="19.7109375" style="22" hidden="1" customWidth="1" outlineLevel="1"/>
    <col min="69" max="70" width="20.7109375" style="22" hidden="1" customWidth="1" outlineLevel="1"/>
    <col min="71" max="71" width="19.7109375" style="22" hidden="1" customWidth="1" outlineLevel="1"/>
    <col min="72" max="72" width="19.7109375" style="22" hidden="1" customWidth="1" outlineLevel="1" collapsed="1"/>
    <col min="73" max="74" width="20.7109375" style="22" hidden="1" customWidth="1" outlineLevel="2"/>
    <col min="75" max="76" width="19.7109375" style="22" hidden="1" customWidth="1" outlineLevel="2"/>
    <col min="77" max="78" width="21.7109375" style="22" hidden="1" customWidth="1" outlineLevel="2"/>
    <col min="79" max="80" width="20.7109375" style="22" hidden="1" customWidth="1" outlineLevel="2"/>
    <col min="81" max="82" width="21.7109375" style="22" hidden="1" customWidth="1" outlineLevel="2"/>
    <col min="83" max="84" width="20.7109375" style="22" hidden="1" customWidth="1" outlineLevel="2"/>
    <col min="85" max="86" width="21.7109375" style="22" hidden="1" customWidth="1" outlineLevel="2"/>
    <col min="87" max="88" width="20.7109375" style="22" hidden="1" customWidth="1" outlineLevel="2"/>
    <col min="89" max="90" width="21.7109375" style="22" hidden="1" customWidth="1" outlineLevel="2"/>
    <col min="91" max="91" width="20.7109375" style="22" hidden="1" customWidth="1" outlineLevel="2"/>
    <col min="92" max="92" width="20.7109375" style="22" hidden="1" customWidth="1" outlineLevel="2" collapsed="1"/>
    <col min="93" max="94" width="21.7109375" style="22" hidden="1" customWidth="1" outlineLevel="3"/>
    <col min="95" max="96" width="20.7109375" style="22" hidden="1" customWidth="1" outlineLevel="3"/>
    <col min="97" max="98" width="21.7109375" style="22" hidden="1" customWidth="1" outlineLevel="3"/>
    <col min="99" max="100" width="20.7109375" style="22" hidden="1" customWidth="1" outlineLevel="3"/>
    <col min="101" max="102" width="21.7109375" style="22" hidden="1" customWidth="1" outlineLevel="3"/>
    <col min="103" max="104" width="20.7109375" style="22" hidden="1" customWidth="1" outlineLevel="3"/>
    <col min="105" max="106" width="21.7109375" style="22" hidden="1" customWidth="1" outlineLevel="3"/>
    <col min="107" max="108" width="20.7109375" style="22" hidden="1" customWidth="1" outlineLevel="3"/>
    <col min="109" max="110" width="21.7109375" style="22" hidden="1" customWidth="1" outlineLevel="3"/>
    <col min="111" max="111" width="20.7109375" style="22" hidden="1" customWidth="1" outlineLevel="3"/>
    <col min="112" max="112" width="20.7109375" style="22" hidden="1" customWidth="1" outlineLevel="3" collapsed="1"/>
    <col min="113" max="114" width="21.7109375" style="22" hidden="1" customWidth="1" outlineLevel="4"/>
    <col min="115" max="116" width="20.7109375" style="22" hidden="1" customWidth="1" outlineLevel="4"/>
    <col min="117" max="118" width="21.7109375" style="22" hidden="1" customWidth="1" outlineLevel="4"/>
    <col min="119" max="120" width="20.7109375" style="22" hidden="1" customWidth="1" outlineLevel="4"/>
    <col min="121" max="122" width="21.7109375" style="22" hidden="1" customWidth="1" outlineLevel="4"/>
    <col min="123" max="124" width="20.7109375" style="22" hidden="1" customWidth="1" outlineLevel="4"/>
    <col min="125" max="126" width="21.7109375" style="22" hidden="1" customWidth="1" outlineLevel="4"/>
    <col min="127" max="128" width="20.7109375" style="22" hidden="1" customWidth="1" outlineLevel="4"/>
    <col min="129" max="130" width="21.7109375" style="22" hidden="1" customWidth="1" outlineLevel="4"/>
    <col min="131" max="131" width="20.7109375" style="22" hidden="1" customWidth="1" outlineLevel="4"/>
    <col min="132" max="132" width="20.7109375" style="22" hidden="1" customWidth="1" outlineLevel="4" collapsed="1"/>
    <col min="133" max="134" width="21.7109375" style="22" hidden="1" customWidth="1" outlineLevel="5"/>
    <col min="135" max="136" width="20.7109375" style="22" hidden="1" customWidth="1" outlineLevel="5"/>
    <col min="137" max="138" width="21.7109375" style="22" hidden="1" customWidth="1" outlineLevel="5"/>
    <col min="139" max="140" width="20.7109375" style="22" hidden="1" customWidth="1" outlineLevel="5"/>
    <col min="141" max="142" width="21.7109375" style="22" hidden="1" customWidth="1" outlineLevel="5"/>
    <col min="143" max="144" width="20.7109375" style="22" hidden="1" customWidth="1" outlineLevel="5"/>
    <col min="145" max="146" width="21.7109375" style="22" hidden="1" customWidth="1" outlineLevel="5"/>
    <col min="147" max="148" width="20.7109375" style="22" hidden="1" customWidth="1" outlineLevel="5"/>
    <col min="149" max="150" width="21.7109375" style="22" hidden="1" customWidth="1" outlineLevel="5"/>
    <col min="151" max="151" width="20.7109375" style="22" hidden="1" customWidth="1" outlineLevel="5"/>
    <col min="152" max="152" width="20.7109375" style="22" hidden="1" customWidth="1" outlineLevel="5" collapsed="1"/>
    <col min="153" max="154" width="21.7109375" style="22" hidden="1" customWidth="1" outlineLevel="6"/>
    <col min="155" max="156" width="20.7109375" style="22" hidden="1" customWidth="1" outlineLevel="6"/>
    <col min="157" max="158" width="21.7109375" style="22" hidden="1" customWidth="1" outlineLevel="6"/>
    <col min="159" max="160" width="20.7109375" style="22" hidden="1" customWidth="1" outlineLevel="6"/>
    <col min="161" max="162" width="21.7109375" style="22" hidden="1" customWidth="1" outlineLevel="6"/>
    <col min="163" max="164" width="20.7109375" style="22" hidden="1" customWidth="1" outlineLevel="6"/>
    <col min="165" max="166" width="21.7109375" style="22" hidden="1" customWidth="1" outlineLevel="6"/>
    <col min="167" max="168" width="20.7109375" style="22" hidden="1" customWidth="1" outlineLevel="6"/>
    <col min="169" max="170" width="21.7109375" style="22" hidden="1" customWidth="1" outlineLevel="6"/>
    <col min="171" max="171" width="20.7109375" style="22" hidden="1" customWidth="1" outlineLevel="6"/>
    <col min="172" max="172" width="20.7109375" style="22" hidden="1" customWidth="1" outlineLevel="6" collapsed="1"/>
    <col min="173" max="174" width="21.7109375" style="22" hidden="1" customWidth="1" outlineLevel="7"/>
    <col min="175" max="176" width="20.7109375" style="22" hidden="1" customWidth="1" outlineLevel="7"/>
    <col min="177" max="178" width="21.7109375" style="22" hidden="1" customWidth="1" outlineLevel="7"/>
    <col min="179" max="180" width="20.7109375" style="22" hidden="1" customWidth="1" outlineLevel="7"/>
    <col min="181" max="182" width="21.7109375" style="22" hidden="1" customWidth="1" outlineLevel="7"/>
    <col min="183" max="184" width="20.7109375" style="22" hidden="1" customWidth="1" outlineLevel="7"/>
    <col min="185" max="186" width="21.7109375" style="22" hidden="1" customWidth="1" outlineLevel="7"/>
    <col min="187" max="188" width="20.7109375" style="22" hidden="1" customWidth="1" outlineLevel="7"/>
    <col min="189" max="190" width="21.7109375" style="22" hidden="1" customWidth="1" outlineLevel="7"/>
    <col min="191" max="191" width="20.7109375" style="22" hidden="1" customWidth="1" outlineLevel="7"/>
    <col min="192" max="192" width="20.7109375" style="22" hidden="1" customWidth="1" outlineLevel="7" collapsed="1"/>
    <col min="193" max="194" width="21.7109375" style="22" hidden="1" customWidth="1" outlineLevel="7"/>
    <col min="195" max="196" width="20.7109375" style="22" hidden="1" customWidth="1" outlineLevel="7"/>
    <col min="197" max="198" width="21.7109375" style="22" hidden="1" customWidth="1" outlineLevel="7"/>
    <col min="199" max="200" width="20.7109375" style="22" hidden="1" customWidth="1" outlineLevel="7"/>
    <col min="201" max="201" width="22.7109375" style="22" customWidth="1"/>
    <col min="202" max="202" width="21.7109375" style="22" customWidth="1"/>
    <col min="203" max="203" width="15.7109375" style="22" customWidth="1"/>
    <col min="204" max="204" width="15.7109375" style="22" customWidth="1" collapsed="1"/>
    <col min="205" max="212" width="15.7109375" style="22" hidden="1" customWidth="1" outlineLevel="1"/>
    <col min="213" max="217" width="29.7109375" style="22" customWidth="1"/>
    <col min="218" max="218" width="29.7109375" style="22" customWidth="1" collapsed="1"/>
    <col min="219" max="221" width="29.7109375" style="22" hidden="1" customWidth="1" outlineLevel="1"/>
    <col min="222" max="222" width="30.7109375" style="22" hidden="1" customWidth="1" outlineLevel="1"/>
    <col min="223" max="223" width="30.7109375" style="22" hidden="1" customWidth="1" outlineLevel="1" collapsed="1"/>
    <col min="224" max="227" width="30.7109375" style="22" hidden="1" customWidth="1" outlineLevel="2"/>
    <col min="228" max="228" width="30.7109375" style="22" hidden="1" customWidth="1" outlineLevel="2" collapsed="1"/>
    <col min="229" max="232" width="30.7109375" style="22" hidden="1" customWidth="1" outlineLevel="3"/>
    <col min="233" max="233" width="30.7109375" style="22" hidden="1" customWidth="1" outlineLevel="3" collapsed="1"/>
    <col min="234" max="237" width="30.7109375" style="22" hidden="1" customWidth="1" outlineLevel="4"/>
    <col min="238" max="238" width="30.7109375" style="22" hidden="1" customWidth="1" outlineLevel="4" collapsed="1"/>
    <col min="239" max="242" width="30.7109375" style="22" hidden="1" customWidth="1" outlineLevel="5"/>
    <col min="243" max="243" width="29.7109375" style="22" customWidth="1" collapsed="1"/>
    <col min="244" max="244" width="29.7109375" style="22" hidden="1" customWidth="1" outlineLevel="1"/>
    <col min="245" max="245" width="32.7109375" style="22" customWidth="1"/>
    <col min="246" max="246" width="20.7109375" style="22" customWidth="1"/>
    <col min="247" max="247" width="26.7109375" style="22" customWidth="1"/>
    <col min="248" max="248" width="22.7109375" style="22" customWidth="1" collapsed="1"/>
    <col min="249" max="249" width="32.7109375" style="22" hidden="1" customWidth="1" outlineLevel="1"/>
    <col min="250" max="250" width="20.7109375" style="22" hidden="1" customWidth="1" outlineLevel="1"/>
    <col min="251" max="251" width="26.7109375" style="22" hidden="1" customWidth="1" outlineLevel="1"/>
    <col min="252" max="252" width="22.7109375" style="22" hidden="1" customWidth="1" outlineLevel="1"/>
    <col min="253" max="253" width="32.7109375" style="22" hidden="1" customWidth="1" outlineLevel="1"/>
    <col min="254" max="254" width="20.7109375" style="22" hidden="1" customWidth="1" outlineLevel="1"/>
    <col min="255" max="255" width="26.7109375" style="22" hidden="1" customWidth="1" outlineLevel="1"/>
    <col min="256" max="256" width="22.7109375" style="22" hidden="1" customWidth="1" outlineLevel="1"/>
    <col min="257" max="257" width="32.7109375" style="22" hidden="1" customWidth="1" outlineLevel="1"/>
    <col min="258" max="258" width="20.7109375" style="22" hidden="1" customWidth="1" outlineLevel="1"/>
    <col min="259" max="259" width="26.7109375" style="22" hidden="1" customWidth="1" outlineLevel="1"/>
    <col min="260" max="260" width="22.7109375" style="22" hidden="1" customWidth="1" outlineLevel="1"/>
    <col min="261" max="261" width="32.7109375" style="22" hidden="1" customWidth="1" outlineLevel="1"/>
    <col min="262" max="262" width="20.7109375" style="22" hidden="1" customWidth="1" outlineLevel="1"/>
    <col min="263" max="263" width="26.7109375" style="22" hidden="1" customWidth="1" outlineLevel="1"/>
    <col min="264" max="264" width="22.7109375" style="22" hidden="1" customWidth="1" outlineLevel="1"/>
    <col min="265" max="265" width="32.7109375" style="22" hidden="1" customWidth="1" outlineLevel="1"/>
    <col min="266" max="266" width="20.7109375" style="22" hidden="1" customWidth="1" outlineLevel="1"/>
    <col min="267" max="267" width="26.7109375" style="22" hidden="1" customWidth="1" outlineLevel="1"/>
    <col min="268" max="268" width="22.7109375" style="22" hidden="1" customWidth="1" outlineLevel="1" collapsed="1"/>
    <col min="269" max="269" width="32.7109375" style="22" hidden="1" customWidth="1" outlineLevel="2"/>
    <col min="270" max="270" width="20.7109375" style="22" hidden="1" customWidth="1" outlineLevel="2"/>
    <col min="271" max="271" width="26.7109375" style="22" hidden="1" customWidth="1" outlineLevel="2"/>
    <col min="272" max="272" width="22.7109375" style="22" hidden="1" customWidth="1" outlineLevel="2"/>
    <col min="273" max="273" width="32.7109375" style="22" hidden="1" customWidth="1" outlineLevel="2"/>
    <col min="274" max="274" width="20.7109375" style="22" hidden="1" customWidth="1" outlineLevel="2"/>
    <col min="275" max="275" width="26.7109375" style="22" hidden="1" customWidth="1" outlineLevel="2"/>
    <col min="276" max="276" width="22.7109375" style="22" hidden="1" customWidth="1" outlineLevel="2"/>
    <col min="277" max="277" width="32.7109375" style="22" hidden="1" customWidth="1" outlineLevel="2"/>
    <col min="278" max="278" width="20.7109375" style="22" hidden="1" customWidth="1" outlineLevel="2"/>
    <col min="279" max="279" width="26.7109375" style="22" hidden="1" customWidth="1" outlineLevel="2"/>
    <col min="280" max="280" width="22.7109375" style="22" hidden="1" customWidth="1" outlineLevel="2"/>
    <col min="281" max="281" width="33.7109375" style="22" hidden="1" customWidth="1" outlineLevel="2"/>
    <col min="282" max="282" width="21.7109375" style="22" hidden="1" customWidth="1" outlineLevel="2"/>
    <col min="283" max="283" width="27.7109375" style="22" hidden="1" customWidth="1" outlineLevel="2"/>
    <col min="284" max="284" width="23.7109375" style="22" hidden="1" customWidth="1" outlineLevel="2"/>
    <col min="285" max="285" width="17.7109375" style="22" customWidth="1"/>
    <col min="286" max="286" width="12.7109375" style="22" customWidth="1"/>
    <col min="287" max="287" width="17.7109375" style="22" customWidth="1"/>
    <col min="288" max="288" width="13.7109375" style="22" customWidth="1"/>
    <col min="289" max="289" width="24.7109375" style="22" customWidth="1"/>
    <col min="290" max="290" width="36.7109375" style="22" customWidth="1"/>
    <col min="291" max="291" width="13.7109375" style="22" customWidth="1"/>
    <col min="292" max="292" width="23.7109375" style="22" customWidth="1"/>
    <col min="293" max="293" width="43.7109375" style="22" customWidth="1"/>
    <col min="294" max="294" width="13.7109375" style="22" customWidth="1"/>
    <col min="295" max="295" width="30.7109375" style="22" customWidth="1"/>
    <col min="296" max="296" width="15.7109375" style="22" customWidth="1"/>
    <col min="297" max="297" width="27.7109375" style="22" customWidth="1"/>
    <col min="298" max="298" width="10.7109375" style="22" customWidth="1"/>
    <col min="299" max="299" width="36.7109375" style="22" customWidth="1"/>
    <col min="300" max="300" width="20.7109375" style="22" customWidth="1"/>
    <col min="301" max="301" width="29.7109375" style="22" customWidth="1"/>
    <col min="302" max="302" width="21.7109375" style="22" customWidth="1"/>
    <col min="303" max="303" width="14.7109375" style="22" customWidth="1"/>
    <col min="304" max="304" width="35.7109375" style="22" customWidth="1"/>
    <col min="305" max="305" width="33.7109375" style="22" customWidth="1"/>
    <col min="306" max="306" width="27.7109375" style="22" customWidth="1"/>
    <col min="307" max="307" width="24.7109375" style="22" customWidth="1"/>
    <col min="308" max="308" width="31.7109375" style="22" customWidth="1"/>
    <col min="309" max="309" width="107.7109375" style="22" customWidth="1"/>
    <col min="310" max="310" width="64.7109375" style="22" customWidth="1"/>
    <col min="311" max="311" width="31.7109375" style="22" customWidth="1"/>
    <col min="312" max="312" width="19.7109375" style="22" customWidth="1"/>
    <col min="313" max="313" width="79.7109375" style="22" customWidth="1"/>
  </cols>
  <sheetData>
    <row r="1" spans="1:313" hidden="1">
      <c r="B1" s="22" t="s">
        <v>100</v>
      </c>
      <c r="C1" s="22" t="s">
        <v>101</v>
      </c>
      <c r="D1" s="22" t="s">
        <v>102</v>
      </c>
      <c r="E1" s="22" t="s">
        <v>103</v>
      </c>
      <c r="F1" s="22" t="s">
        <v>104</v>
      </c>
      <c r="G1" s="22" t="s">
        <v>105</v>
      </c>
      <c r="H1" s="22" t="s">
        <v>106</v>
      </c>
      <c r="I1" s="22" t="s">
        <v>107</v>
      </c>
      <c r="J1" s="22" t="s">
        <v>108</v>
      </c>
      <c r="K1" s="22" t="s">
        <v>109</v>
      </c>
      <c r="L1" s="22" t="s">
        <v>108</v>
      </c>
      <c r="M1" s="22" t="s">
        <v>109</v>
      </c>
      <c r="N1" s="22" t="s">
        <v>108</v>
      </c>
      <c r="O1" s="22" t="s">
        <v>109</v>
      </c>
      <c r="P1" s="22" t="s">
        <v>110</v>
      </c>
      <c r="Q1" s="22" t="s">
        <v>111</v>
      </c>
      <c r="R1" s="22" t="s">
        <v>112</v>
      </c>
      <c r="S1" s="22" t="s">
        <v>113</v>
      </c>
      <c r="T1" s="22" t="s">
        <v>114</v>
      </c>
      <c r="U1" s="22" t="s">
        <v>115</v>
      </c>
      <c r="V1" s="22" t="s">
        <v>115</v>
      </c>
      <c r="W1" s="22" t="s">
        <v>115</v>
      </c>
      <c r="X1" s="22" t="s">
        <v>115</v>
      </c>
      <c r="Y1" s="22" t="s">
        <v>115</v>
      </c>
      <c r="Z1" s="22" t="s">
        <v>115</v>
      </c>
      <c r="AA1" s="22" t="s">
        <v>115</v>
      </c>
      <c r="AB1" s="22" t="s">
        <v>115</v>
      </c>
      <c r="AC1" s="22" t="s">
        <v>116</v>
      </c>
      <c r="AD1" s="22" t="s">
        <v>117</v>
      </c>
      <c r="AE1" s="22" t="s">
        <v>118</v>
      </c>
      <c r="AF1" s="22" t="s">
        <v>119</v>
      </c>
      <c r="AG1" s="22" t="s">
        <v>120</v>
      </c>
      <c r="AH1" s="22" t="s">
        <v>121</v>
      </c>
      <c r="AI1" s="22" t="s">
        <v>122</v>
      </c>
      <c r="AJ1" s="22" t="s">
        <v>123</v>
      </c>
      <c r="AK1" s="22" t="s">
        <v>124</v>
      </c>
      <c r="AL1" s="22" t="s">
        <v>125</v>
      </c>
      <c r="AM1" s="22" t="s">
        <v>126</v>
      </c>
      <c r="AN1" s="22" t="s">
        <v>127</v>
      </c>
      <c r="AO1" s="22" t="s">
        <v>128</v>
      </c>
      <c r="AP1" s="22" t="s">
        <v>129</v>
      </c>
      <c r="AQ1" s="22" t="s">
        <v>130</v>
      </c>
      <c r="AR1" s="22" t="s">
        <v>131</v>
      </c>
      <c r="AS1" s="22" t="s">
        <v>128</v>
      </c>
      <c r="AT1" s="22" t="s">
        <v>129</v>
      </c>
      <c r="AU1" s="22" t="s">
        <v>130</v>
      </c>
      <c r="AV1" s="22" t="s">
        <v>131</v>
      </c>
      <c r="AW1" s="22" t="s">
        <v>128</v>
      </c>
      <c r="AX1" s="22" t="s">
        <v>129</v>
      </c>
      <c r="AY1" s="22" t="s">
        <v>130</v>
      </c>
      <c r="AZ1" s="22" t="s">
        <v>131</v>
      </c>
      <c r="BA1" s="22" t="s">
        <v>128</v>
      </c>
      <c r="BB1" s="22" t="s">
        <v>129</v>
      </c>
      <c r="BC1" s="22" t="s">
        <v>130</v>
      </c>
      <c r="BD1" s="22" t="s">
        <v>131</v>
      </c>
      <c r="BE1" s="22" t="s">
        <v>128</v>
      </c>
      <c r="BF1" s="22" t="s">
        <v>129</v>
      </c>
      <c r="BG1" s="22" t="s">
        <v>130</v>
      </c>
      <c r="BH1" s="22" t="s">
        <v>131</v>
      </c>
      <c r="BI1" s="22" t="s">
        <v>128</v>
      </c>
      <c r="BJ1" s="22" t="s">
        <v>129</v>
      </c>
      <c r="BK1" s="22" t="s">
        <v>130</v>
      </c>
      <c r="BL1" s="22" t="s">
        <v>131</v>
      </c>
      <c r="BM1" s="22" t="s">
        <v>128</v>
      </c>
      <c r="BN1" s="22" t="s">
        <v>129</v>
      </c>
      <c r="BO1" s="22" t="s">
        <v>130</v>
      </c>
      <c r="BP1" s="22" t="s">
        <v>131</v>
      </c>
      <c r="BQ1" s="22" t="s">
        <v>128</v>
      </c>
      <c r="BR1" s="22" t="s">
        <v>129</v>
      </c>
      <c r="BS1" s="22" t="s">
        <v>130</v>
      </c>
      <c r="BT1" s="22" t="s">
        <v>131</v>
      </c>
      <c r="BU1" s="22" t="s">
        <v>128</v>
      </c>
      <c r="BV1" s="22" t="s">
        <v>129</v>
      </c>
      <c r="BW1" s="22" t="s">
        <v>130</v>
      </c>
      <c r="BX1" s="22" t="s">
        <v>131</v>
      </c>
      <c r="BY1" s="22" t="s">
        <v>128</v>
      </c>
      <c r="BZ1" s="22" t="s">
        <v>129</v>
      </c>
      <c r="CA1" s="22" t="s">
        <v>130</v>
      </c>
      <c r="CB1" s="22" t="s">
        <v>131</v>
      </c>
      <c r="CC1" s="22" t="s">
        <v>128</v>
      </c>
      <c r="CD1" s="22" t="s">
        <v>129</v>
      </c>
      <c r="CE1" s="22" t="s">
        <v>130</v>
      </c>
      <c r="CF1" s="22" t="s">
        <v>131</v>
      </c>
      <c r="CG1" s="22" t="s">
        <v>128</v>
      </c>
      <c r="CH1" s="22" t="s">
        <v>129</v>
      </c>
      <c r="CI1" s="22" t="s">
        <v>130</v>
      </c>
      <c r="CJ1" s="22" t="s">
        <v>131</v>
      </c>
      <c r="CK1" s="22" t="s">
        <v>128</v>
      </c>
      <c r="CL1" s="22" t="s">
        <v>129</v>
      </c>
      <c r="CM1" s="22" t="s">
        <v>130</v>
      </c>
      <c r="CN1" s="22" t="s">
        <v>131</v>
      </c>
      <c r="CO1" s="22" t="s">
        <v>128</v>
      </c>
      <c r="CP1" s="22" t="s">
        <v>129</v>
      </c>
      <c r="CQ1" s="22" t="s">
        <v>130</v>
      </c>
      <c r="CR1" s="22" t="s">
        <v>131</v>
      </c>
      <c r="CS1" s="22" t="s">
        <v>128</v>
      </c>
      <c r="CT1" s="22" t="s">
        <v>129</v>
      </c>
      <c r="CU1" s="22" t="s">
        <v>130</v>
      </c>
      <c r="CV1" s="22" t="s">
        <v>131</v>
      </c>
      <c r="CW1" s="22" t="s">
        <v>128</v>
      </c>
      <c r="CX1" s="22" t="s">
        <v>129</v>
      </c>
      <c r="CY1" s="22" t="s">
        <v>130</v>
      </c>
      <c r="CZ1" s="22" t="s">
        <v>131</v>
      </c>
      <c r="DA1" s="22" t="s">
        <v>128</v>
      </c>
      <c r="DB1" s="22" t="s">
        <v>129</v>
      </c>
      <c r="DC1" s="22" t="s">
        <v>130</v>
      </c>
      <c r="DD1" s="22" t="s">
        <v>131</v>
      </c>
      <c r="DE1" s="22" t="s">
        <v>128</v>
      </c>
      <c r="DF1" s="22" t="s">
        <v>129</v>
      </c>
      <c r="DG1" s="22" t="s">
        <v>130</v>
      </c>
      <c r="DH1" s="22" t="s">
        <v>131</v>
      </c>
      <c r="DI1" s="22" t="s">
        <v>128</v>
      </c>
      <c r="DJ1" s="22" t="s">
        <v>129</v>
      </c>
      <c r="DK1" s="22" t="s">
        <v>130</v>
      </c>
      <c r="DL1" s="22" t="s">
        <v>131</v>
      </c>
      <c r="DM1" s="22" t="s">
        <v>128</v>
      </c>
      <c r="DN1" s="22" t="s">
        <v>129</v>
      </c>
      <c r="DO1" s="22" t="s">
        <v>130</v>
      </c>
      <c r="DP1" s="22" t="s">
        <v>131</v>
      </c>
      <c r="DQ1" s="22" t="s">
        <v>128</v>
      </c>
      <c r="DR1" s="22" t="s">
        <v>129</v>
      </c>
      <c r="DS1" s="22" t="s">
        <v>130</v>
      </c>
      <c r="DT1" s="22" t="s">
        <v>131</v>
      </c>
      <c r="DU1" s="22" t="s">
        <v>128</v>
      </c>
      <c r="DV1" s="22" t="s">
        <v>129</v>
      </c>
      <c r="DW1" s="22" t="s">
        <v>130</v>
      </c>
      <c r="DX1" s="22" t="s">
        <v>131</v>
      </c>
      <c r="DY1" s="22" t="s">
        <v>128</v>
      </c>
      <c r="DZ1" s="22" t="s">
        <v>129</v>
      </c>
      <c r="EA1" s="22" t="s">
        <v>130</v>
      </c>
      <c r="EB1" s="22" t="s">
        <v>131</v>
      </c>
      <c r="EC1" s="22" t="s">
        <v>128</v>
      </c>
      <c r="ED1" s="22" t="s">
        <v>129</v>
      </c>
      <c r="EE1" s="22" t="s">
        <v>130</v>
      </c>
      <c r="EF1" s="22" t="s">
        <v>131</v>
      </c>
      <c r="EG1" s="22" t="s">
        <v>128</v>
      </c>
      <c r="EH1" s="22" t="s">
        <v>129</v>
      </c>
      <c r="EI1" s="22" t="s">
        <v>130</v>
      </c>
      <c r="EJ1" s="22" t="s">
        <v>131</v>
      </c>
      <c r="EK1" s="22" t="s">
        <v>128</v>
      </c>
      <c r="EL1" s="22" t="s">
        <v>129</v>
      </c>
      <c r="EM1" s="22" t="s">
        <v>130</v>
      </c>
      <c r="EN1" s="22" t="s">
        <v>131</v>
      </c>
      <c r="EO1" s="22" t="s">
        <v>128</v>
      </c>
      <c r="EP1" s="22" t="s">
        <v>129</v>
      </c>
      <c r="EQ1" s="22" t="s">
        <v>130</v>
      </c>
      <c r="ER1" s="22" t="s">
        <v>131</v>
      </c>
      <c r="ES1" s="22" t="s">
        <v>128</v>
      </c>
      <c r="ET1" s="22" t="s">
        <v>129</v>
      </c>
      <c r="EU1" s="22" t="s">
        <v>130</v>
      </c>
      <c r="EV1" s="22" t="s">
        <v>131</v>
      </c>
      <c r="EW1" s="22" t="s">
        <v>128</v>
      </c>
      <c r="EX1" s="22" t="s">
        <v>129</v>
      </c>
      <c r="EY1" s="22" t="s">
        <v>130</v>
      </c>
      <c r="EZ1" s="22" t="s">
        <v>131</v>
      </c>
      <c r="FA1" s="22" t="s">
        <v>128</v>
      </c>
      <c r="FB1" s="22" t="s">
        <v>129</v>
      </c>
      <c r="FC1" s="22" t="s">
        <v>130</v>
      </c>
      <c r="FD1" s="22" t="s">
        <v>131</v>
      </c>
      <c r="FE1" s="22" t="s">
        <v>128</v>
      </c>
      <c r="FF1" s="22" t="s">
        <v>129</v>
      </c>
      <c r="FG1" s="22" t="s">
        <v>130</v>
      </c>
      <c r="FH1" s="22" t="s">
        <v>131</v>
      </c>
      <c r="FI1" s="22" t="s">
        <v>128</v>
      </c>
      <c r="FJ1" s="22" t="s">
        <v>129</v>
      </c>
      <c r="FK1" s="22" t="s">
        <v>130</v>
      </c>
      <c r="FL1" s="22" t="s">
        <v>131</v>
      </c>
      <c r="FM1" s="22" t="s">
        <v>128</v>
      </c>
      <c r="FN1" s="22" t="s">
        <v>129</v>
      </c>
      <c r="FO1" s="22" t="s">
        <v>130</v>
      </c>
      <c r="FP1" s="22" t="s">
        <v>131</v>
      </c>
      <c r="FQ1" s="22" t="s">
        <v>128</v>
      </c>
      <c r="FR1" s="22" t="s">
        <v>129</v>
      </c>
      <c r="FS1" s="22" t="s">
        <v>130</v>
      </c>
      <c r="FT1" s="22" t="s">
        <v>131</v>
      </c>
      <c r="FU1" s="22" t="s">
        <v>128</v>
      </c>
      <c r="FV1" s="22" t="s">
        <v>129</v>
      </c>
      <c r="FW1" s="22" t="s">
        <v>130</v>
      </c>
      <c r="FX1" s="22" t="s">
        <v>131</v>
      </c>
      <c r="FY1" s="22" t="s">
        <v>128</v>
      </c>
      <c r="FZ1" s="22" t="s">
        <v>129</v>
      </c>
      <c r="GA1" s="22" t="s">
        <v>130</v>
      </c>
      <c r="GB1" s="22" t="s">
        <v>131</v>
      </c>
      <c r="GC1" s="22" t="s">
        <v>128</v>
      </c>
      <c r="GD1" s="22" t="s">
        <v>129</v>
      </c>
      <c r="GE1" s="22" t="s">
        <v>130</v>
      </c>
      <c r="GF1" s="22" t="s">
        <v>131</v>
      </c>
      <c r="GG1" s="22" t="s">
        <v>128</v>
      </c>
      <c r="GH1" s="22" t="s">
        <v>129</v>
      </c>
      <c r="GI1" s="22" t="s">
        <v>130</v>
      </c>
      <c r="GJ1" s="22" t="s">
        <v>131</v>
      </c>
      <c r="GK1" s="22" t="s">
        <v>128</v>
      </c>
      <c r="GL1" s="22" t="s">
        <v>129</v>
      </c>
      <c r="GM1" s="22" t="s">
        <v>130</v>
      </c>
      <c r="GN1" s="22" t="s">
        <v>131</v>
      </c>
      <c r="GO1" s="22" t="s">
        <v>128</v>
      </c>
      <c r="GP1" s="22" t="s">
        <v>129</v>
      </c>
      <c r="GQ1" s="22" t="s">
        <v>130</v>
      </c>
      <c r="GR1" s="22" t="s">
        <v>131</v>
      </c>
      <c r="GS1" s="22" t="s">
        <v>132</v>
      </c>
      <c r="GT1" s="22" t="s">
        <v>133</v>
      </c>
      <c r="GU1" s="22" t="s">
        <v>134</v>
      </c>
      <c r="GV1" s="22" t="s">
        <v>135</v>
      </c>
      <c r="GW1" s="22" t="s">
        <v>134</v>
      </c>
      <c r="GX1" s="22" t="s">
        <v>135</v>
      </c>
      <c r="GY1" s="22" t="s">
        <v>134</v>
      </c>
      <c r="GZ1" s="22" t="s">
        <v>135</v>
      </c>
      <c r="HA1" s="22" t="s">
        <v>134</v>
      </c>
      <c r="HB1" s="22" t="s">
        <v>135</v>
      </c>
      <c r="HC1" s="22" t="s">
        <v>134</v>
      </c>
      <c r="HD1" s="22" t="s">
        <v>135</v>
      </c>
      <c r="HE1" s="22" t="s">
        <v>136</v>
      </c>
      <c r="HF1" s="22" t="s">
        <v>136</v>
      </c>
      <c r="HG1" s="22" t="s">
        <v>136</v>
      </c>
      <c r="HH1" s="22" t="s">
        <v>136</v>
      </c>
      <c r="HI1" s="22" t="s">
        <v>136</v>
      </c>
      <c r="HJ1" s="22" t="s">
        <v>136</v>
      </c>
      <c r="HK1" s="22" t="s">
        <v>136</v>
      </c>
      <c r="HL1" s="22" t="s">
        <v>136</v>
      </c>
      <c r="HM1" s="22" t="s">
        <v>136</v>
      </c>
      <c r="HN1" s="22" t="s">
        <v>136</v>
      </c>
      <c r="HO1" s="22" t="s">
        <v>136</v>
      </c>
      <c r="HP1" s="22" t="s">
        <v>136</v>
      </c>
      <c r="HQ1" s="22" t="s">
        <v>136</v>
      </c>
      <c r="HR1" s="22" t="s">
        <v>136</v>
      </c>
      <c r="HS1" s="22" t="s">
        <v>136</v>
      </c>
      <c r="HT1" s="22" t="s">
        <v>136</v>
      </c>
      <c r="HU1" s="22" t="s">
        <v>136</v>
      </c>
      <c r="HV1" s="22" t="s">
        <v>136</v>
      </c>
      <c r="HW1" s="22" t="s">
        <v>136</v>
      </c>
      <c r="HX1" s="22" t="s">
        <v>136</v>
      </c>
      <c r="HY1" s="22" t="s">
        <v>136</v>
      </c>
      <c r="HZ1" s="22" t="s">
        <v>136</v>
      </c>
      <c r="IA1" s="22" t="s">
        <v>136</v>
      </c>
      <c r="IB1" s="22" t="s">
        <v>136</v>
      </c>
      <c r="IC1" s="22" t="s">
        <v>136</v>
      </c>
      <c r="ID1" s="22" t="s">
        <v>136</v>
      </c>
      <c r="IE1" s="22" t="s">
        <v>136</v>
      </c>
      <c r="IF1" s="22" t="s">
        <v>136</v>
      </c>
      <c r="IG1" s="22" t="s">
        <v>136</v>
      </c>
      <c r="IH1" s="22" t="s">
        <v>136</v>
      </c>
      <c r="II1" s="22" t="s">
        <v>137</v>
      </c>
      <c r="IJ1" s="22" t="s">
        <v>137</v>
      </c>
      <c r="IK1" s="22" t="s">
        <v>138</v>
      </c>
      <c r="IL1" s="22" t="s">
        <v>139</v>
      </c>
      <c r="IM1" s="22" t="s">
        <v>140</v>
      </c>
      <c r="IN1" s="22" t="s">
        <v>141</v>
      </c>
      <c r="IO1" s="22" t="s">
        <v>138</v>
      </c>
      <c r="IP1" s="22" t="s">
        <v>139</v>
      </c>
      <c r="IQ1" s="22" t="s">
        <v>140</v>
      </c>
      <c r="IR1" s="22" t="s">
        <v>141</v>
      </c>
      <c r="IS1" s="22" t="s">
        <v>138</v>
      </c>
      <c r="IT1" s="22" t="s">
        <v>139</v>
      </c>
      <c r="IU1" s="22" t="s">
        <v>140</v>
      </c>
      <c r="IV1" s="22" t="s">
        <v>141</v>
      </c>
      <c r="IW1" s="22" t="s">
        <v>138</v>
      </c>
      <c r="IX1" s="22" t="s">
        <v>139</v>
      </c>
      <c r="IY1" s="22" t="s">
        <v>140</v>
      </c>
      <c r="IZ1" s="22" t="s">
        <v>141</v>
      </c>
      <c r="JA1" s="22" t="s">
        <v>138</v>
      </c>
      <c r="JB1" s="22" t="s">
        <v>139</v>
      </c>
      <c r="JC1" s="22" t="s">
        <v>140</v>
      </c>
      <c r="JD1" s="22" t="s">
        <v>141</v>
      </c>
      <c r="JE1" s="22" t="s">
        <v>138</v>
      </c>
      <c r="JF1" s="22" t="s">
        <v>139</v>
      </c>
      <c r="JG1" s="22" t="s">
        <v>140</v>
      </c>
      <c r="JH1" s="22" t="s">
        <v>141</v>
      </c>
      <c r="JI1" s="22" t="s">
        <v>138</v>
      </c>
      <c r="JJ1" s="22" t="s">
        <v>139</v>
      </c>
      <c r="JK1" s="22" t="s">
        <v>140</v>
      </c>
      <c r="JL1" s="22" t="s">
        <v>141</v>
      </c>
      <c r="JM1" s="22" t="s">
        <v>138</v>
      </c>
      <c r="JN1" s="22" t="s">
        <v>139</v>
      </c>
      <c r="JO1" s="22" t="s">
        <v>140</v>
      </c>
      <c r="JP1" s="22" t="s">
        <v>141</v>
      </c>
      <c r="JQ1" s="22" t="s">
        <v>138</v>
      </c>
      <c r="JR1" s="22" t="s">
        <v>139</v>
      </c>
      <c r="JS1" s="22" t="s">
        <v>140</v>
      </c>
      <c r="JT1" s="22" t="s">
        <v>141</v>
      </c>
      <c r="JU1" s="22" t="s">
        <v>138</v>
      </c>
      <c r="JV1" s="22" t="s">
        <v>139</v>
      </c>
      <c r="JW1" s="22" t="s">
        <v>140</v>
      </c>
      <c r="JX1" s="22" t="s">
        <v>141</v>
      </c>
      <c r="JY1" s="22" t="s">
        <v>142</v>
      </c>
      <c r="JZ1" s="22" t="s">
        <v>143</v>
      </c>
      <c r="KA1" s="22" t="s">
        <v>144</v>
      </c>
      <c r="KB1" s="22" t="s">
        <v>145</v>
      </c>
      <c r="KC1" s="22" t="s">
        <v>146</v>
      </c>
      <c r="KD1" s="22" t="s">
        <v>147</v>
      </c>
      <c r="KE1" s="22" t="s">
        <v>148</v>
      </c>
      <c r="KF1" s="22" t="s">
        <v>149</v>
      </c>
      <c r="KG1" s="22" t="s">
        <v>150</v>
      </c>
      <c r="KH1" s="22" t="s">
        <v>151</v>
      </c>
      <c r="KI1" s="22" t="s">
        <v>152</v>
      </c>
      <c r="KJ1" s="22" t="s">
        <v>153</v>
      </c>
      <c r="KK1" s="22" t="s">
        <v>154</v>
      </c>
      <c r="KL1" s="22" t="s">
        <v>155</v>
      </c>
      <c r="KM1" s="22" t="s">
        <v>156</v>
      </c>
      <c r="KN1" s="22" t="s">
        <v>157</v>
      </c>
      <c r="KO1" s="22" t="s">
        <v>158</v>
      </c>
      <c r="KP1" s="22" t="s">
        <v>159</v>
      </c>
      <c r="KQ1" s="22" t="s">
        <v>160</v>
      </c>
      <c r="KR1" s="22" t="s">
        <v>161</v>
      </c>
      <c r="KS1" s="22" t="s">
        <v>162</v>
      </c>
      <c r="KT1" s="22" t="s">
        <v>163</v>
      </c>
      <c r="KU1" s="22" t="s">
        <v>164</v>
      </c>
      <c r="KV1" s="22" t="s">
        <v>165</v>
      </c>
      <c r="KW1" s="22" t="s">
        <v>166</v>
      </c>
      <c r="KX1" s="22" t="s">
        <v>167</v>
      </c>
      <c r="KY1" s="22" t="s">
        <v>168</v>
      </c>
      <c r="KZ1" s="22" t="s">
        <v>169</v>
      </c>
      <c r="LA1" s="22" t="s">
        <v>170</v>
      </c>
    </row>
    <row r="2" spans="1:313" hidden="1">
      <c r="J2" s="22" t="s">
        <v>171</v>
      </c>
      <c r="K2" s="22" t="s">
        <v>171</v>
      </c>
      <c r="L2" s="22" t="s">
        <v>172</v>
      </c>
      <c r="M2" s="22" t="s">
        <v>172</v>
      </c>
      <c r="N2" s="22" t="s">
        <v>173</v>
      </c>
      <c r="O2" s="22" t="s">
        <v>173</v>
      </c>
      <c r="U2" s="22" t="s">
        <v>171</v>
      </c>
      <c r="V2" s="22" t="s">
        <v>172</v>
      </c>
      <c r="W2" s="22" t="s">
        <v>173</v>
      </c>
      <c r="X2" s="22" t="s">
        <v>174</v>
      </c>
      <c r="Y2" s="22" t="s">
        <v>175</v>
      </c>
      <c r="Z2" s="22" t="s">
        <v>176</v>
      </c>
      <c r="AA2" s="22" t="s">
        <v>177</v>
      </c>
      <c r="AB2" s="22" t="s">
        <v>178</v>
      </c>
      <c r="AO2" s="22" t="s">
        <v>171</v>
      </c>
      <c r="AP2" s="22" t="s">
        <v>171</v>
      </c>
      <c r="AQ2" s="22" t="s">
        <v>171</v>
      </c>
      <c r="AR2" s="22" t="s">
        <v>171</v>
      </c>
      <c r="AS2" s="22" t="s">
        <v>172</v>
      </c>
      <c r="AT2" s="22" t="s">
        <v>172</v>
      </c>
      <c r="AU2" s="22" t="s">
        <v>172</v>
      </c>
      <c r="AV2" s="22" t="s">
        <v>172</v>
      </c>
      <c r="AW2" s="22" t="s">
        <v>173</v>
      </c>
      <c r="AX2" s="22" t="s">
        <v>173</v>
      </c>
      <c r="AY2" s="22" t="s">
        <v>173</v>
      </c>
      <c r="AZ2" s="22" t="s">
        <v>173</v>
      </c>
      <c r="BA2" s="22" t="s">
        <v>174</v>
      </c>
      <c r="BB2" s="22" t="s">
        <v>174</v>
      </c>
      <c r="BC2" s="22" t="s">
        <v>174</v>
      </c>
      <c r="BD2" s="22" t="s">
        <v>174</v>
      </c>
      <c r="BE2" s="22" t="s">
        <v>175</v>
      </c>
      <c r="BF2" s="22" t="s">
        <v>175</v>
      </c>
      <c r="BG2" s="22" t="s">
        <v>175</v>
      </c>
      <c r="BH2" s="22" t="s">
        <v>175</v>
      </c>
      <c r="BI2" s="22" t="s">
        <v>176</v>
      </c>
      <c r="BJ2" s="22" t="s">
        <v>176</v>
      </c>
      <c r="BK2" s="22" t="s">
        <v>176</v>
      </c>
      <c r="BL2" s="22" t="s">
        <v>176</v>
      </c>
      <c r="BM2" s="22" t="s">
        <v>177</v>
      </c>
      <c r="BN2" s="22" t="s">
        <v>177</v>
      </c>
      <c r="BO2" s="22" t="s">
        <v>177</v>
      </c>
      <c r="BP2" s="22" t="s">
        <v>177</v>
      </c>
      <c r="BQ2" s="22" t="s">
        <v>178</v>
      </c>
      <c r="BR2" s="22" t="s">
        <v>178</v>
      </c>
      <c r="BS2" s="22" t="s">
        <v>178</v>
      </c>
      <c r="BT2" s="22" t="s">
        <v>178</v>
      </c>
      <c r="BU2" s="22" t="s">
        <v>179</v>
      </c>
      <c r="BV2" s="22" t="s">
        <v>179</v>
      </c>
      <c r="BW2" s="22" t="s">
        <v>179</v>
      </c>
      <c r="BX2" s="22" t="s">
        <v>179</v>
      </c>
      <c r="BY2" s="22" t="s">
        <v>180</v>
      </c>
      <c r="BZ2" s="22" t="s">
        <v>180</v>
      </c>
      <c r="CA2" s="22" t="s">
        <v>180</v>
      </c>
      <c r="CB2" s="22" t="s">
        <v>180</v>
      </c>
      <c r="CC2" s="22" t="s">
        <v>181</v>
      </c>
      <c r="CD2" s="22" t="s">
        <v>181</v>
      </c>
      <c r="CE2" s="22" t="s">
        <v>181</v>
      </c>
      <c r="CF2" s="22" t="s">
        <v>181</v>
      </c>
      <c r="CG2" s="22" t="s">
        <v>182</v>
      </c>
      <c r="CH2" s="22" t="s">
        <v>182</v>
      </c>
      <c r="CI2" s="22" t="s">
        <v>182</v>
      </c>
      <c r="CJ2" s="22" t="s">
        <v>182</v>
      </c>
      <c r="CK2" s="22" t="s">
        <v>183</v>
      </c>
      <c r="CL2" s="22" t="s">
        <v>183</v>
      </c>
      <c r="CM2" s="22" t="s">
        <v>183</v>
      </c>
      <c r="CN2" s="22" t="s">
        <v>183</v>
      </c>
      <c r="CO2" s="22" t="s">
        <v>184</v>
      </c>
      <c r="CP2" s="22" t="s">
        <v>184</v>
      </c>
      <c r="CQ2" s="22" t="s">
        <v>184</v>
      </c>
      <c r="CR2" s="22" t="s">
        <v>184</v>
      </c>
      <c r="CS2" s="22" t="s">
        <v>185</v>
      </c>
      <c r="CT2" s="22" t="s">
        <v>185</v>
      </c>
      <c r="CU2" s="22" t="s">
        <v>185</v>
      </c>
      <c r="CV2" s="22" t="s">
        <v>185</v>
      </c>
      <c r="CW2" s="22" t="s">
        <v>186</v>
      </c>
      <c r="CX2" s="22" t="s">
        <v>186</v>
      </c>
      <c r="CY2" s="22" t="s">
        <v>186</v>
      </c>
      <c r="CZ2" s="22" t="s">
        <v>186</v>
      </c>
      <c r="DA2" s="22" t="s">
        <v>187</v>
      </c>
      <c r="DB2" s="22" t="s">
        <v>187</v>
      </c>
      <c r="DC2" s="22" t="s">
        <v>187</v>
      </c>
      <c r="DD2" s="22" t="s">
        <v>187</v>
      </c>
      <c r="DE2" s="22" t="s">
        <v>188</v>
      </c>
      <c r="DF2" s="22" t="s">
        <v>188</v>
      </c>
      <c r="DG2" s="22" t="s">
        <v>188</v>
      </c>
      <c r="DH2" s="22" t="s">
        <v>188</v>
      </c>
      <c r="DI2" s="22" t="s">
        <v>189</v>
      </c>
      <c r="DJ2" s="22" t="s">
        <v>189</v>
      </c>
      <c r="DK2" s="22" t="s">
        <v>189</v>
      </c>
      <c r="DL2" s="22" t="s">
        <v>189</v>
      </c>
      <c r="DM2" s="22" t="s">
        <v>190</v>
      </c>
      <c r="DN2" s="22" t="s">
        <v>190</v>
      </c>
      <c r="DO2" s="22" t="s">
        <v>190</v>
      </c>
      <c r="DP2" s="22" t="s">
        <v>190</v>
      </c>
      <c r="DQ2" s="22" t="s">
        <v>191</v>
      </c>
      <c r="DR2" s="22" t="s">
        <v>191</v>
      </c>
      <c r="DS2" s="22" t="s">
        <v>191</v>
      </c>
      <c r="DT2" s="22" t="s">
        <v>191</v>
      </c>
      <c r="DU2" s="22" t="s">
        <v>192</v>
      </c>
      <c r="DV2" s="22" t="s">
        <v>192</v>
      </c>
      <c r="DW2" s="22" t="s">
        <v>192</v>
      </c>
      <c r="DX2" s="22" t="s">
        <v>192</v>
      </c>
      <c r="DY2" s="22" t="s">
        <v>193</v>
      </c>
      <c r="DZ2" s="22" t="s">
        <v>193</v>
      </c>
      <c r="EA2" s="22" t="s">
        <v>193</v>
      </c>
      <c r="EB2" s="22" t="s">
        <v>193</v>
      </c>
      <c r="EC2" s="22" t="s">
        <v>194</v>
      </c>
      <c r="ED2" s="22" t="s">
        <v>194</v>
      </c>
      <c r="EE2" s="22" t="s">
        <v>194</v>
      </c>
      <c r="EF2" s="22" t="s">
        <v>194</v>
      </c>
      <c r="EG2" s="22" t="s">
        <v>195</v>
      </c>
      <c r="EH2" s="22" t="s">
        <v>195</v>
      </c>
      <c r="EI2" s="22" t="s">
        <v>195</v>
      </c>
      <c r="EJ2" s="22" t="s">
        <v>195</v>
      </c>
      <c r="EK2" s="22" t="s">
        <v>196</v>
      </c>
      <c r="EL2" s="22" t="s">
        <v>196</v>
      </c>
      <c r="EM2" s="22" t="s">
        <v>196</v>
      </c>
      <c r="EN2" s="22" t="s">
        <v>196</v>
      </c>
      <c r="EO2" s="22" t="s">
        <v>197</v>
      </c>
      <c r="EP2" s="22" t="s">
        <v>197</v>
      </c>
      <c r="EQ2" s="22" t="s">
        <v>197</v>
      </c>
      <c r="ER2" s="22" t="s">
        <v>197</v>
      </c>
      <c r="ES2" s="22" t="s">
        <v>164</v>
      </c>
      <c r="ET2" s="22" t="s">
        <v>164</v>
      </c>
      <c r="EU2" s="22" t="s">
        <v>164</v>
      </c>
      <c r="EV2" s="22" t="s">
        <v>164</v>
      </c>
      <c r="EW2" s="22" t="s">
        <v>198</v>
      </c>
      <c r="EX2" s="22" t="s">
        <v>198</v>
      </c>
      <c r="EY2" s="22" t="s">
        <v>198</v>
      </c>
      <c r="EZ2" s="22" t="s">
        <v>198</v>
      </c>
      <c r="FA2" s="22" t="s">
        <v>199</v>
      </c>
      <c r="FB2" s="22" t="s">
        <v>199</v>
      </c>
      <c r="FC2" s="22" t="s">
        <v>199</v>
      </c>
      <c r="FD2" s="22" t="s">
        <v>199</v>
      </c>
      <c r="FE2" s="22" t="s">
        <v>167</v>
      </c>
      <c r="FF2" s="22" t="s">
        <v>167</v>
      </c>
      <c r="FG2" s="22" t="s">
        <v>167</v>
      </c>
      <c r="FH2" s="22" t="s">
        <v>167</v>
      </c>
      <c r="FI2" s="22" t="s">
        <v>200</v>
      </c>
      <c r="FJ2" s="22" t="s">
        <v>200</v>
      </c>
      <c r="FK2" s="22" t="s">
        <v>200</v>
      </c>
      <c r="FL2" s="22" t="s">
        <v>200</v>
      </c>
      <c r="FM2" s="22" t="s">
        <v>201</v>
      </c>
      <c r="FN2" s="22" t="s">
        <v>201</v>
      </c>
      <c r="FO2" s="22" t="s">
        <v>201</v>
      </c>
      <c r="FP2" s="22" t="s">
        <v>201</v>
      </c>
      <c r="FQ2" s="22" t="s">
        <v>202</v>
      </c>
      <c r="FR2" s="22" t="s">
        <v>202</v>
      </c>
      <c r="FS2" s="22" t="s">
        <v>202</v>
      </c>
      <c r="FT2" s="22" t="s">
        <v>202</v>
      </c>
      <c r="FU2" s="22" t="s">
        <v>203</v>
      </c>
      <c r="FV2" s="22" t="s">
        <v>203</v>
      </c>
      <c r="FW2" s="22" t="s">
        <v>203</v>
      </c>
      <c r="FX2" s="22" t="s">
        <v>203</v>
      </c>
      <c r="FY2" s="22" t="s">
        <v>204</v>
      </c>
      <c r="FZ2" s="22" t="s">
        <v>204</v>
      </c>
      <c r="GA2" s="22" t="s">
        <v>204</v>
      </c>
      <c r="GB2" s="22" t="s">
        <v>204</v>
      </c>
      <c r="GC2" s="22" t="s">
        <v>205</v>
      </c>
      <c r="GD2" s="22" t="s">
        <v>205</v>
      </c>
      <c r="GE2" s="22" t="s">
        <v>205</v>
      </c>
      <c r="GF2" s="22" t="s">
        <v>205</v>
      </c>
      <c r="GG2" s="22" t="s">
        <v>206</v>
      </c>
      <c r="GH2" s="22" t="s">
        <v>206</v>
      </c>
      <c r="GI2" s="22" t="s">
        <v>206</v>
      </c>
      <c r="GJ2" s="22" t="s">
        <v>206</v>
      </c>
      <c r="GK2" s="22" t="s">
        <v>207</v>
      </c>
      <c r="GL2" s="22" t="s">
        <v>207</v>
      </c>
      <c r="GM2" s="22" t="s">
        <v>207</v>
      </c>
      <c r="GN2" s="22" t="s">
        <v>207</v>
      </c>
      <c r="GO2" s="22" t="s">
        <v>208</v>
      </c>
      <c r="GP2" s="22" t="s">
        <v>208</v>
      </c>
      <c r="GQ2" s="22" t="s">
        <v>208</v>
      </c>
      <c r="GR2" s="22" t="s">
        <v>208</v>
      </c>
      <c r="GU2" s="22" t="s">
        <v>171</v>
      </c>
      <c r="GV2" s="22" t="s">
        <v>171</v>
      </c>
      <c r="GW2" s="22" t="s">
        <v>172</v>
      </c>
      <c r="GX2" s="22" t="s">
        <v>172</v>
      </c>
      <c r="GY2" s="22" t="s">
        <v>173</v>
      </c>
      <c r="GZ2" s="22" t="s">
        <v>173</v>
      </c>
      <c r="HA2" s="22" t="s">
        <v>174</v>
      </c>
      <c r="HB2" s="22" t="s">
        <v>174</v>
      </c>
      <c r="HC2" s="22" t="s">
        <v>175</v>
      </c>
      <c r="HD2" s="22" t="s">
        <v>175</v>
      </c>
      <c r="HE2" s="22" t="s">
        <v>171</v>
      </c>
      <c r="HF2" s="22" t="s">
        <v>172</v>
      </c>
      <c r="HG2" s="22" t="s">
        <v>173</v>
      </c>
      <c r="HH2" s="22" t="s">
        <v>174</v>
      </c>
      <c r="HI2" s="22" t="s">
        <v>175</v>
      </c>
      <c r="HJ2" s="22" t="s">
        <v>176</v>
      </c>
      <c r="HK2" s="22" t="s">
        <v>177</v>
      </c>
      <c r="HL2" s="22" t="s">
        <v>178</v>
      </c>
      <c r="HM2" s="22" t="s">
        <v>179</v>
      </c>
      <c r="HN2" s="22" t="s">
        <v>180</v>
      </c>
      <c r="HO2" s="22" t="s">
        <v>181</v>
      </c>
      <c r="HP2" s="22" t="s">
        <v>182</v>
      </c>
      <c r="HQ2" s="22" t="s">
        <v>183</v>
      </c>
      <c r="HR2" s="22" t="s">
        <v>184</v>
      </c>
      <c r="HS2" s="22" t="s">
        <v>185</v>
      </c>
      <c r="HT2" s="22" t="s">
        <v>186</v>
      </c>
      <c r="HU2" s="22" t="s">
        <v>187</v>
      </c>
      <c r="HV2" s="22" t="s">
        <v>188</v>
      </c>
      <c r="HW2" s="22" t="s">
        <v>189</v>
      </c>
      <c r="HX2" s="22" t="s">
        <v>190</v>
      </c>
      <c r="HY2" s="22" t="s">
        <v>191</v>
      </c>
      <c r="HZ2" s="22" t="s">
        <v>192</v>
      </c>
      <c r="IA2" s="22" t="s">
        <v>193</v>
      </c>
      <c r="IB2" s="22" t="s">
        <v>194</v>
      </c>
      <c r="IC2" s="22" t="s">
        <v>195</v>
      </c>
      <c r="ID2" s="22" t="s">
        <v>196</v>
      </c>
      <c r="IE2" s="22" t="s">
        <v>197</v>
      </c>
      <c r="IF2" s="22" t="s">
        <v>164</v>
      </c>
      <c r="IG2" s="22" t="s">
        <v>198</v>
      </c>
      <c r="IH2" s="22" t="s">
        <v>199</v>
      </c>
      <c r="II2" s="22" t="s">
        <v>171</v>
      </c>
      <c r="IJ2" s="22" t="s">
        <v>172</v>
      </c>
      <c r="IK2" s="22" t="s">
        <v>171</v>
      </c>
      <c r="IL2" s="22" t="s">
        <v>171</v>
      </c>
      <c r="IM2" s="22" t="s">
        <v>171</v>
      </c>
      <c r="IN2" s="22" t="s">
        <v>171</v>
      </c>
      <c r="IO2" s="22" t="s">
        <v>172</v>
      </c>
      <c r="IP2" s="22" t="s">
        <v>172</v>
      </c>
      <c r="IQ2" s="22" t="s">
        <v>172</v>
      </c>
      <c r="IR2" s="22" t="s">
        <v>172</v>
      </c>
      <c r="IS2" s="22" t="s">
        <v>173</v>
      </c>
      <c r="IT2" s="22" t="s">
        <v>173</v>
      </c>
      <c r="IU2" s="22" t="s">
        <v>173</v>
      </c>
      <c r="IV2" s="22" t="s">
        <v>173</v>
      </c>
      <c r="IW2" s="22" t="s">
        <v>174</v>
      </c>
      <c r="IX2" s="22" t="s">
        <v>174</v>
      </c>
      <c r="IY2" s="22" t="s">
        <v>174</v>
      </c>
      <c r="IZ2" s="22" t="s">
        <v>174</v>
      </c>
      <c r="JA2" s="22" t="s">
        <v>175</v>
      </c>
      <c r="JB2" s="22" t="s">
        <v>175</v>
      </c>
      <c r="JC2" s="22" t="s">
        <v>175</v>
      </c>
      <c r="JD2" s="22" t="s">
        <v>175</v>
      </c>
      <c r="JE2" s="22" t="s">
        <v>176</v>
      </c>
      <c r="JF2" s="22" t="s">
        <v>176</v>
      </c>
      <c r="JG2" s="22" t="s">
        <v>176</v>
      </c>
      <c r="JH2" s="22" t="s">
        <v>176</v>
      </c>
      <c r="JI2" s="22" t="s">
        <v>177</v>
      </c>
      <c r="JJ2" s="22" t="s">
        <v>177</v>
      </c>
      <c r="JK2" s="22" t="s">
        <v>177</v>
      </c>
      <c r="JL2" s="22" t="s">
        <v>177</v>
      </c>
      <c r="JM2" s="22" t="s">
        <v>178</v>
      </c>
      <c r="JN2" s="22" t="s">
        <v>178</v>
      </c>
      <c r="JO2" s="22" t="s">
        <v>178</v>
      </c>
      <c r="JP2" s="22" t="s">
        <v>178</v>
      </c>
      <c r="JQ2" s="22" t="s">
        <v>179</v>
      </c>
      <c r="JR2" s="22" t="s">
        <v>179</v>
      </c>
      <c r="JS2" s="22" t="s">
        <v>179</v>
      </c>
      <c r="JT2" s="22" t="s">
        <v>179</v>
      </c>
      <c r="JU2" s="22" t="s">
        <v>180</v>
      </c>
      <c r="JV2" s="22" t="s">
        <v>180</v>
      </c>
      <c r="JW2" s="22" t="s">
        <v>180</v>
      </c>
      <c r="JX2" s="22" t="s">
        <v>180</v>
      </c>
    </row>
    <row r="3" spans="1:313">
      <c r="B3" s="23" t="s">
        <v>209</v>
      </c>
      <c r="F3" s="23" t="s">
        <v>210</v>
      </c>
      <c r="H3" s="24" t="s">
        <v>1</v>
      </c>
      <c r="P3" s="25" t="s">
        <v>211</v>
      </c>
      <c r="T3" s="26" t="s">
        <v>212</v>
      </c>
      <c r="AC3" s="27" t="s">
        <v>213</v>
      </c>
      <c r="AO3" s="28" t="s">
        <v>214</v>
      </c>
      <c r="GS3" s="29" t="s">
        <v>215</v>
      </c>
      <c r="HE3" s="30" t="s">
        <v>43</v>
      </c>
      <c r="JY3" s="31" t="s">
        <v>216</v>
      </c>
    </row>
    <row r="4" spans="1:313" ht="32" customHeight="1">
      <c r="B4" s="32" t="s">
        <v>62</v>
      </c>
      <c r="C4" s="32" t="s">
        <v>62</v>
      </c>
      <c r="D4" s="32" t="s">
        <v>63</v>
      </c>
      <c r="E4" s="32" t="s">
        <v>62</v>
      </c>
      <c r="F4" s="32" t="s">
        <v>62</v>
      </c>
      <c r="G4" s="32" t="s">
        <v>65</v>
      </c>
      <c r="H4" s="32" t="s">
        <v>63</v>
      </c>
      <c r="I4" s="32" t="s">
        <v>65</v>
      </c>
      <c r="J4" s="32" t="s">
        <v>65</v>
      </c>
      <c r="K4" s="32" t="s">
        <v>65</v>
      </c>
      <c r="L4" s="32" t="s">
        <v>65</v>
      </c>
      <c r="M4" s="32" t="s">
        <v>65</v>
      </c>
      <c r="N4" s="32" t="s">
        <v>65</v>
      </c>
      <c r="O4" s="32" t="s">
        <v>65</v>
      </c>
      <c r="P4" s="32" t="s">
        <v>62</v>
      </c>
      <c r="Q4" s="32" t="s">
        <v>64</v>
      </c>
      <c r="R4" s="32" t="s">
        <v>64</v>
      </c>
      <c r="S4" s="32" t="s">
        <v>64</v>
      </c>
      <c r="T4" s="32" t="s">
        <v>65</v>
      </c>
      <c r="U4" s="32" t="s">
        <v>65</v>
      </c>
      <c r="V4" s="32" t="s">
        <v>65</v>
      </c>
      <c r="W4" s="32" t="s">
        <v>65</v>
      </c>
      <c r="X4" s="32" t="s">
        <v>65</v>
      </c>
      <c r="Y4" s="32" t="s">
        <v>65</v>
      </c>
      <c r="Z4" s="32" t="s">
        <v>65</v>
      </c>
      <c r="AA4" s="32" t="s">
        <v>65</v>
      </c>
      <c r="AB4" s="32" t="s">
        <v>65</v>
      </c>
      <c r="AC4" s="32" t="s">
        <v>64</v>
      </c>
      <c r="AD4" s="32" t="s">
        <v>62</v>
      </c>
      <c r="AE4" s="32" t="s">
        <v>62</v>
      </c>
      <c r="AF4" s="32" t="s">
        <v>62</v>
      </c>
      <c r="AG4" s="32" t="s">
        <v>62</v>
      </c>
      <c r="AH4" s="32" t="s">
        <v>62</v>
      </c>
      <c r="AI4" s="32" t="s">
        <v>65</v>
      </c>
      <c r="AJ4" s="32" t="s">
        <v>62</v>
      </c>
      <c r="AK4" s="32" t="s">
        <v>62</v>
      </c>
      <c r="AL4" s="32" t="s">
        <v>65</v>
      </c>
      <c r="AM4" s="32" t="s">
        <v>65</v>
      </c>
      <c r="AN4" s="32" t="s">
        <v>65</v>
      </c>
      <c r="AO4" s="32" t="s">
        <v>62</v>
      </c>
      <c r="AP4" s="32" t="s">
        <v>62</v>
      </c>
      <c r="AQ4" s="32" t="s">
        <v>62</v>
      </c>
      <c r="AR4" s="32" t="s">
        <v>62</v>
      </c>
      <c r="AS4" s="32" t="s">
        <v>65</v>
      </c>
      <c r="AT4" s="32" t="s">
        <v>65</v>
      </c>
      <c r="AU4" s="32" t="s">
        <v>65</v>
      </c>
      <c r="AV4" s="32" t="s">
        <v>65</v>
      </c>
      <c r="AW4" s="32" t="s">
        <v>65</v>
      </c>
      <c r="AX4" s="32" t="s">
        <v>65</v>
      </c>
      <c r="AY4" s="32" t="s">
        <v>65</v>
      </c>
      <c r="AZ4" s="32" t="s">
        <v>65</v>
      </c>
      <c r="BA4" s="32" t="s">
        <v>65</v>
      </c>
      <c r="BB4" s="32" t="s">
        <v>65</v>
      </c>
      <c r="BC4" s="32" t="s">
        <v>65</v>
      </c>
      <c r="BD4" s="32" t="s">
        <v>65</v>
      </c>
      <c r="BE4" s="32" t="s">
        <v>65</v>
      </c>
      <c r="BF4" s="32" t="s">
        <v>65</v>
      </c>
      <c r="BG4" s="32" t="s">
        <v>65</v>
      </c>
      <c r="BH4" s="32" t="s">
        <v>65</v>
      </c>
      <c r="BI4" s="32" t="s">
        <v>65</v>
      </c>
      <c r="BJ4" s="32" t="s">
        <v>65</v>
      </c>
      <c r="BK4" s="32" t="s">
        <v>65</v>
      </c>
      <c r="BL4" s="32" t="s">
        <v>65</v>
      </c>
      <c r="BM4" s="32" t="s">
        <v>65</v>
      </c>
      <c r="BN4" s="32" t="s">
        <v>65</v>
      </c>
      <c r="BO4" s="32" t="s">
        <v>65</v>
      </c>
      <c r="BP4" s="32" t="s">
        <v>65</v>
      </c>
      <c r="BQ4" s="32" t="s">
        <v>65</v>
      </c>
      <c r="BR4" s="32" t="s">
        <v>65</v>
      </c>
      <c r="BS4" s="32" t="s">
        <v>65</v>
      </c>
      <c r="BT4" s="32" t="s">
        <v>65</v>
      </c>
      <c r="BU4" s="32" t="s">
        <v>65</v>
      </c>
      <c r="BV4" s="32" t="s">
        <v>65</v>
      </c>
      <c r="BW4" s="32" t="s">
        <v>65</v>
      </c>
      <c r="BX4" s="32" t="s">
        <v>65</v>
      </c>
      <c r="BY4" s="32" t="s">
        <v>65</v>
      </c>
      <c r="BZ4" s="32" t="s">
        <v>65</v>
      </c>
      <c r="CA4" s="32" t="s">
        <v>65</v>
      </c>
      <c r="CB4" s="32" t="s">
        <v>65</v>
      </c>
      <c r="CC4" s="32" t="s">
        <v>65</v>
      </c>
      <c r="CD4" s="32" t="s">
        <v>65</v>
      </c>
      <c r="CE4" s="32" t="s">
        <v>65</v>
      </c>
      <c r="CF4" s="32" t="s">
        <v>65</v>
      </c>
      <c r="CG4" s="32" t="s">
        <v>65</v>
      </c>
      <c r="CH4" s="32" t="s">
        <v>65</v>
      </c>
      <c r="CI4" s="32" t="s">
        <v>65</v>
      </c>
      <c r="CJ4" s="32" t="s">
        <v>65</v>
      </c>
      <c r="CK4" s="32" t="s">
        <v>65</v>
      </c>
      <c r="CL4" s="32" t="s">
        <v>65</v>
      </c>
      <c r="CM4" s="32" t="s">
        <v>65</v>
      </c>
      <c r="CN4" s="32" t="s">
        <v>65</v>
      </c>
      <c r="CO4" s="32" t="s">
        <v>65</v>
      </c>
      <c r="CP4" s="32" t="s">
        <v>65</v>
      </c>
      <c r="CQ4" s="32" t="s">
        <v>65</v>
      </c>
      <c r="CR4" s="32" t="s">
        <v>65</v>
      </c>
      <c r="CS4" s="32" t="s">
        <v>65</v>
      </c>
      <c r="CT4" s="32" t="s">
        <v>65</v>
      </c>
      <c r="CU4" s="32" t="s">
        <v>65</v>
      </c>
      <c r="CV4" s="32" t="s">
        <v>65</v>
      </c>
      <c r="CW4" s="32" t="s">
        <v>65</v>
      </c>
      <c r="CX4" s="32" t="s">
        <v>65</v>
      </c>
      <c r="CY4" s="32" t="s">
        <v>65</v>
      </c>
      <c r="CZ4" s="32" t="s">
        <v>65</v>
      </c>
      <c r="DA4" s="32" t="s">
        <v>65</v>
      </c>
      <c r="DB4" s="32" t="s">
        <v>65</v>
      </c>
      <c r="DC4" s="32" t="s">
        <v>65</v>
      </c>
      <c r="DD4" s="32" t="s">
        <v>65</v>
      </c>
      <c r="DE4" s="32" t="s">
        <v>65</v>
      </c>
      <c r="DF4" s="32" t="s">
        <v>65</v>
      </c>
      <c r="DG4" s="32" t="s">
        <v>65</v>
      </c>
      <c r="DH4" s="32" t="s">
        <v>65</v>
      </c>
      <c r="DI4" s="32" t="s">
        <v>65</v>
      </c>
      <c r="DJ4" s="32" t="s">
        <v>65</v>
      </c>
      <c r="DK4" s="32" t="s">
        <v>65</v>
      </c>
      <c r="DL4" s="32" t="s">
        <v>65</v>
      </c>
      <c r="DM4" s="32" t="s">
        <v>65</v>
      </c>
      <c r="DN4" s="32" t="s">
        <v>65</v>
      </c>
      <c r="DO4" s="32" t="s">
        <v>65</v>
      </c>
      <c r="DP4" s="32" t="s">
        <v>65</v>
      </c>
      <c r="DQ4" s="32" t="s">
        <v>65</v>
      </c>
      <c r="DR4" s="32" t="s">
        <v>65</v>
      </c>
      <c r="DS4" s="32" t="s">
        <v>65</v>
      </c>
      <c r="DT4" s="32" t="s">
        <v>65</v>
      </c>
      <c r="DU4" s="32" t="s">
        <v>65</v>
      </c>
      <c r="DV4" s="32" t="s">
        <v>65</v>
      </c>
      <c r="DW4" s="32" t="s">
        <v>65</v>
      </c>
      <c r="DX4" s="32" t="s">
        <v>65</v>
      </c>
      <c r="DY4" s="32" t="s">
        <v>65</v>
      </c>
      <c r="DZ4" s="32" t="s">
        <v>65</v>
      </c>
      <c r="EA4" s="32" t="s">
        <v>65</v>
      </c>
      <c r="EB4" s="32" t="s">
        <v>65</v>
      </c>
      <c r="EC4" s="32" t="s">
        <v>65</v>
      </c>
      <c r="ED4" s="32" t="s">
        <v>65</v>
      </c>
      <c r="EE4" s="32" t="s">
        <v>65</v>
      </c>
      <c r="EF4" s="32" t="s">
        <v>65</v>
      </c>
      <c r="EG4" s="32" t="s">
        <v>65</v>
      </c>
      <c r="EH4" s="32" t="s">
        <v>65</v>
      </c>
      <c r="EI4" s="32" t="s">
        <v>65</v>
      </c>
      <c r="EJ4" s="32" t="s">
        <v>65</v>
      </c>
      <c r="EK4" s="32" t="s">
        <v>65</v>
      </c>
      <c r="EL4" s="32" t="s">
        <v>65</v>
      </c>
      <c r="EM4" s="32" t="s">
        <v>65</v>
      </c>
      <c r="EN4" s="32" t="s">
        <v>65</v>
      </c>
      <c r="EO4" s="32" t="s">
        <v>65</v>
      </c>
      <c r="EP4" s="32" t="s">
        <v>65</v>
      </c>
      <c r="EQ4" s="32" t="s">
        <v>65</v>
      </c>
      <c r="ER4" s="32" t="s">
        <v>65</v>
      </c>
      <c r="ES4" s="32" t="s">
        <v>65</v>
      </c>
      <c r="ET4" s="32" t="s">
        <v>65</v>
      </c>
      <c r="EU4" s="32" t="s">
        <v>65</v>
      </c>
      <c r="EV4" s="32" t="s">
        <v>65</v>
      </c>
      <c r="EW4" s="32" t="s">
        <v>65</v>
      </c>
      <c r="EX4" s="32" t="s">
        <v>65</v>
      </c>
      <c r="EY4" s="32" t="s">
        <v>65</v>
      </c>
      <c r="EZ4" s="32" t="s">
        <v>65</v>
      </c>
      <c r="FA4" s="32" t="s">
        <v>65</v>
      </c>
      <c r="FB4" s="32" t="s">
        <v>65</v>
      </c>
      <c r="FC4" s="32" t="s">
        <v>65</v>
      </c>
      <c r="FD4" s="32" t="s">
        <v>65</v>
      </c>
      <c r="FE4" s="32" t="s">
        <v>65</v>
      </c>
      <c r="FF4" s="32" t="s">
        <v>65</v>
      </c>
      <c r="FG4" s="32" t="s">
        <v>65</v>
      </c>
      <c r="FH4" s="32" t="s">
        <v>65</v>
      </c>
      <c r="FI4" s="32" t="s">
        <v>65</v>
      </c>
      <c r="FJ4" s="32" t="s">
        <v>65</v>
      </c>
      <c r="FK4" s="32" t="s">
        <v>65</v>
      </c>
      <c r="FL4" s="32" t="s">
        <v>65</v>
      </c>
      <c r="FM4" s="32" t="s">
        <v>65</v>
      </c>
      <c r="FN4" s="32" t="s">
        <v>65</v>
      </c>
      <c r="FO4" s="32" t="s">
        <v>65</v>
      </c>
      <c r="FP4" s="32" t="s">
        <v>65</v>
      </c>
      <c r="FQ4" s="32" t="s">
        <v>65</v>
      </c>
      <c r="FR4" s="32" t="s">
        <v>65</v>
      </c>
      <c r="FS4" s="32" t="s">
        <v>65</v>
      </c>
      <c r="FT4" s="32" t="s">
        <v>65</v>
      </c>
      <c r="FU4" s="32" t="s">
        <v>65</v>
      </c>
      <c r="FV4" s="32" t="s">
        <v>65</v>
      </c>
      <c r="FW4" s="32" t="s">
        <v>65</v>
      </c>
      <c r="FX4" s="32" t="s">
        <v>65</v>
      </c>
      <c r="FY4" s="32" t="s">
        <v>65</v>
      </c>
      <c r="FZ4" s="32" t="s">
        <v>65</v>
      </c>
      <c r="GA4" s="32" t="s">
        <v>65</v>
      </c>
      <c r="GB4" s="32" t="s">
        <v>65</v>
      </c>
      <c r="GC4" s="32" t="s">
        <v>65</v>
      </c>
      <c r="GD4" s="32" t="s">
        <v>65</v>
      </c>
      <c r="GE4" s="32" t="s">
        <v>65</v>
      </c>
      <c r="GF4" s="32" t="s">
        <v>65</v>
      </c>
      <c r="GG4" s="32" t="s">
        <v>65</v>
      </c>
      <c r="GH4" s="32" t="s">
        <v>65</v>
      </c>
      <c r="GI4" s="32" t="s">
        <v>65</v>
      </c>
      <c r="GJ4" s="32" t="s">
        <v>65</v>
      </c>
      <c r="GK4" s="32" t="s">
        <v>65</v>
      </c>
      <c r="GL4" s="32" t="s">
        <v>65</v>
      </c>
      <c r="GM4" s="32" t="s">
        <v>65</v>
      </c>
      <c r="GN4" s="32" t="s">
        <v>65</v>
      </c>
      <c r="GO4" s="32" t="s">
        <v>65</v>
      </c>
      <c r="GP4" s="32" t="s">
        <v>65</v>
      </c>
      <c r="GQ4" s="32" t="s">
        <v>65</v>
      </c>
      <c r="GR4" s="32" t="s">
        <v>65</v>
      </c>
      <c r="GS4" s="32" t="s">
        <v>62</v>
      </c>
      <c r="GT4" s="32" t="s">
        <v>62</v>
      </c>
      <c r="GU4" s="32" t="s">
        <v>65</v>
      </c>
      <c r="GV4" s="32" t="s">
        <v>65</v>
      </c>
      <c r="GW4" s="32" t="s">
        <v>65</v>
      </c>
      <c r="GX4" s="32" t="s">
        <v>65</v>
      </c>
      <c r="GY4" s="32" t="s">
        <v>65</v>
      </c>
      <c r="GZ4" s="32" t="s">
        <v>65</v>
      </c>
      <c r="HA4" s="32" t="s">
        <v>65</v>
      </c>
      <c r="HB4" s="32" t="s">
        <v>65</v>
      </c>
      <c r="HC4" s="32" t="s">
        <v>65</v>
      </c>
      <c r="HD4" s="32" t="s">
        <v>65</v>
      </c>
      <c r="HE4" s="32" t="s">
        <v>62</v>
      </c>
      <c r="HF4" s="32" t="s">
        <v>64</v>
      </c>
      <c r="HG4" s="32" t="s">
        <v>64</v>
      </c>
      <c r="HH4" s="32" t="s">
        <v>64</v>
      </c>
      <c r="HI4" s="32" t="s">
        <v>64</v>
      </c>
      <c r="HJ4" s="32" t="s">
        <v>64</v>
      </c>
      <c r="HK4" s="32" t="s">
        <v>64</v>
      </c>
      <c r="HL4" s="32" t="s">
        <v>64</v>
      </c>
      <c r="HM4" s="32" t="s">
        <v>64</v>
      </c>
      <c r="HN4" s="32" t="s">
        <v>64</v>
      </c>
      <c r="HO4" s="32" t="s">
        <v>64</v>
      </c>
      <c r="HP4" s="32" t="s">
        <v>64</v>
      </c>
      <c r="HQ4" s="32" t="s">
        <v>64</v>
      </c>
      <c r="HR4" s="32" t="s">
        <v>64</v>
      </c>
      <c r="HS4" s="32" t="s">
        <v>64</v>
      </c>
      <c r="HT4" s="32" t="s">
        <v>64</v>
      </c>
      <c r="HU4" s="32" t="s">
        <v>64</v>
      </c>
      <c r="HV4" s="32" t="s">
        <v>64</v>
      </c>
      <c r="HW4" s="32" t="s">
        <v>64</v>
      </c>
      <c r="HX4" s="32" t="s">
        <v>64</v>
      </c>
      <c r="HY4" s="32" t="s">
        <v>64</v>
      </c>
      <c r="HZ4" s="32" t="s">
        <v>64</v>
      </c>
      <c r="IA4" s="32" t="s">
        <v>64</v>
      </c>
      <c r="IB4" s="32" t="s">
        <v>64</v>
      </c>
      <c r="IC4" s="32" t="s">
        <v>64</v>
      </c>
      <c r="ID4" s="32" t="s">
        <v>64</v>
      </c>
      <c r="IE4" s="32" t="s">
        <v>64</v>
      </c>
      <c r="IF4" s="32" t="s">
        <v>64</v>
      </c>
      <c r="IG4" s="32" t="s">
        <v>64</v>
      </c>
      <c r="IH4" s="32" t="s">
        <v>64</v>
      </c>
      <c r="II4" s="32" t="s">
        <v>64</v>
      </c>
      <c r="IJ4" s="32" t="s">
        <v>64</v>
      </c>
      <c r="IK4" s="32" t="s">
        <v>65</v>
      </c>
      <c r="IL4" s="32" t="s">
        <v>64</v>
      </c>
      <c r="IM4" s="32" t="s">
        <v>64</v>
      </c>
      <c r="IN4" s="32" t="s">
        <v>64</v>
      </c>
      <c r="IO4" s="32" t="s">
        <v>65</v>
      </c>
      <c r="IP4" s="32" t="s">
        <v>64</v>
      </c>
      <c r="IQ4" s="32" t="s">
        <v>64</v>
      </c>
      <c r="IR4" s="32" t="s">
        <v>64</v>
      </c>
      <c r="IS4" s="32" t="s">
        <v>65</v>
      </c>
      <c r="IT4" s="32" t="s">
        <v>64</v>
      </c>
      <c r="IU4" s="32" t="s">
        <v>64</v>
      </c>
      <c r="IV4" s="32" t="s">
        <v>64</v>
      </c>
      <c r="IW4" s="32" t="s">
        <v>65</v>
      </c>
      <c r="IX4" s="32" t="s">
        <v>64</v>
      </c>
      <c r="IY4" s="32" t="s">
        <v>64</v>
      </c>
      <c r="IZ4" s="32" t="s">
        <v>64</v>
      </c>
      <c r="JA4" s="32" t="s">
        <v>65</v>
      </c>
      <c r="JB4" s="32" t="s">
        <v>64</v>
      </c>
      <c r="JC4" s="32" t="s">
        <v>64</v>
      </c>
      <c r="JD4" s="32" t="s">
        <v>64</v>
      </c>
      <c r="JE4" s="32" t="s">
        <v>65</v>
      </c>
      <c r="JF4" s="32" t="s">
        <v>64</v>
      </c>
      <c r="JG4" s="32" t="s">
        <v>64</v>
      </c>
      <c r="JH4" s="32" t="s">
        <v>64</v>
      </c>
      <c r="JI4" s="32" t="s">
        <v>65</v>
      </c>
      <c r="JJ4" s="32" t="s">
        <v>64</v>
      </c>
      <c r="JK4" s="32" t="s">
        <v>64</v>
      </c>
      <c r="JL4" s="32" t="s">
        <v>64</v>
      </c>
      <c r="JM4" s="32" t="s">
        <v>65</v>
      </c>
      <c r="JN4" s="32" t="s">
        <v>64</v>
      </c>
      <c r="JO4" s="32" t="s">
        <v>64</v>
      </c>
      <c r="JP4" s="32" t="s">
        <v>64</v>
      </c>
      <c r="JQ4" s="32" t="s">
        <v>65</v>
      </c>
      <c r="JR4" s="32" t="s">
        <v>64</v>
      </c>
      <c r="JS4" s="32" t="s">
        <v>64</v>
      </c>
      <c r="JT4" s="32" t="s">
        <v>64</v>
      </c>
      <c r="JU4" s="32" t="s">
        <v>65</v>
      </c>
      <c r="JV4" s="32" t="s">
        <v>64</v>
      </c>
      <c r="JW4" s="32" t="s">
        <v>64</v>
      </c>
      <c r="JX4" s="32" t="s">
        <v>64</v>
      </c>
      <c r="JY4" s="32" t="s">
        <v>62</v>
      </c>
      <c r="JZ4" s="32" t="s">
        <v>63</v>
      </c>
      <c r="KA4" s="32" t="s">
        <v>62</v>
      </c>
      <c r="KB4" s="32" t="s">
        <v>62</v>
      </c>
      <c r="KC4" s="32" t="s">
        <v>62</v>
      </c>
      <c r="KD4" s="32" t="s">
        <v>63</v>
      </c>
      <c r="KE4" s="32" t="s">
        <v>63</v>
      </c>
      <c r="KF4" s="32" t="s">
        <v>63</v>
      </c>
      <c r="KG4" s="32" t="s">
        <v>64</v>
      </c>
      <c r="KH4" s="32" t="s">
        <v>62</v>
      </c>
      <c r="KI4" s="32" t="s">
        <v>63</v>
      </c>
      <c r="KJ4" s="32" t="s">
        <v>63</v>
      </c>
      <c r="KK4" s="32" t="s">
        <v>63</v>
      </c>
      <c r="KL4" s="32" t="s">
        <v>62</v>
      </c>
      <c r="KM4" s="32" t="s">
        <v>63</v>
      </c>
      <c r="KN4" s="32" t="s">
        <v>62</v>
      </c>
      <c r="KO4" s="32" t="s">
        <v>65</v>
      </c>
      <c r="KP4" s="32" t="s">
        <v>63</v>
      </c>
      <c r="KQ4" s="32" t="s">
        <v>63</v>
      </c>
      <c r="KR4" s="32" t="s">
        <v>62</v>
      </c>
      <c r="KS4" s="32" t="s">
        <v>62</v>
      </c>
      <c r="KT4" s="32" t="s">
        <v>62</v>
      </c>
      <c r="KU4" s="32" t="s">
        <v>63</v>
      </c>
      <c r="KV4" s="32" t="s">
        <v>65</v>
      </c>
      <c r="KW4" s="32" t="s">
        <v>63</v>
      </c>
      <c r="KX4" s="32" t="s">
        <v>62</v>
      </c>
      <c r="KY4" s="32" t="s">
        <v>62</v>
      </c>
      <c r="KZ4" s="32" t="s">
        <v>63</v>
      </c>
      <c r="LA4" s="32" t="s">
        <v>63</v>
      </c>
    </row>
    <row r="5" spans="1:313" ht="50" customHeight="1">
      <c r="A5" s="19" t="s">
        <v>217</v>
      </c>
      <c r="B5" s="19" t="s">
        <v>96</v>
      </c>
      <c r="C5" s="19" t="s">
        <v>218</v>
      </c>
      <c r="D5" s="19" t="s">
        <v>219</v>
      </c>
      <c r="E5" s="19" t="s">
        <v>220</v>
      </c>
      <c r="F5" s="19" t="s">
        <v>221</v>
      </c>
      <c r="G5" s="19" t="s">
        <v>222</v>
      </c>
      <c r="H5" s="19" t="s">
        <v>223</v>
      </c>
      <c r="I5" s="19" t="s">
        <v>224</v>
      </c>
      <c r="J5" s="19" t="s">
        <v>225</v>
      </c>
      <c r="K5" s="19" t="s">
        <v>226</v>
      </c>
      <c r="L5" s="19" t="s">
        <v>227</v>
      </c>
      <c r="M5" s="19" t="s">
        <v>228</v>
      </c>
      <c r="N5" s="19" t="s">
        <v>229</v>
      </c>
      <c r="O5" s="19" t="s">
        <v>230</v>
      </c>
      <c r="P5" s="19" t="s">
        <v>231</v>
      </c>
      <c r="Q5" s="19" t="s">
        <v>232</v>
      </c>
      <c r="R5" s="19" t="s">
        <v>233</v>
      </c>
      <c r="S5" s="19" t="s">
        <v>234</v>
      </c>
      <c r="T5" s="19" t="s">
        <v>235</v>
      </c>
      <c r="U5" s="19" t="s">
        <v>236</v>
      </c>
      <c r="V5" s="19" t="s">
        <v>237</v>
      </c>
      <c r="W5" s="19" t="s">
        <v>238</v>
      </c>
      <c r="X5" s="19" t="s">
        <v>239</v>
      </c>
      <c r="Y5" s="19" t="s">
        <v>240</v>
      </c>
      <c r="Z5" s="19" t="s">
        <v>241</v>
      </c>
      <c r="AA5" s="19" t="s">
        <v>242</v>
      </c>
      <c r="AB5" s="19" t="s">
        <v>243</v>
      </c>
      <c r="AC5" s="19" t="s">
        <v>244</v>
      </c>
      <c r="AD5" s="19" t="s">
        <v>245</v>
      </c>
      <c r="AE5" s="19" t="s">
        <v>246</v>
      </c>
      <c r="AF5" s="19" t="s">
        <v>247</v>
      </c>
      <c r="AG5" s="19" t="s">
        <v>248</v>
      </c>
      <c r="AH5" s="19" t="s">
        <v>249</v>
      </c>
      <c r="AI5" s="19" t="s">
        <v>250</v>
      </c>
      <c r="AJ5" s="19" t="s">
        <v>251</v>
      </c>
      <c r="AK5" s="19" t="s">
        <v>252</v>
      </c>
      <c r="AL5" s="19" t="s">
        <v>253</v>
      </c>
      <c r="AM5" s="19" t="s">
        <v>254</v>
      </c>
      <c r="AN5" s="19" t="s">
        <v>255</v>
      </c>
      <c r="AO5" s="19" t="s">
        <v>256</v>
      </c>
      <c r="AP5" s="19" t="s">
        <v>257</v>
      </c>
      <c r="AQ5" s="19" t="s">
        <v>258</v>
      </c>
      <c r="AR5" s="19" t="s">
        <v>259</v>
      </c>
      <c r="AS5" s="19" t="s">
        <v>260</v>
      </c>
      <c r="AT5" s="19" t="s">
        <v>261</v>
      </c>
      <c r="AU5" s="19" t="s">
        <v>262</v>
      </c>
      <c r="AV5" s="19" t="s">
        <v>263</v>
      </c>
      <c r="AW5" s="19" t="s">
        <v>264</v>
      </c>
      <c r="AX5" s="19" t="s">
        <v>265</v>
      </c>
      <c r="AY5" s="19" t="s">
        <v>266</v>
      </c>
      <c r="AZ5" s="19" t="s">
        <v>267</v>
      </c>
      <c r="BA5" s="19" t="s">
        <v>268</v>
      </c>
      <c r="BB5" s="19" t="s">
        <v>269</v>
      </c>
      <c r="BC5" s="19" t="s">
        <v>270</v>
      </c>
      <c r="BD5" s="19" t="s">
        <v>271</v>
      </c>
      <c r="BE5" s="19" t="s">
        <v>272</v>
      </c>
      <c r="BF5" s="19" t="s">
        <v>273</v>
      </c>
      <c r="BG5" s="19" t="s">
        <v>274</v>
      </c>
      <c r="BH5" s="19" t="s">
        <v>275</v>
      </c>
      <c r="BI5" s="19" t="s">
        <v>276</v>
      </c>
      <c r="BJ5" s="19" t="s">
        <v>277</v>
      </c>
      <c r="BK5" s="19" t="s">
        <v>278</v>
      </c>
      <c r="BL5" s="19" t="s">
        <v>279</v>
      </c>
      <c r="BM5" s="19" t="s">
        <v>280</v>
      </c>
      <c r="BN5" s="19" t="s">
        <v>281</v>
      </c>
      <c r="BO5" s="19" t="s">
        <v>282</v>
      </c>
      <c r="BP5" s="19" t="s">
        <v>283</v>
      </c>
      <c r="BQ5" s="19" t="s">
        <v>284</v>
      </c>
      <c r="BR5" s="19" t="s">
        <v>285</v>
      </c>
      <c r="BS5" s="19" t="s">
        <v>286</v>
      </c>
      <c r="BT5" s="19" t="s">
        <v>287</v>
      </c>
      <c r="BU5" s="19" t="s">
        <v>288</v>
      </c>
      <c r="BV5" s="19" t="s">
        <v>289</v>
      </c>
      <c r="BW5" s="19" t="s">
        <v>290</v>
      </c>
      <c r="BX5" s="19" t="s">
        <v>291</v>
      </c>
      <c r="BY5" s="19" t="s">
        <v>292</v>
      </c>
      <c r="BZ5" s="19" t="s">
        <v>293</v>
      </c>
      <c r="CA5" s="19" t="s">
        <v>294</v>
      </c>
      <c r="CB5" s="19" t="s">
        <v>295</v>
      </c>
      <c r="CC5" s="19" t="s">
        <v>296</v>
      </c>
      <c r="CD5" s="19" t="s">
        <v>297</v>
      </c>
      <c r="CE5" s="19" t="s">
        <v>298</v>
      </c>
      <c r="CF5" s="19" t="s">
        <v>299</v>
      </c>
      <c r="CG5" s="19" t="s">
        <v>300</v>
      </c>
      <c r="CH5" s="19" t="s">
        <v>301</v>
      </c>
      <c r="CI5" s="19" t="s">
        <v>302</v>
      </c>
      <c r="CJ5" s="19" t="s">
        <v>303</v>
      </c>
      <c r="CK5" s="19" t="s">
        <v>304</v>
      </c>
      <c r="CL5" s="19" t="s">
        <v>305</v>
      </c>
      <c r="CM5" s="19" t="s">
        <v>306</v>
      </c>
      <c r="CN5" s="19" t="s">
        <v>307</v>
      </c>
      <c r="CO5" s="19" t="s">
        <v>308</v>
      </c>
      <c r="CP5" s="19" t="s">
        <v>309</v>
      </c>
      <c r="CQ5" s="19" t="s">
        <v>310</v>
      </c>
      <c r="CR5" s="19" t="s">
        <v>311</v>
      </c>
      <c r="CS5" s="19" t="s">
        <v>312</v>
      </c>
      <c r="CT5" s="19" t="s">
        <v>313</v>
      </c>
      <c r="CU5" s="19" t="s">
        <v>314</v>
      </c>
      <c r="CV5" s="19" t="s">
        <v>315</v>
      </c>
      <c r="CW5" s="19" t="s">
        <v>316</v>
      </c>
      <c r="CX5" s="19" t="s">
        <v>317</v>
      </c>
      <c r="CY5" s="19" t="s">
        <v>318</v>
      </c>
      <c r="CZ5" s="19" t="s">
        <v>319</v>
      </c>
      <c r="DA5" s="19" t="s">
        <v>320</v>
      </c>
      <c r="DB5" s="19" t="s">
        <v>321</v>
      </c>
      <c r="DC5" s="19" t="s">
        <v>322</v>
      </c>
      <c r="DD5" s="19" t="s">
        <v>323</v>
      </c>
      <c r="DE5" s="19" t="s">
        <v>324</v>
      </c>
      <c r="DF5" s="19" t="s">
        <v>325</v>
      </c>
      <c r="DG5" s="19" t="s">
        <v>326</v>
      </c>
      <c r="DH5" s="19" t="s">
        <v>327</v>
      </c>
      <c r="DI5" s="19" t="s">
        <v>328</v>
      </c>
      <c r="DJ5" s="19" t="s">
        <v>329</v>
      </c>
      <c r="DK5" s="19" t="s">
        <v>330</v>
      </c>
      <c r="DL5" s="19" t="s">
        <v>331</v>
      </c>
      <c r="DM5" s="19" t="s">
        <v>332</v>
      </c>
      <c r="DN5" s="19" t="s">
        <v>333</v>
      </c>
      <c r="DO5" s="19" t="s">
        <v>334</v>
      </c>
      <c r="DP5" s="19" t="s">
        <v>335</v>
      </c>
      <c r="DQ5" s="19" t="s">
        <v>336</v>
      </c>
      <c r="DR5" s="19" t="s">
        <v>337</v>
      </c>
      <c r="DS5" s="19" t="s">
        <v>338</v>
      </c>
      <c r="DT5" s="19" t="s">
        <v>339</v>
      </c>
      <c r="DU5" s="19" t="s">
        <v>340</v>
      </c>
      <c r="DV5" s="19" t="s">
        <v>341</v>
      </c>
      <c r="DW5" s="19" t="s">
        <v>342</v>
      </c>
      <c r="DX5" s="19" t="s">
        <v>343</v>
      </c>
      <c r="DY5" s="19" t="s">
        <v>344</v>
      </c>
      <c r="DZ5" s="19" t="s">
        <v>345</v>
      </c>
      <c r="EA5" s="19" t="s">
        <v>346</v>
      </c>
      <c r="EB5" s="19" t="s">
        <v>347</v>
      </c>
      <c r="EC5" s="19" t="s">
        <v>348</v>
      </c>
      <c r="ED5" s="19" t="s">
        <v>349</v>
      </c>
      <c r="EE5" s="19" t="s">
        <v>350</v>
      </c>
      <c r="EF5" s="19" t="s">
        <v>351</v>
      </c>
      <c r="EG5" s="19" t="s">
        <v>352</v>
      </c>
      <c r="EH5" s="19" t="s">
        <v>353</v>
      </c>
      <c r="EI5" s="19" t="s">
        <v>354</v>
      </c>
      <c r="EJ5" s="19" t="s">
        <v>355</v>
      </c>
      <c r="EK5" s="19" t="s">
        <v>356</v>
      </c>
      <c r="EL5" s="19" t="s">
        <v>357</v>
      </c>
      <c r="EM5" s="19" t="s">
        <v>358</v>
      </c>
      <c r="EN5" s="19" t="s">
        <v>359</v>
      </c>
      <c r="EO5" s="19" t="s">
        <v>360</v>
      </c>
      <c r="EP5" s="19" t="s">
        <v>361</v>
      </c>
      <c r="EQ5" s="19" t="s">
        <v>362</v>
      </c>
      <c r="ER5" s="19" t="s">
        <v>363</v>
      </c>
      <c r="ES5" s="19" t="s">
        <v>364</v>
      </c>
      <c r="ET5" s="19" t="s">
        <v>365</v>
      </c>
      <c r="EU5" s="19" t="s">
        <v>366</v>
      </c>
      <c r="EV5" s="19" t="s">
        <v>367</v>
      </c>
      <c r="EW5" s="19" t="s">
        <v>368</v>
      </c>
      <c r="EX5" s="19" t="s">
        <v>369</v>
      </c>
      <c r="EY5" s="19" t="s">
        <v>370</v>
      </c>
      <c r="EZ5" s="19" t="s">
        <v>371</v>
      </c>
      <c r="FA5" s="19" t="s">
        <v>372</v>
      </c>
      <c r="FB5" s="19" t="s">
        <v>373</v>
      </c>
      <c r="FC5" s="19" t="s">
        <v>374</v>
      </c>
      <c r="FD5" s="19" t="s">
        <v>375</v>
      </c>
      <c r="FE5" s="19" t="s">
        <v>376</v>
      </c>
      <c r="FF5" s="19" t="s">
        <v>377</v>
      </c>
      <c r="FG5" s="19" t="s">
        <v>378</v>
      </c>
      <c r="FH5" s="19" t="s">
        <v>379</v>
      </c>
      <c r="FI5" s="19" t="s">
        <v>380</v>
      </c>
      <c r="FJ5" s="19" t="s">
        <v>381</v>
      </c>
      <c r="FK5" s="19" t="s">
        <v>382</v>
      </c>
      <c r="FL5" s="19" t="s">
        <v>383</v>
      </c>
      <c r="FM5" s="19" t="s">
        <v>384</v>
      </c>
      <c r="FN5" s="19" t="s">
        <v>385</v>
      </c>
      <c r="FO5" s="19" t="s">
        <v>386</v>
      </c>
      <c r="FP5" s="19" t="s">
        <v>387</v>
      </c>
      <c r="FQ5" s="19" t="s">
        <v>388</v>
      </c>
      <c r="FR5" s="19" t="s">
        <v>389</v>
      </c>
      <c r="FS5" s="19" t="s">
        <v>390</v>
      </c>
      <c r="FT5" s="19" t="s">
        <v>391</v>
      </c>
      <c r="FU5" s="19" t="s">
        <v>392</v>
      </c>
      <c r="FV5" s="19" t="s">
        <v>393</v>
      </c>
      <c r="FW5" s="19" t="s">
        <v>394</v>
      </c>
      <c r="FX5" s="19" t="s">
        <v>395</v>
      </c>
      <c r="FY5" s="19" t="s">
        <v>396</v>
      </c>
      <c r="FZ5" s="19" t="s">
        <v>397</v>
      </c>
      <c r="GA5" s="19" t="s">
        <v>398</v>
      </c>
      <c r="GB5" s="19" t="s">
        <v>399</v>
      </c>
      <c r="GC5" s="19" t="s">
        <v>400</v>
      </c>
      <c r="GD5" s="19" t="s">
        <v>401</v>
      </c>
      <c r="GE5" s="19" t="s">
        <v>402</v>
      </c>
      <c r="GF5" s="19" t="s">
        <v>403</v>
      </c>
      <c r="GG5" s="19" t="s">
        <v>404</v>
      </c>
      <c r="GH5" s="19" t="s">
        <v>405</v>
      </c>
      <c r="GI5" s="19" t="s">
        <v>406</v>
      </c>
      <c r="GJ5" s="19" t="s">
        <v>407</v>
      </c>
      <c r="GK5" s="19" t="s">
        <v>408</v>
      </c>
      <c r="GL5" s="19" t="s">
        <v>409</v>
      </c>
      <c r="GM5" s="19" t="s">
        <v>410</v>
      </c>
      <c r="GN5" s="19" t="s">
        <v>411</v>
      </c>
      <c r="GO5" s="19" t="s">
        <v>412</v>
      </c>
      <c r="GP5" s="19" t="s">
        <v>413</v>
      </c>
      <c r="GQ5" s="19" t="s">
        <v>414</v>
      </c>
      <c r="GR5" s="19" t="s">
        <v>415</v>
      </c>
      <c r="GS5" s="19" t="s">
        <v>416</v>
      </c>
      <c r="GT5" s="19" t="s">
        <v>417</v>
      </c>
      <c r="GU5" s="19" t="s">
        <v>418</v>
      </c>
      <c r="GV5" s="19" t="s">
        <v>419</v>
      </c>
      <c r="GW5" s="19" t="s">
        <v>420</v>
      </c>
      <c r="GX5" s="19" t="s">
        <v>421</v>
      </c>
      <c r="GY5" s="19" t="s">
        <v>422</v>
      </c>
      <c r="GZ5" s="19" t="s">
        <v>423</v>
      </c>
      <c r="HA5" s="19" t="s">
        <v>424</v>
      </c>
      <c r="HB5" s="19" t="s">
        <v>425</v>
      </c>
      <c r="HC5" s="19" t="s">
        <v>426</v>
      </c>
      <c r="HD5" s="19" t="s">
        <v>427</v>
      </c>
      <c r="HE5" s="19" t="s">
        <v>428</v>
      </c>
      <c r="HF5" s="19" t="s">
        <v>429</v>
      </c>
      <c r="HG5" s="19" t="s">
        <v>430</v>
      </c>
      <c r="HH5" s="19" t="s">
        <v>431</v>
      </c>
      <c r="HI5" s="19" t="s">
        <v>432</v>
      </c>
      <c r="HJ5" s="19" t="s">
        <v>433</v>
      </c>
      <c r="HK5" s="19" t="s">
        <v>434</v>
      </c>
      <c r="HL5" s="19" t="s">
        <v>435</v>
      </c>
      <c r="HM5" s="19" t="s">
        <v>436</v>
      </c>
      <c r="HN5" s="19" t="s">
        <v>437</v>
      </c>
      <c r="HO5" s="19" t="s">
        <v>438</v>
      </c>
      <c r="HP5" s="19" t="s">
        <v>439</v>
      </c>
      <c r="HQ5" s="19" t="s">
        <v>440</v>
      </c>
      <c r="HR5" s="19" t="s">
        <v>441</v>
      </c>
      <c r="HS5" s="19" t="s">
        <v>442</v>
      </c>
      <c r="HT5" s="19" t="s">
        <v>443</v>
      </c>
      <c r="HU5" s="19" t="s">
        <v>444</v>
      </c>
      <c r="HV5" s="19" t="s">
        <v>445</v>
      </c>
      <c r="HW5" s="19" t="s">
        <v>446</v>
      </c>
      <c r="HX5" s="19" t="s">
        <v>447</v>
      </c>
      <c r="HY5" s="19" t="s">
        <v>448</v>
      </c>
      <c r="HZ5" s="19" t="s">
        <v>449</v>
      </c>
      <c r="IA5" s="19" t="s">
        <v>450</v>
      </c>
      <c r="IB5" s="19" t="s">
        <v>451</v>
      </c>
      <c r="IC5" s="19" t="s">
        <v>452</v>
      </c>
      <c r="ID5" s="19" t="s">
        <v>453</v>
      </c>
      <c r="IE5" s="19" t="s">
        <v>454</v>
      </c>
      <c r="IF5" s="19" t="s">
        <v>455</v>
      </c>
      <c r="IG5" s="19" t="s">
        <v>456</v>
      </c>
      <c r="IH5" s="19" t="s">
        <v>457</v>
      </c>
      <c r="II5" s="19" t="s">
        <v>458</v>
      </c>
      <c r="IJ5" s="19" t="s">
        <v>459</v>
      </c>
      <c r="IK5" s="19" t="s">
        <v>460</v>
      </c>
      <c r="IL5" s="19" t="s">
        <v>461</v>
      </c>
      <c r="IM5" s="19" t="s">
        <v>462</v>
      </c>
      <c r="IN5" s="19" t="s">
        <v>463</v>
      </c>
      <c r="IO5" s="19" t="s">
        <v>464</v>
      </c>
      <c r="IP5" s="19" t="s">
        <v>465</v>
      </c>
      <c r="IQ5" s="19" t="s">
        <v>466</v>
      </c>
      <c r="IR5" s="19" t="s">
        <v>467</v>
      </c>
      <c r="IS5" s="19" t="s">
        <v>468</v>
      </c>
      <c r="IT5" s="19" t="s">
        <v>469</v>
      </c>
      <c r="IU5" s="19" t="s">
        <v>470</v>
      </c>
      <c r="IV5" s="19" t="s">
        <v>471</v>
      </c>
      <c r="IW5" s="19" t="s">
        <v>472</v>
      </c>
      <c r="IX5" s="19" t="s">
        <v>473</v>
      </c>
      <c r="IY5" s="19" t="s">
        <v>474</v>
      </c>
      <c r="IZ5" s="19" t="s">
        <v>475</v>
      </c>
      <c r="JA5" s="19" t="s">
        <v>476</v>
      </c>
      <c r="JB5" s="19" t="s">
        <v>477</v>
      </c>
      <c r="JC5" s="19" t="s">
        <v>478</v>
      </c>
      <c r="JD5" s="19" t="s">
        <v>479</v>
      </c>
      <c r="JE5" s="19" t="s">
        <v>480</v>
      </c>
      <c r="JF5" s="19" t="s">
        <v>481</v>
      </c>
      <c r="JG5" s="19" t="s">
        <v>482</v>
      </c>
      <c r="JH5" s="19" t="s">
        <v>483</v>
      </c>
      <c r="JI5" s="19" t="s">
        <v>484</v>
      </c>
      <c r="JJ5" s="19" t="s">
        <v>485</v>
      </c>
      <c r="JK5" s="19" t="s">
        <v>486</v>
      </c>
      <c r="JL5" s="19" t="s">
        <v>487</v>
      </c>
      <c r="JM5" s="19" t="s">
        <v>488</v>
      </c>
      <c r="JN5" s="19" t="s">
        <v>489</v>
      </c>
      <c r="JO5" s="19" t="s">
        <v>490</v>
      </c>
      <c r="JP5" s="19" t="s">
        <v>491</v>
      </c>
      <c r="JQ5" s="19" t="s">
        <v>492</v>
      </c>
      <c r="JR5" s="19" t="s">
        <v>493</v>
      </c>
      <c r="JS5" s="19" t="s">
        <v>494</v>
      </c>
      <c r="JT5" s="19" t="s">
        <v>495</v>
      </c>
      <c r="JU5" s="19" t="s">
        <v>496</v>
      </c>
      <c r="JV5" s="19" t="s">
        <v>497</v>
      </c>
      <c r="JW5" s="19" t="s">
        <v>498</v>
      </c>
      <c r="JX5" s="19" t="s">
        <v>499</v>
      </c>
      <c r="JY5" s="19" t="s">
        <v>500</v>
      </c>
      <c r="JZ5" s="19" t="s">
        <v>501</v>
      </c>
      <c r="KA5" s="19" t="s">
        <v>502</v>
      </c>
      <c r="KB5" s="19" t="s">
        <v>503</v>
      </c>
      <c r="KC5" s="19" t="s">
        <v>504</v>
      </c>
      <c r="KD5" s="19" t="s">
        <v>505</v>
      </c>
      <c r="KE5" s="19" t="s">
        <v>506</v>
      </c>
      <c r="KF5" s="19" t="s">
        <v>507</v>
      </c>
      <c r="KG5" s="19" t="s">
        <v>508</v>
      </c>
      <c r="KH5" s="19" t="s">
        <v>509</v>
      </c>
      <c r="KI5" s="19" t="s">
        <v>510</v>
      </c>
      <c r="KJ5" s="19" t="s">
        <v>511</v>
      </c>
      <c r="KK5" s="19" t="s">
        <v>512</v>
      </c>
      <c r="KL5" s="19" t="s">
        <v>513</v>
      </c>
      <c r="KM5" s="19" t="s">
        <v>514</v>
      </c>
      <c r="KN5" s="19" t="s">
        <v>515</v>
      </c>
      <c r="KO5" s="19" t="s">
        <v>516</v>
      </c>
      <c r="KP5" s="19" t="s">
        <v>517</v>
      </c>
      <c r="KQ5" s="19" t="s">
        <v>518</v>
      </c>
      <c r="KR5" s="19" t="s">
        <v>519</v>
      </c>
      <c r="KS5" s="19" t="s">
        <v>520</v>
      </c>
      <c r="KT5" s="19" t="s">
        <v>521</v>
      </c>
      <c r="KU5" s="33" t="s">
        <v>522</v>
      </c>
      <c r="KV5" s="34" t="s">
        <v>523</v>
      </c>
      <c r="KW5" s="19" t="s">
        <v>524</v>
      </c>
      <c r="KX5" s="19" t="s">
        <v>525</v>
      </c>
      <c r="KY5" s="19" t="s">
        <v>526</v>
      </c>
      <c r="KZ5" s="19" t="s">
        <v>527</v>
      </c>
      <c r="LA5" s="19" t="s">
        <v>528</v>
      </c>
    </row>
    <row r="6" spans="1:313" ht="50" customHeight="1">
      <c r="A6" s="35" t="s">
        <v>529</v>
      </c>
      <c r="B6" s="35" t="s">
        <v>530</v>
      </c>
      <c r="C6" s="35" t="s">
        <v>531</v>
      </c>
      <c r="D6" s="35" t="s">
        <v>532</v>
      </c>
      <c r="E6" s="35" t="s">
        <v>533</v>
      </c>
      <c r="F6" s="35" t="s">
        <v>534</v>
      </c>
      <c r="G6" s="35" t="s">
        <v>535</v>
      </c>
      <c r="H6" s="35" t="s">
        <v>536</v>
      </c>
      <c r="I6" s="35" t="s">
        <v>537</v>
      </c>
      <c r="J6" s="35" t="s">
        <v>538</v>
      </c>
      <c r="K6" s="35" t="s">
        <v>539</v>
      </c>
      <c r="L6" s="35" t="s">
        <v>538</v>
      </c>
      <c r="M6" s="35" t="s">
        <v>539</v>
      </c>
      <c r="N6" s="35" t="s">
        <v>538</v>
      </c>
      <c r="O6" s="35" t="s">
        <v>539</v>
      </c>
      <c r="P6" s="35" t="s">
        <v>540</v>
      </c>
      <c r="Q6" s="35" t="s">
        <v>541</v>
      </c>
      <c r="R6" s="35" t="s">
        <v>542</v>
      </c>
      <c r="S6" s="35" t="s">
        <v>543</v>
      </c>
      <c r="T6" s="35" t="s">
        <v>544</v>
      </c>
      <c r="U6" s="35" t="s">
        <v>545</v>
      </c>
      <c r="V6" s="35" t="s">
        <v>545</v>
      </c>
      <c r="W6" s="35" t="s">
        <v>545</v>
      </c>
      <c r="X6" s="35" t="s">
        <v>545</v>
      </c>
      <c r="Y6" s="35" t="s">
        <v>545</v>
      </c>
      <c r="Z6" s="35" t="s">
        <v>545</v>
      </c>
      <c r="AA6" s="35" t="s">
        <v>545</v>
      </c>
      <c r="AB6" s="35" t="s">
        <v>545</v>
      </c>
      <c r="AC6" s="35" t="s">
        <v>546</v>
      </c>
      <c r="AD6" s="35" t="s">
        <v>547</v>
      </c>
      <c r="AE6" s="35" t="s">
        <v>548</v>
      </c>
      <c r="AF6" s="35" t="s">
        <v>549</v>
      </c>
      <c r="AG6" s="35" t="s">
        <v>550</v>
      </c>
      <c r="AH6" s="35" t="s">
        <v>551</v>
      </c>
      <c r="AI6" s="35" t="s">
        <v>552</v>
      </c>
      <c r="AJ6" s="35" t="s">
        <v>553</v>
      </c>
      <c r="AK6" s="35" t="s">
        <v>554</v>
      </c>
      <c r="AL6" s="35" t="s">
        <v>555</v>
      </c>
      <c r="AM6" s="35" t="s">
        <v>556</v>
      </c>
      <c r="AN6" s="35" t="s">
        <v>557</v>
      </c>
      <c r="AO6" s="35" t="s">
        <v>558</v>
      </c>
      <c r="AP6" s="35" t="s">
        <v>559</v>
      </c>
      <c r="AQ6" s="35" t="s">
        <v>560</v>
      </c>
      <c r="AR6" s="35" t="s">
        <v>561</v>
      </c>
      <c r="AS6" s="35" t="s">
        <v>558</v>
      </c>
      <c r="AT6" s="35" t="s">
        <v>559</v>
      </c>
      <c r="AU6" s="35" t="s">
        <v>560</v>
      </c>
      <c r="AV6" s="35" t="s">
        <v>561</v>
      </c>
      <c r="AW6" s="35" t="s">
        <v>558</v>
      </c>
      <c r="AX6" s="35" t="s">
        <v>559</v>
      </c>
      <c r="AY6" s="35" t="s">
        <v>560</v>
      </c>
      <c r="AZ6" s="35" t="s">
        <v>561</v>
      </c>
      <c r="BA6" s="35" t="s">
        <v>558</v>
      </c>
      <c r="BB6" s="35" t="s">
        <v>559</v>
      </c>
      <c r="BC6" s="35" t="s">
        <v>560</v>
      </c>
      <c r="BD6" s="35" t="s">
        <v>561</v>
      </c>
      <c r="BE6" s="35" t="s">
        <v>558</v>
      </c>
      <c r="BF6" s="35" t="s">
        <v>559</v>
      </c>
      <c r="BG6" s="35" t="s">
        <v>560</v>
      </c>
      <c r="BH6" s="35" t="s">
        <v>561</v>
      </c>
      <c r="BI6" s="35" t="s">
        <v>558</v>
      </c>
      <c r="BJ6" s="35" t="s">
        <v>559</v>
      </c>
      <c r="BK6" s="35" t="s">
        <v>560</v>
      </c>
      <c r="BL6" s="35" t="s">
        <v>561</v>
      </c>
      <c r="BM6" s="35" t="s">
        <v>558</v>
      </c>
      <c r="BN6" s="35" t="s">
        <v>559</v>
      </c>
      <c r="BO6" s="35" t="s">
        <v>560</v>
      </c>
      <c r="BP6" s="35" t="s">
        <v>561</v>
      </c>
      <c r="BQ6" s="35" t="s">
        <v>558</v>
      </c>
      <c r="BR6" s="35" t="s">
        <v>559</v>
      </c>
      <c r="BS6" s="35" t="s">
        <v>560</v>
      </c>
      <c r="BT6" s="35" t="s">
        <v>561</v>
      </c>
      <c r="BU6" s="35" t="s">
        <v>558</v>
      </c>
      <c r="BV6" s="35" t="s">
        <v>559</v>
      </c>
      <c r="BW6" s="35" t="s">
        <v>560</v>
      </c>
      <c r="BX6" s="35" t="s">
        <v>561</v>
      </c>
      <c r="BY6" s="35" t="s">
        <v>558</v>
      </c>
      <c r="BZ6" s="35" t="s">
        <v>559</v>
      </c>
      <c r="CA6" s="35" t="s">
        <v>560</v>
      </c>
      <c r="CB6" s="35" t="s">
        <v>561</v>
      </c>
      <c r="CC6" s="35" t="s">
        <v>558</v>
      </c>
      <c r="CD6" s="35" t="s">
        <v>559</v>
      </c>
      <c r="CE6" s="35" t="s">
        <v>560</v>
      </c>
      <c r="CF6" s="35" t="s">
        <v>561</v>
      </c>
      <c r="CG6" s="35" t="s">
        <v>558</v>
      </c>
      <c r="CH6" s="35" t="s">
        <v>559</v>
      </c>
      <c r="CI6" s="35" t="s">
        <v>560</v>
      </c>
      <c r="CJ6" s="35" t="s">
        <v>561</v>
      </c>
      <c r="CK6" s="35" t="s">
        <v>558</v>
      </c>
      <c r="CL6" s="35" t="s">
        <v>559</v>
      </c>
      <c r="CM6" s="35" t="s">
        <v>560</v>
      </c>
      <c r="CN6" s="35" t="s">
        <v>561</v>
      </c>
      <c r="CO6" s="35" t="s">
        <v>558</v>
      </c>
      <c r="CP6" s="35" t="s">
        <v>559</v>
      </c>
      <c r="CQ6" s="35" t="s">
        <v>560</v>
      </c>
      <c r="CR6" s="35" t="s">
        <v>561</v>
      </c>
      <c r="CS6" s="35" t="s">
        <v>558</v>
      </c>
      <c r="CT6" s="35" t="s">
        <v>559</v>
      </c>
      <c r="CU6" s="35" t="s">
        <v>560</v>
      </c>
      <c r="CV6" s="35" t="s">
        <v>561</v>
      </c>
      <c r="CW6" s="35" t="s">
        <v>558</v>
      </c>
      <c r="CX6" s="35" t="s">
        <v>559</v>
      </c>
      <c r="CY6" s="35" t="s">
        <v>560</v>
      </c>
      <c r="CZ6" s="35" t="s">
        <v>561</v>
      </c>
      <c r="DA6" s="35" t="s">
        <v>558</v>
      </c>
      <c r="DB6" s="35" t="s">
        <v>559</v>
      </c>
      <c r="DC6" s="35" t="s">
        <v>560</v>
      </c>
      <c r="DD6" s="35" t="s">
        <v>561</v>
      </c>
      <c r="DE6" s="35" t="s">
        <v>558</v>
      </c>
      <c r="DF6" s="35" t="s">
        <v>559</v>
      </c>
      <c r="DG6" s="35" t="s">
        <v>560</v>
      </c>
      <c r="DH6" s="35" t="s">
        <v>561</v>
      </c>
      <c r="DI6" s="35" t="s">
        <v>558</v>
      </c>
      <c r="DJ6" s="35" t="s">
        <v>559</v>
      </c>
      <c r="DK6" s="35" t="s">
        <v>560</v>
      </c>
      <c r="DL6" s="35" t="s">
        <v>561</v>
      </c>
      <c r="DM6" s="35" t="s">
        <v>558</v>
      </c>
      <c r="DN6" s="35" t="s">
        <v>559</v>
      </c>
      <c r="DO6" s="35" t="s">
        <v>560</v>
      </c>
      <c r="DP6" s="35" t="s">
        <v>561</v>
      </c>
      <c r="DQ6" s="35" t="s">
        <v>558</v>
      </c>
      <c r="DR6" s="35" t="s">
        <v>559</v>
      </c>
      <c r="DS6" s="35" t="s">
        <v>560</v>
      </c>
      <c r="DT6" s="35" t="s">
        <v>561</v>
      </c>
      <c r="DU6" s="35" t="s">
        <v>558</v>
      </c>
      <c r="DV6" s="35" t="s">
        <v>559</v>
      </c>
      <c r="DW6" s="35" t="s">
        <v>560</v>
      </c>
      <c r="DX6" s="35" t="s">
        <v>561</v>
      </c>
      <c r="DY6" s="35" t="s">
        <v>558</v>
      </c>
      <c r="DZ6" s="35" t="s">
        <v>559</v>
      </c>
      <c r="EA6" s="35" t="s">
        <v>560</v>
      </c>
      <c r="EB6" s="35" t="s">
        <v>561</v>
      </c>
      <c r="EC6" s="35" t="s">
        <v>558</v>
      </c>
      <c r="ED6" s="35" t="s">
        <v>559</v>
      </c>
      <c r="EE6" s="35" t="s">
        <v>560</v>
      </c>
      <c r="EF6" s="35" t="s">
        <v>561</v>
      </c>
      <c r="EG6" s="35" t="s">
        <v>558</v>
      </c>
      <c r="EH6" s="35" t="s">
        <v>559</v>
      </c>
      <c r="EI6" s="35" t="s">
        <v>560</v>
      </c>
      <c r="EJ6" s="35" t="s">
        <v>561</v>
      </c>
      <c r="EK6" s="35" t="s">
        <v>558</v>
      </c>
      <c r="EL6" s="35" t="s">
        <v>559</v>
      </c>
      <c r="EM6" s="35" t="s">
        <v>560</v>
      </c>
      <c r="EN6" s="35" t="s">
        <v>561</v>
      </c>
      <c r="EO6" s="35" t="s">
        <v>558</v>
      </c>
      <c r="EP6" s="35" t="s">
        <v>559</v>
      </c>
      <c r="EQ6" s="35" t="s">
        <v>560</v>
      </c>
      <c r="ER6" s="35" t="s">
        <v>561</v>
      </c>
      <c r="ES6" s="35" t="s">
        <v>558</v>
      </c>
      <c r="ET6" s="35" t="s">
        <v>559</v>
      </c>
      <c r="EU6" s="35" t="s">
        <v>560</v>
      </c>
      <c r="EV6" s="35" t="s">
        <v>561</v>
      </c>
      <c r="EW6" s="35" t="s">
        <v>558</v>
      </c>
      <c r="EX6" s="35" t="s">
        <v>559</v>
      </c>
      <c r="EY6" s="35" t="s">
        <v>560</v>
      </c>
      <c r="EZ6" s="35" t="s">
        <v>561</v>
      </c>
      <c r="FA6" s="35" t="s">
        <v>558</v>
      </c>
      <c r="FB6" s="35" t="s">
        <v>559</v>
      </c>
      <c r="FC6" s="35" t="s">
        <v>560</v>
      </c>
      <c r="FD6" s="35" t="s">
        <v>561</v>
      </c>
      <c r="FE6" s="35" t="s">
        <v>558</v>
      </c>
      <c r="FF6" s="35" t="s">
        <v>559</v>
      </c>
      <c r="FG6" s="35" t="s">
        <v>560</v>
      </c>
      <c r="FH6" s="35" t="s">
        <v>561</v>
      </c>
      <c r="FI6" s="35" t="s">
        <v>558</v>
      </c>
      <c r="FJ6" s="35" t="s">
        <v>559</v>
      </c>
      <c r="FK6" s="35" t="s">
        <v>560</v>
      </c>
      <c r="FL6" s="35" t="s">
        <v>561</v>
      </c>
      <c r="FM6" s="35" t="s">
        <v>558</v>
      </c>
      <c r="FN6" s="35" t="s">
        <v>559</v>
      </c>
      <c r="FO6" s="35" t="s">
        <v>560</v>
      </c>
      <c r="FP6" s="35" t="s">
        <v>561</v>
      </c>
      <c r="FQ6" s="35" t="s">
        <v>558</v>
      </c>
      <c r="FR6" s="35" t="s">
        <v>559</v>
      </c>
      <c r="FS6" s="35" t="s">
        <v>560</v>
      </c>
      <c r="FT6" s="35" t="s">
        <v>561</v>
      </c>
      <c r="FU6" s="35" t="s">
        <v>558</v>
      </c>
      <c r="FV6" s="35" t="s">
        <v>559</v>
      </c>
      <c r="FW6" s="35" t="s">
        <v>560</v>
      </c>
      <c r="FX6" s="35" t="s">
        <v>561</v>
      </c>
      <c r="FY6" s="35" t="s">
        <v>558</v>
      </c>
      <c r="FZ6" s="35" t="s">
        <v>559</v>
      </c>
      <c r="GA6" s="35" t="s">
        <v>560</v>
      </c>
      <c r="GB6" s="35" t="s">
        <v>561</v>
      </c>
      <c r="GC6" s="35" t="s">
        <v>558</v>
      </c>
      <c r="GD6" s="35" t="s">
        <v>559</v>
      </c>
      <c r="GE6" s="35" t="s">
        <v>560</v>
      </c>
      <c r="GF6" s="35" t="s">
        <v>561</v>
      </c>
      <c r="GG6" s="35" t="s">
        <v>558</v>
      </c>
      <c r="GH6" s="35" t="s">
        <v>559</v>
      </c>
      <c r="GI6" s="35" t="s">
        <v>560</v>
      </c>
      <c r="GJ6" s="35" t="s">
        <v>561</v>
      </c>
      <c r="GK6" s="35" t="s">
        <v>558</v>
      </c>
      <c r="GL6" s="35" t="s">
        <v>559</v>
      </c>
      <c r="GM6" s="35" t="s">
        <v>560</v>
      </c>
      <c r="GN6" s="35" t="s">
        <v>561</v>
      </c>
      <c r="GO6" s="35" t="s">
        <v>558</v>
      </c>
      <c r="GP6" s="35" t="s">
        <v>559</v>
      </c>
      <c r="GQ6" s="35" t="s">
        <v>560</v>
      </c>
      <c r="GR6" s="35" t="s">
        <v>561</v>
      </c>
      <c r="GS6" s="35" t="s">
        <v>562</v>
      </c>
      <c r="GT6" s="35" t="s">
        <v>563</v>
      </c>
      <c r="GU6" s="35" t="s">
        <v>564</v>
      </c>
      <c r="GV6" s="35" t="s">
        <v>565</v>
      </c>
      <c r="GW6" s="35" t="s">
        <v>564</v>
      </c>
      <c r="GX6" s="35" t="s">
        <v>565</v>
      </c>
      <c r="GY6" s="35" t="s">
        <v>564</v>
      </c>
      <c r="GZ6" s="35" t="s">
        <v>565</v>
      </c>
      <c r="HA6" s="35" t="s">
        <v>564</v>
      </c>
      <c r="HB6" s="35" t="s">
        <v>565</v>
      </c>
      <c r="HC6" s="35" t="s">
        <v>564</v>
      </c>
      <c r="HD6" s="35" t="s">
        <v>565</v>
      </c>
      <c r="HE6" s="35" t="s">
        <v>566</v>
      </c>
      <c r="HF6" s="35" t="s">
        <v>566</v>
      </c>
      <c r="HG6" s="35" t="s">
        <v>566</v>
      </c>
      <c r="HH6" s="35" t="s">
        <v>566</v>
      </c>
      <c r="HI6" s="35" t="s">
        <v>566</v>
      </c>
      <c r="HJ6" s="35" t="s">
        <v>566</v>
      </c>
      <c r="HK6" s="35" t="s">
        <v>566</v>
      </c>
      <c r="HL6" s="35" t="s">
        <v>566</v>
      </c>
      <c r="HM6" s="35" t="s">
        <v>566</v>
      </c>
      <c r="HN6" s="35" t="s">
        <v>566</v>
      </c>
      <c r="HO6" s="35" t="s">
        <v>566</v>
      </c>
      <c r="HP6" s="35" t="s">
        <v>566</v>
      </c>
      <c r="HQ6" s="35" t="s">
        <v>566</v>
      </c>
      <c r="HR6" s="35" t="s">
        <v>566</v>
      </c>
      <c r="HS6" s="35" t="s">
        <v>566</v>
      </c>
      <c r="HT6" s="35" t="s">
        <v>566</v>
      </c>
      <c r="HU6" s="35" t="s">
        <v>566</v>
      </c>
      <c r="HV6" s="35" t="s">
        <v>566</v>
      </c>
      <c r="HW6" s="35" t="s">
        <v>566</v>
      </c>
      <c r="HX6" s="35" t="s">
        <v>566</v>
      </c>
      <c r="HY6" s="35" t="s">
        <v>566</v>
      </c>
      <c r="HZ6" s="35" t="s">
        <v>566</v>
      </c>
      <c r="IA6" s="35" t="s">
        <v>566</v>
      </c>
      <c r="IB6" s="35" t="s">
        <v>566</v>
      </c>
      <c r="IC6" s="35" t="s">
        <v>566</v>
      </c>
      <c r="ID6" s="35" t="s">
        <v>566</v>
      </c>
      <c r="IE6" s="35" t="s">
        <v>566</v>
      </c>
      <c r="IF6" s="35" t="s">
        <v>566</v>
      </c>
      <c r="IG6" s="35" t="s">
        <v>566</v>
      </c>
      <c r="IH6" s="35" t="s">
        <v>566</v>
      </c>
      <c r="II6" s="35" t="s">
        <v>567</v>
      </c>
      <c r="IJ6" s="35" t="s">
        <v>567</v>
      </c>
      <c r="IK6" s="35" t="s">
        <v>568</v>
      </c>
      <c r="IL6" s="35" t="s">
        <v>569</v>
      </c>
      <c r="IM6" s="35" t="s">
        <v>570</v>
      </c>
      <c r="IN6" s="35" t="s">
        <v>571</v>
      </c>
      <c r="IO6" s="35" t="s">
        <v>568</v>
      </c>
      <c r="IP6" s="35" t="s">
        <v>569</v>
      </c>
      <c r="IQ6" s="35" t="s">
        <v>570</v>
      </c>
      <c r="IR6" s="35" t="s">
        <v>571</v>
      </c>
      <c r="IS6" s="35" t="s">
        <v>568</v>
      </c>
      <c r="IT6" s="35" t="s">
        <v>569</v>
      </c>
      <c r="IU6" s="35" t="s">
        <v>570</v>
      </c>
      <c r="IV6" s="35" t="s">
        <v>571</v>
      </c>
      <c r="IW6" s="35" t="s">
        <v>568</v>
      </c>
      <c r="IX6" s="35" t="s">
        <v>569</v>
      </c>
      <c r="IY6" s="35" t="s">
        <v>570</v>
      </c>
      <c r="IZ6" s="35" t="s">
        <v>571</v>
      </c>
      <c r="JA6" s="35" t="s">
        <v>568</v>
      </c>
      <c r="JB6" s="35" t="s">
        <v>569</v>
      </c>
      <c r="JC6" s="35" t="s">
        <v>570</v>
      </c>
      <c r="JD6" s="35" t="s">
        <v>571</v>
      </c>
      <c r="JE6" s="35" t="s">
        <v>568</v>
      </c>
      <c r="JF6" s="35" t="s">
        <v>569</v>
      </c>
      <c r="JG6" s="35" t="s">
        <v>570</v>
      </c>
      <c r="JH6" s="35" t="s">
        <v>571</v>
      </c>
      <c r="JI6" s="35" t="s">
        <v>568</v>
      </c>
      <c r="JJ6" s="35" t="s">
        <v>569</v>
      </c>
      <c r="JK6" s="35" t="s">
        <v>570</v>
      </c>
      <c r="JL6" s="35" t="s">
        <v>571</v>
      </c>
      <c r="JM6" s="35" t="s">
        <v>568</v>
      </c>
      <c r="JN6" s="35" t="s">
        <v>569</v>
      </c>
      <c r="JO6" s="35" t="s">
        <v>570</v>
      </c>
      <c r="JP6" s="35" t="s">
        <v>571</v>
      </c>
      <c r="JQ6" s="35" t="s">
        <v>568</v>
      </c>
      <c r="JR6" s="35" t="s">
        <v>569</v>
      </c>
      <c r="JS6" s="35" t="s">
        <v>570</v>
      </c>
      <c r="JT6" s="35" t="s">
        <v>571</v>
      </c>
      <c r="JU6" s="35" t="s">
        <v>568</v>
      </c>
      <c r="JV6" s="35" t="s">
        <v>569</v>
      </c>
      <c r="JW6" s="35" t="s">
        <v>570</v>
      </c>
      <c r="JX6" s="35" t="s">
        <v>571</v>
      </c>
      <c r="JY6" s="35" t="s">
        <v>572</v>
      </c>
      <c r="JZ6" s="35" t="s">
        <v>573</v>
      </c>
      <c r="KA6" s="35" t="s">
        <v>574</v>
      </c>
      <c r="KB6" s="35" t="s">
        <v>575</v>
      </c>
      <c r="KC6" s="35" t="s">
        <v>576</v>
      </c>
      <c r="KD6" s="35" t="s">
        <v>577</v>
      </c>
      <c r="KE6" s="35" t="s">
        <v>578</v>
      </c>
      <c r="KF6" s="35" t="s">
        <v>579</v>
      </c>
      <c r="KG6" s="35" t="s">
        <v>580</v>
      </c>
      <c r="KH6" s="35" t="s">
        <v>581</v>
      </c>
      <c r="KI6" s="35" t="s">
        <v>582</v>
      </c>
      <c r="KJ6" s="35" t="s">
        <v>583</v>
      </c>
      <c r="KK6" s="35" t="s">
        <v>584</v>
      </c>
      <c r="KL6" s="35" t="s">
        <v>585</v>
      </c>
      <c r="KM6" s="35" t="s">
        <v>586</v>
      </c>
      <c r="KN6" s="35" t="s">
        <v>587</v>
      </c>
      <c r="KO6" s="35" t="s">
        <v>588</v>
      </c>
      <c r="KP6" s="35" t="s">
        <v>589</v>
      </c>
      <c r="KQ6" s="35" t="s">
        <v>590</v>
      </c>
      <c r="KR6" s="35" t="s">
        <v>591</v>
      </c>
      <c r="KS6" s="35" t="s">
        <v>592</v>
      </c>
      <c r="KT6" s="35" t="s">
        <v>593</v>
      </c>
      <c r="KU6" s="35" t="s">
        <v>594</v>
      </c>
      <c r="KV6" s="35" t="s">
        <v>595</v>
      </c>
      <c r="KW6" s="35" t="s">
        <v>596</v>
      </c>
      <c r="KX6" s="35" t="s">
        <v>597</v>
      </c>
      <c r="KY6" s="35" t="s">
        <v>598</v>
      </c>
      <c r="KZ6" s="35" t="s">
        <v>599</v>
      </c>
      <c r="LA6" s="35" t="s">
        <v>600</v>
      </c>
    </row>
    <row r="7" spans="1:313" ht="50" customHeight="1">
      <c r="A7" s="35" t="s">
        <v>601</v>
      </c>
      <c r="B7" s="35" t="s">
        <v>67</v>
      </c>
      <c r="C7" s="35" t="s">
        <v>67</v>
      </c>
      <c r="D7" s="35" t="s">
        <v>67</v>
      </c>
      <c r="E7" s="35" t="s">
        <v>67</v>
      </c>
      <c r="F7" s="36" t="s">
        <v>602</v>
      </c>
      <c r="G7" s="35" t="s">
        <v>67</v>
      </c>
      <c r="H7" s="36" t="s">
        <v>602</v>
      </c>
      <c r="I7" s="35" t="s">
        <v>67</v>
      </c>
      <c r="J7" s="36" t="s">
        <v>602</v>
      </c>
      <c r="K7" s="35" t="s">
        <v>67</v>
      </c>
      <c r="L7" s="36" t="s">
        <v>602</v>
      </c>
      <c r="M7" s="35" t="s">
        <v>67</v>
      </c>
      <c r="N7" s="36" t="s">
        <v>602</v>
      </c>
      <c r="O7" s="35" t="s">
        <v>67</v>
      </c>
      <c r="P7" s="35" t="s">
        <v>603</v>
      </c>
      <c r="Q7" s="35" t="s">
        <v>603</v>
      </c>
      <c r="R7" s="35" t="s">
        <v>603</v>
      </c>
      <c r="S7" s="35" t="s">
        <v>603</v>
      </c>
      <c r="T7" s="35" t="s">
        <v>67</v>
      </c>
      <c r="U7" s="35" t="s">
        <v>67</v>
      </c>
      <c r="V7" s="35" t="s">
        <v>67</v>
      </c>
      <c r="W7" s="35" t="s">
        <v>67</v>
      </c>
      <c r="X7" s="35" t="s">
        <v>67</v>
      </c>
      <c r="Y7" s="35" t="s">
        <v>67</v>
      </c>
      <c r="Z7" s="35" t="s">
        <v>67</v>
      </c>
      <c r="AA7" s="35" t="s">
        <v>67</v>
      </c>
      <c r="AB7" s="35" t="s">
        <v>67</v>
      </c>
      <c r="AC7" s="35" t="s">
        <v>67</v>
      </c>
      <c r="AD7" s="35" t="s">
        <v>604</v>
      </c>
      <c r="AE7" s="35" t="s">
        <v>604</v>
      </c>
      <c r="AF7" s="35" t="s">
        <v>604</v>
      </c>
      <c r="AG7" s="35" t="s">
        <v>603</v>
      </c>
      <c r="AH7" s="36" t="s">
        <v>602</v>
      </c>
      <c r="AI7" s="36" t="s">
        <v>602</v>
      </c>
      <c r="AJ7" s="36" t="s">
        <v>602</v>
      </c>
      <c r="AK7" s="36" t="s">
        <v>602</v>
      </c>
      <c r="AL7" s="35" t="s">
        <v>67</v>
      </c>
      <c r="AM7" s="35" t="s">
        <v>72</v>
      </c>
      <c r="AN7" s="35" t="s">
        <v>72</v>
      </c>
      <c r="AO7" s="35" t="s">
        <v>603</v>
      </c>
      <c r="AP7" s="35" t="s">
        <v>603</v>
      </c>
      <c r="AQ7" s="35" t="s">
        <v>603</v>
      </c>
      <c r="AR7" s="35" t="s">
        <v>603</v>
      </c>
      <c r="AS7" s="35" t="s">
        <v>603</v>
      </c>
      <c r="AT7" s="35" t="s">
        <v>603</v>
      </c>
      <c r="AU7" s="35" t="s">
        <v>603</v>
      </c>
      <c r="AV7" s="35" t="s">
        <v>603</v>
      </c>
      <c r="AW7" s="35" t="s">
        <v>603</v>
      </c>
      <c r="AX7" s="35" t="s">
        <v>603</v>
      </c>
      <c r="AY7" s="35" t="s">
        <v>603</v>
      </c>
      <c r="AZ7" s="35" t="s">
        <v>603</v>
      </c>
      <c r="BA7" s="35" t="s">
        <v>603</v>
      </c>
      <c r="BB7" s="35" t="s">
        <v>603</v>
      </c>
      <c r="BC7" s="35" t="s">
        <v>603</v>
      </c>
      <c r="BD7" s="35" t="s">
        <v>603</v>
      </c>
      <c r="BE7" s="35" t="s">
        <v>603</v>
      </c>
      <c r="BF7" s="35" t="s">
        <v>603</v>
      </c>
      <c r="BG7" s="35" t="s">
        <v>603</v>
      </c>
      <c r="BH7" s="35" t="s">
        <v>603</v>
      </c>
      <c r="BI7" s="35" t="s">
        <v>603</v>
      </c>
      <c r="BJ7" s="35" t="s">
        <v>603</v>
      </c>
      <c r="BK7" s="35" t="s">
        <v>603</v>
      </c>
      <c r="BL7" s="35" t="s">
        <v>603</v>
      </c>
      <c r="BM7" s="35" t="s">
        <v>603</v>
      </c>
      <c r="BN7" s="35" t="s">
        <v>603</v>
      </c>
      <c r="BO7" s="35" t="s">
        <v>603</v>
      </c>
      <c r="BP7" s="35" t="s">
        <v>603</v>
      </c>
      <c r="BQ7" s="35" t="s">
        <v>603</v>
      </c>
      <c r="BR7" s="35" t="s">
        <v>603</v>
      </c>
      <c r="BS7" s="35" t="s">
        <v>603</v>
      </c>
      <c r="BT7" s="35" t="s">
        <v>603</v>
      </c>
      <c r="BU7" s="35" t="s">
        <v>603</v>
      </c>
      <c r="BV7" s="35" t="s">
        <v>603</v>
      </c>
      <c r="BW7" s="35" t="s">
        <v>603</v>
      </c>
      <c r="BX7" s="35" t="s">
        <v>603</v>
      </c>
      <c r="BY7" s="35" t="s">
        <v>603</v>
      </c>
      <c r="BZ7" s="35" t="s">
        <v>603</v>
      </c>
      <c r="CA7" s="35" t="s">
        <v>603</v>
      </c>
      <c r="CB7" s="35" t="s">
        <v>603</v>
      </c>
      <c r="CC7" s="35" t="s">
        <v>603</v>
      </c>
      <c r="CD7" s="35" t="s">
        <v>603</v>
      </c>
      <c r="CE7" s="35" t="s">
        <v>603</v>
      </c>
      <c r="CF7" s="35" t="s">
        <v>603</v>
      </c>
      <c r="CG7" s="35" t="s">
        <v>603</v>
      </c>
      <c r="CH7" s="35" t="s">
        <v>603</v>
      </c>
      <c r="CI7" s="35" t="s">
        <v>603</v>
      </c>
      <c r="CJ7" s="35" t="s">
        <v>603</v>
      </c>
      <c r="CK7" s="35" t="s">
        <v>603</v>
      </c>
      <c r="CL7" s="35" t="s">
        <v>603</v>
      </c>
      <c r="CM7" s="35" t="s">
        <v>603</v>
      </c>
      <c r="CN7" s="35" t="s">
        <v>603</v>
      </c>
      <c r="CO7" s="35" t="s">
        <v>603</v>
      </c>
      <c r="CP7" s="35" t="s">
        <v>603</v>
      </c>
      <c r="CQ7" s="35" t="s">
        <v>603</v>
      </c>
      <c r="CR7" s="35" t="s">
        <v>603</v>
      </c>
      <c r="CS7" s="35" t="s">
        <v>603</v>
      </c>
      <c r="CT7" s="35" t="s">
        <v>603</v>
      </c>
      <c r="CU7" s="35" t="s">
        <v>603</v>
      </c>
      <c r="CV7" s="35" t="s">
        <v>603</v>
      </c>
      <c r="CW7" s="35" t="s">
        <v>603</v>
      </c>
      <c r="CX7" s="35" t="s">
        <v>603</v>
      </c>
      <c r="CY7" s="35" t="s">
        <v>603</v>
      </c>
      <c r="CZ7" s="35" t="s">
        <v>603</v>
      </c>
      <c r="DA7" s="35" t="s">
        <v>603</v>
      </c>
      <c r="DB7" s="35" t="s">
        <v>603</v>
      </c>
      <c r="DC7" s="35" t="s">
        <v>603</v>
      </c>
      <c r="DD7" s="35" t="s">
        <v>603</v>
      </c>
      <c r="DE7" s="35" t="s">
        <v>603</v>
      </c>
      <c r="DF7" s="35" t="s">
        <v>603</v>
      </c>
      <c r="DG7" s="35" t="s">
        <v>603</v>
      </c>
      <c r="DH7" s="35" t="s">
        <v>603</v>
      </c>
      <c r="DI7" s="35" t="s">
        <v>603</v>
      </c>
      <c r="DJ7" s="35" t="s">
        <v>603</v>
      </c>
      <c r="DK7" s="35" t="s">
        <v>603</v>
      </c>
      <c r="DL7" s="35" t="s">
        <v>603</v>
      </c>
      <c r="DM7" s="35" t="s">
        <v>603</v>
      </c>
      <c r="DN7" s="35" t="s">
        <v>603</v>
      </c>
      <c r="DO7" s="35" t="s">
        <v>603</v>
      </c>
      <c r="DP7" s="35" t="s">
        <v>603</v>
      </c>
      <c r="DQ7" s="35" t="s">
        <v>603</v>
      </c>
      <c r="DR7" s="35" t="s">
        <v>603</v>
      </c>
      <c r="DS7" s="35" t="s">
        <v>603</v>
      </c>
      <c r="DT7" s="35" t="s">
        <v>603</v>
      </c>
      <c r="DU7" s="35" t="s">
        <v>603</v>
      </c>
      <c r="DV7" s="35" t="s">
        <v>603</v>
      </c>
      <c r="DW7" s="35" t="s">
        <v>603</v>
      </c>
      <c r="DX7" s="35" t="s">
        <v>603</v>
      </c>
      <c r="DY7" s="35" t="s">
        <v>603</v>
      </c>
      <c r="DZ7" s="35" t="s">
        <v>603</v>
      </c>
      <c r="EA7" s="35" t="s">
        <v>603</v>
      </c>
      <c r="EB7" s="35" t="s">
        <v>603</v>
      </c>
      <c r="EC7" s="35" t="s">
        <v>603</v>
      </c>
      <c r="ED7" s="35" t="s">
        <v>603</v>
      </c>
      <c r="EE7" s="35" t="s">
        <v>603</v>
      </c>
      <c r="EF7" s="35" t="s">
        <v>603</v>
      </c>
      <c r="EG7" s="35" t="s">
        <v>603</v>
      </c>
      <c r="EH7" s="35" t="s">
        <v>603</v>
      </c>
      <c r="EI7" s="35" t="s">
        <v>603</v>
      </c>
      <c r="EJ7" s="35" t="s">
        <v>603</v>
      </c>
      <c r="EK7" s="35" t="s">
        <v>603</v>
      </c>
      <c r="EL7" s="35" t="s">
        <v>603</v>
      </c>
      <c r="EM7" s="35" t="s">
        <v>603</v>
      </c>
      <c r="EN7" s="35" t="s">
        <v>603</v>
      </c>
      <c r="EO7" s="35" t="s">
        <v>603</v>
      </c>
      <c r="EP7" s="35" t="s">
        <v>603</v>
      </c>
      <c r="EQ7" s="35" t="s">
        <v>603</v>
      </c>
      <c r="ER7" s="35" t="s">
        <v>603</v>
      </c>
      <c r="ES7" s="35" t="s">
        <v>603</v>
      </c>
      <c r="ET7" s="35" t="s">
        <v>603</v>
      </c>
      <c r="EU7" s="35" t="s">
        <v>603</v>
      </c>
      <c r="EV7" s="35" t="s">
        <v>603</v>
      </c>
      <c r="EW7" s="35" t="s">
        <v>603</v>
      </c>
      <c r="EX7" s="35" t="s">
        <v>603</v>
      </c>
      <c r="EY7" s="35" t="s">
        <v>603</v>
      </c>
      <c r="EZ7" s="35" t="s">
        <v>603</v>
      </c>
      <c r="FA7" s="35" t="s">
        <v>603</v>
      </c>
      <c r="FB7" s="35" t="s">
        <v>603</v>
      </c>
      <c r="FC7" s="35" t="s">
        <v>603</v>
      </c>
      <c r="FD7" s="35" t="s">
        <v>603</v>
      </c>
      <c r="FE7" s="35" t="s">
        <v>603</v>
      </c>
      <c r="FF7" s="35" t="s">
        <v>603</v>
      </c>
      <c r="FG7" s="35" t="s">
        <v>603</v>
      </c>
      <c r="FH7" s="35" t="s">
        <v>603</v>
      </c>
      <c r="FI7" s="35" t="s">
        <v>603</v>
      </c>
      <c r="FJ7" s="35" t="s">
        <v>603</v>
      </c>
      <c r="FK7" s="35" t="s">
        <v>603</v>
      </c>
      <c r="FL7" s="35" t="s">
        <v>603</v>
      </c>
      <c r="FM7" s="35" t="s">
        <v>603</v>
      </c>
      <c r="FN7" s="35" t="s">
        <v>603</v>
      </c>
      <c r="FO7" s="35" t="s">
        <v>603</v>
      </c>
      <c r="FP7" s="35" t="s">
        <v>603</v>
      </c>
      <c r="FQ7" s="35" t="s">
        <v>603</v>
      </c>
      <c r="FR7" s="35" t="s">
        <v>603</v>
      </c>
      <c r="FS7" s="35" t="s">
        <v>603</v>
      </c>
      <c r="FT7" s="35" t="s">
        <v>603</v>
      </c>
      <c r="FU7" s="35" t="s">
        <v>603</v>
      </c>
      <c r="FV7" s="35" t="s">
        <v>603</v>
      </c>
      <c r="FW7" s="35" t="s">
        <v>603</v>
      </c>
      <c r="FX7" s="35" t="s">
        <v>603</v>
      </c>
      <c r="FY7" s="35" t="s">
        <v>603</v>
      </c>
      <c r="FZ7" s="35" t="s">
        <v>603</v>
      </c>
      <c r="GA7" s="35" t="s">
        <v>603</v>
      </c>
      <c r="GB7" s="35" t="s">
        <v>603</v>
      </c>
      <c r="GC7" s="35" t="s">
        <v>603</v>
      </c>
      <c r="GD7" s="35" t="s">
        <v>603</v>
      </c>
      <c r="GE7" s="35" t="s">
        <v>603</v>
      </c>
      <c r="GF7" s="35" t="s">
        <v>603</v>
      </c>
      <c r="GG7" s="35" t="s">
        <v>603</v>
      </c>
      <c r="GH7" s="35" t="s">
        <v>603</v>
      </c>
      <c r="GI7" s="35" t="s">
        <v>603</v>
      </c>
      <c r="GJ7" s="35" t="s">
        <v>603</v>
      </c>
      <c r="GK7" s="35" t="s">
        <v>603</v>
      </c>
      <c r="GL7" s="35" t="s">
        <v>603</v>
      </c>
      <c r="GM7" s="35" t="s">
        <v>603</v>
      </c>
      <c r="GN7" s="35" t="s">
        <v>603</v>
      </c>
      <c r="GO7" s="35" t="s">
        <v>603</v>
      </c>
      <c r="GP7" s="35" t="s">
        <v>603</v>
      </c>
      <c r="GQ7" s="35" t="s">
        <v>603</v>
      </c>
      <c r="GR7" s="35" t="s">
        <v>603</v>
      </c>
      <c r="GS7" s="36" t="s">
        <v>602</v>
      </c>
      <c r="GT7" s="35" t="s">
        <v>72</v>
      </c>
      <c r="GU7" s="36" t="s">
        <v>602</v>
      </c>
      <c r="GV7" s="36" t="s">
        <v>602</v>
      </c>
      <c r="GW7" s="36" t="s">
        <v>602</v>
      </c>
      <c r="GX7" s="36" t="s">
        <v>602</v>
      </c>
      <c r="GY7" s="36" t="s">
        <v>602</v>
      </c>
      <c r="GZ7" s="36" t="s">
        <v>602</v>
      </c>
      <c r="HA7" s="36" t="s">
        <v>602</v>
      </c>
      <c r="HB7" s="36" t="s">
        <v>602</v>
      </c>
      <c r="HC7" s="36" t="s">
        <v>602</v>
      </c>
      <c r="HD7" s="36" t="s">
        <v>602</v>
      </c>
      <c r="HE7" s="35" t="s">
        <v>67</v>
      </c>
      <c r="HF7" s="35" t="s">
        <v>67</v>
      </c>
      <c r="HG7" s="35" t="s">
        <v>67</v>
      </c>
      <c r="HH7" s="35" t="s">
        <v>67</v>
      </c>
      <c r="HI7" s="35" t="s">
        <v>67</v>
      </c>
      <c r="HJ7" s="35" t="s">
        <v>67</v>
      </c>
      <c r="HK7" s="35" t="s">
        <v>67</v>
      </c>
      <c r="HL7" s="35" t="s">
        <v>67</v>
      </c>
      <c r="HM7" s="35" t="s">
        <v>67</v>
      </c>
      <c r="HN7" s="35" t="s">
        <v>67</v>
      </c>
      <c r="HO7" s="35" t="s">
        <v>67</v>
      </c>
      <c r="HP7" s="35" t="s">
        <v>67</v>
      </c>
      <c r="HQ7" s="35" t="s">
        <v>67</v>
      </c>
      <c r="HR7" s="35" t="s">
        <v>67</v>
      </c>
      <c r="HS7" s="35" t="s">
        <v>67</v>
      </c>
      <c r="HT7" s="35" t="s">
        <v>67</v>
      </c>
      <c r="HU7" s="35" t="s">
        <v>67</v>
      </c>
      <c r="HV7" s="35" t="s">
        <v>67</v>
      </c>
      <c r="HW7" s="35" t="s">
        <v>67</v>
      </c>
      <c r="HX7" s="35" t="s">
        <v>67</v>
      </c>
      <c r="HY7" s="35" t="s">
        <v>67</v>
      </c>
      <c r="HZ7" s="35" t="s">
        <v>67</v>
      </c>
      <c r="IA7" s="35" t="s">
        <v>67</v>
      </c>
      <c r="IB7" s="35" t="s">
        <v>67</v>
      </c>
      <c r="IC7" s="35" t="s">
        <v>67</v>
      </c>
      <c r="ID7" s="35" t="s">
        <v>67</v>
      </c>
      <c r="IE7" s="35" t="s">
        <v>67</v>
      </c>
      <c r="IF7" s="35" t="s">
        <v>67</v>
      </c>
      <c r="IG7" s="35" t="s">
        <v>67</v>
      </c>
      <c r="IH7" s="35" t="s">
        <v>67</v>
      </c>
      <c r="II7" s="35" t="s">
        <v>67</v>
      </c>
      <c r="IJ7" s="35" t="s">
        <v>67</v>
      </c>
      <c r="IK7" s="35" t="s">
        <v>67</v>
      </c>
      <c r="IL7" s="36" t="s">
        <v>605</v>
      </c>
      <c r="IM7" s="36" t="s">
        <v>606</v>
      </c>
      <c r="IN7" s="36" t="s">
        <v>602</v>
      </c>
      <c r="IO7" s="35" t="s">
        <v>67</v>
      </c>
      <c r="IP7" s="36" t="s">
        <v>605</v>
      </c>
      <c r="IQ7" s="36" t="s">
        <v>606</v>
      </c>
      <c r="IR7" s="36" t="s">
        <v>602</v>
      </c>
      <c r="IS7" s="35" t="s">
        <v>67</v>
      </c>
      <c r="IT7" s="36" t="s">
        <v>605</v>
      </c>
      <c r="IU7" s="36" t="s">
        <v>606</v>
      </c>
      <c r="IV7" s="36" t="s">
        <v>602</v>
      </c>
      <c r="IW7" s="35" t="s">
        <v>67</v>
      </c>
      <c r="IX7" s="36" t="s">
        <v>605</v>
      </c>
      <c r="IY7" s="36" t="s">
        <v>606</v>
      </c>
      <c r="IZ7" s="36" t="s">
        <v>602</v>
      </c>
      <c r="JA7" s="35" t="s">
        <v>67</v>
      </c>
      <c r="JB7" s="36" t="s">
        <v>605</v>
      </c>
      <c r="JC7" s="36" t="s">
        <v>606</v>
      </c>
      <c r="JD7" s="36" t="s">
        <v>602</v>
      </c>
      <c r="JE7" s="35" t="s">
        <v>67</v>
      </c>
      <c r="JF7" s="36" t="s">
        <v>605</v>
      </c>
      <c r="JG7" s="36" t="s">
        <v>606</v>
      </c>
      <c r="JH7" s="36" t="s">
        <v>602</v>
      </c>
      <c r="JI7" s="35" t="s">
        <v>67</v>
      </c>
      <c r="JJ7" s="36" t="s">
        <v>605</v>
      </c>
      <c r="JK7" s="36" t="s">
        <v>606</v>
      </c>
      <c r="JL7" s="36" t="s">
        <v>602</v>
      </c>
      <c r="JM7" s="35" t="s">
        <v>67</v>
      </c>
      <c r="JN7" s="36" t="s">
        <v>605</v>
      </c>
      <c r="JO7" s="36" t="s">
        <v>606</v>
      </c>
      <c r="JP7" s="36" t="s">
        <v>602</v>
      </c>
      <c r="JQ7" s="35" t="s">
        <v>67</v>
      </c>
      <c r="JR7" s="36" t="s">
        <v>605</v>
      </c>
      <c r="JS7" s="36" t="s">
        <v>606</v>
      </c>
      <c r="JT7" s="36" t="s">
        <v>602</v>
      </c>
      <c r="JU7" s="35" t="s">
        <v>67</v>
      </c>
      <c r="JV7" s="36" t="s">
        <v>605</v>
      </c>
      <c r="JW7" s="36" t="s">
        <v>606</v>
      </c>
      <c r="JX7" s="36" t="s">
        <v>602</v>
      </c>
      <c r="JY7" s="36" t="s">
        <v>602</v>
      </c>
      <c r="JZ7" s="36" t="s">
        <v>607</v>
      </c>
      <c r="KA7" s="36" t="s">
        <v>602</v>
      </c>
      <c r="KB7" s="36" t="s">
        <v>608</v>
      </c>
      <c r="KC7" s="36" t="s">
        <v>609</v>
      </c>
      <c r="KD7" s="35" t="s">
        <v>72</v>
      </c>
      <c r="KE7" s="36" t="s">
        <v>610</v>
      </c>
      <c r="KF7" s="36" t="s">
        <v>602</v>
      </c>
      <c r="KG7" s="36" t="s">
        <v>611</v>
      </c>
      <c r="KH7" s="35" t="s">
        <v>72</v>
      </c>
      <c r="KI7" s="36" t="s">
        <v>602</v>
      </c>
      <c r="KJ7" s="36" t="s">
        <v>612</v>
      </c>
      <c r="KK7" s="36" t="s">
        <v>613</v>
      </c>
      <c r="KL7" s="36" t="s">
        <v>614</v>
      </c>
      <c r="KM7" s="35" t="s">
        <v>604</v>
      </c>
      <c r="KN7" s="36" t="s">
        <v>615</v>
      </c>
      <c r="KO7" s="36" t="s">
        <v>616</v>
      </c>
      <c r="KP7" s="36" t="s">
        <v>617</v>
      </c>
      <c r="KQ7" s="36" t="s">
        <v>618</v>
      </c>
      <c r="KR7" s="35" t="s">
        <v>603</v>
      </c>
      <c r="KS7" s="35" t="s">
        <v>603</v>
      </c>
      <c r="KT7" s="35" t="s">
        <v>603</v>
      </c>
      <c r="KU7" s="35" t="s">
        <v>72</v>
      </c>
      <c r="KV7" s="36" t="s">
        <v>602</v>
      </c>
      <c r="KW7" s="36" t="s">
        <v>602</v>
      </c>
      <c r="KX7" s="36" t="s">
        <v>602</v>
      </c>
      <c r="KY7" s="35" t="s">
        <v>72</v>
      </c>
      <c r="KZ7" s="36" t="s">
        <v>602</v>
      </c>
      <c r="LA7" s="35" t="s">
        <v>72</v>
      </c>
    </row>
    <row r="8" spans="1:313">
      <c r="B8" s="37" t="s">
        <v>619</v>
      </c>
      <c r="C8" s="37" t="s">
        <v>620</v>
      </c>
      <c r="D8" s="37" t="s">
        <v>620</v>
      </c>
      <c r="E8" s="37" t="s">
        <v>620</v>
      </c>
      <c r="F8" s="38"/>
      <c r="G8" s="38"/>
      <c r="H8" s="37" t="s">
        <v>620</v>
      </c>
      <c r="I8" s="37" t="s">
        <v>620</v>
      </c>
      <c r="J8" s="37" t="s">
        <v>620</v>
      </c>
      <c r="K8" s="37" t="s">
        <v>620</v>
      </c>
      <c r="L8" s="37" t="s">
        <v>620</v>
      </c>
      <c r="M8" s="37" t="s">
        <v>620</v>
      </c>
      <c r="N8" s="37" t="s">
        <v>620</v>
      </c>
      <c r="O8" s="37" t="s">
        <v>620</v>
      </c>
      <c r="P8" s="37" t="s">
        <v>620</v>
      </c>
      <c r="Q8" s="37" t="s">
        <v>620</v>
      </c>
      <c r="R8" s="37" t="s">
        <v>620</v>
      </c>
      <c r="S8" s="37" t="s">
        <v>620</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7" t="s">
        <v>620</v>
      </c>
      <c r="HF8" s="37" t="s">
        <v>620</v>
      </c>
      <c r="HG8" s="37" t="s">
        <v>620</v>
      </c>
      <c r="HH8" s="37" t="s">
        <v>620</v>
      </c>
      <c r="HI8" s="37" t="s">
        <v>620</v>
      </c>
      <c r="HJ8" s="37" t="s">
        <v>620</v>
      </c>
      <c r="HK8" s="37" t="s">
        <v>620</v>
      </c>
      <c r="HL8" s="37" t="s">
        <v>620</v>
      </c>
      <c r="HM8" s="37" t="s">
        <v>620</v>
      </c>
      <c r="HN8" s="37" t="s">
        <v>620</v>
      </c>
      <c r="HO8" s="37" t="s">
        <v>620</v>
      </c>
      <c r="HP8" s="37" t="s">
        <v>620</v>
      </c>
      <c r="HQ8" s="37" t="s">
        <v>620</v>
      </c>
      <c r="HR8" s="37" t="s">
        <v>620</v>
      </c>
      <c r="HS8" s="37" t="s">
        <v>620</v>
      </c>
      <c r="HT8" s="37" t="s">
        <v>620</v>
      </c>
      <c r="HU8" s="37" t="s">
        <v>620</v>
      </c>
      <c r="HV8" s="37" t="s">
        <v>620</v>
      </c>
      <c r="HW8" s="37" t="s">
        <v>620</v>
      </c>
      <c r="HX8" s="37" t="s">
        <v>620</v>
      </c>
      <c r="HY8" s="37" t="s">
        <v>620</v>
      </c>
      <c r="HZ8" s="37" t="s">
        <v>620</v>
      </c>
      <c r="IA8" s="37" t="s">
        <v>620</v>
      </c>
      <c r="IB8" s="37" t="s">
        <v>620</v>
      </c>
      <c r="IC8" s="37" t="s">
        <v>620</v>
      </c>
      <c r="ID8" s="37" t="s">
        <v>620</v>
      </c>
      <c r="IE8" s="37" t="s">
        <v>620</v>
      </c>
      <c r="IF8" s="37" t="s">
        <v>620</v>
      </c>
      <c r="IG8" s="37" t="s">
        <v>620</v>
      </c>
      <c r="IH8" s="37" t="s">
        <v>620</v>
      </c>
      <c r="II8" s="37" t="s">
        <v>620</v>
      </c>
      <c r="IJ8" s="37" t="s">
        <v>620</v>
      </c>
      <c r="IK8" s="37" t="s">
        <v>620</v>
      </c>
      <c r="IL8" s="37" t="s">
        <v>620</v>
      </c>
      <c r="IM8" s="37" t="s">
        <v>620</v>
      </c>
      <c r="IN8" s="37" t="s">
        <v>620</v>
      </c>
      <c r="IO8" s="37" t="s">
        <v>620</v>
      </c>
      <c r="IP8" s="37" t="s">
        <v>620</v>
      </c>
      <c r="IQ8" s="37" t="s">
        <v>620</v>
      </c>
      <c r="IR8" s="37" t="s">
        <v>620</v>
      </c>
      <c r="IS8" s="37" t="s">
        <v>620</v>
      </c>
      <c r="IT8" s="37" t="s">
        <v>620</v>
      </c>
      <c r="IU8" s="37" t="s">
        <v>620</v>
      </c>
      <c r="IV8" s="37" t="s">
        <v>620</v>
      </c>
      <c r="IW8" s="37" t="s">
        <v>620</v>
      </c>
      <c r="IX8" s="37" t="s">
        <v>620</v>
      </c>
      <c r="IY8" s="37" t="s">
        <v>620</v>
      </c>
      <c r="IZ8" s="37" t="s">
        <v>620</v>
      </c>
      <c r="JA8" s="37" t="s">
        <v>620</v>
      </c>
      <c r="JB8" s="37" t="s">
        <v>620</v>
      </c>
      <c r="JC8" s="37" t="s">
        <v>620</v>
      </c>
      <c r="JD8" s="37" t="s">
        <v>620</v>
      </c>
      <c r="JE8" s="37" t="s">
        <v>620</v>
      </c>
      <c r="JF8" s="37" t="s">
        <v>620</v>
      </c>
      <c r="JG8" s="37" t="s">
        <v>620</v>
      </c>
      <c r="JH8" s="37" t="s">
        <v>620</v>
      </c>
      <c r="JI8" s="37" t="s">
        <v>620</v>
      </c>
      <c r="JJ8" s="37" t="s">
        <v>620</v>
      </c>
      <c r="JK8" s="37" t="s">
        <v>620</v>
      </c>
      <c r="JL8" s="37" t="s">
        <v>620</v>
      </c>
      <c r="JM8" s="37" t="s">
        <v>620</v>
      </c>
      <c r="JN8" s="37" t="s">
        <v>620</v>
      </c>
      <c r="JO8" s="37" t="s">
        <v>620</v>
      </c>
      <c r="JP8" s="37" t="s">
        <v>620</v>
      </c>
      <c r="JQ8" s="37" t="s">
        <v>620</v>
      </c>
      <c r="JR8" s="37" t="s">
        <v>620</v>
      </c>
      <c r="JS8" s="37" t="s">
        <v>620</v>
      </c>
      <c r="JT8" s="37" t="s">
        <v>620</v>
      </c>
      <c r="JU8" s="37" t="s">
        <v>620</v>
      </c>
      <c r="JV8" s="37" t="s">
        <v>620</v>
      </c>
      <c r="JW8" s="37" t="s">
        <v>620</v>
      </c>
      <c r="JX8" s="37" t="s">
        <v>620</v>
      </c>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row>
    <row r="9" spans="1:313">
      <c r="A9" cm="1">
        <f t="array" ref="A9">_xlfn.BYROW('3757-S-WUO_TRK'!B9:LA508, _xlfn.LAMBDA(_xlpm.r, _xlfn.LET(_xlpm.high_priority_idx, IFERROR(MATCH(TRUE, (_xlpm.r = "Error") + (_xlpm.r = "Required") &gt; 0, 0), 0), IF(_xlpm.high_priority_idx &gt; 0, _xlpm.high_priority_idx + 1, IFERROR(MATCH(1, (_xlpm.r = "Warning") * 1, 0) + 1, "")))))</f>
        <v>0</v>
      </c>
      <c r="B9" s="22" cm="1">
        <f t="array" ref="B9">_xlfn.MAP('3757 - Wall Stickers (S)'!B9:B508, '3757 - Wall Stickers (S)'!B9:B508, '3757-S-WUO_ERR'!B9:B508, _xlfn.LAMBDA(_xlpm.part, _xlpm.val, _xlpm.error, IF(_xlpm.part = "", "", IF(LEN(_xlpm.error), _xlfn.SWITCH(IFERROR(_xlfn.TEXTBEFORE(_xlpm.error,":"), ""), "1", "Error", "2", "Disabled", "3", "Required", "4", "Warning", "Valid"), "Valid"))))</f>
        <v>0</v>
      </c>
      <c r="C9" s="22" cm="1">
        <f t="array" ref="C9">_xlfn.MAP('3757 - Wall Stickers (S)'!B9:B508, '3757 - Wall Stickers (S)'!C9:C508, '3757-S-WUO_ERR'!C9:C508, _xlfn.LAMBDA(_xlpm.part, _xlpm.val, _xlpm.error, IF(_xlpm.part = "", "", IF(LEN(_xlpm.error), _xlfn.SWITCH(IFERROR(_xlfn.TEXTBEFORE(_xlpm.error,":"), ""), "1", "Error", "2", "Disabled", "3", "Required", "4", "Warning", "Valid"), "Valid"))))</f>
        <v>0</v>
      </c>
      <c r="D9" s="22" cm="1">
        <f t="array" ref="D9">_xlfn.MAP('3757 - Wall Stickers (S)'!B9:B508, '3757 - Wall Stickers (S)'!D9:D508, '3757-S-WUO_ERR'!D9:D508, _xlfn.LAMBDA(_xlpm.part, _xlpm.val, _xlpm.error, IF(_xlpm.part = "", "", IF(LEN(_xlpm.error), _xlfn.SWITCH(IFERROR(_xlfn.TEXTBEFORE(_xlpm.error,":"), ""), "1", "Error", "2", "Disabled", "3", "Required", "4", "Warning", "Valid"), "Valid"))))</f>
        <v>0</v>
      </c>
      <c r="E9" s="22" cm="1">
        <f t="array" ref="E9">_xlfn.MAP('3757 - Wall Stickers (S)'!B9:B508, '3757 - Wall Stickers (S)'!E9:E508, '3757-S-WUO_ERR'!E9:E508, _xlfn.LAMBDA(_xlpm.part, _xlpm.val, _xlpm.error, IF(_xlpm.part = "", "", IF(LEN(_xlpm.error), _xlfn.SWITCH(IFERROR(_xlfn.TEXTBEFORE(_xlpm.error,":"), ""), "1", "Error", "2", "Disabled", "3", "Required", "4", "Warning", "Valid"), "Valid"))))</f>
        <v>0</v>
      </c>
      <c r="F9" s="22" cm="1">
        <f t="array" ref="F9">_xlfn.MAP('3757 - Wall Stickers (S)'!B9:B508, '3757 - Wall Stickers (S)'!F9:F508, '3757-S-WUO_ERR'!F9:F508, _xlfn.LAMBDA(_xlpm.part, _xlpm.val, _xlpm.error, IF(_xlpm.part = "", "", IF(LEN(_xlpm.error), _xlfn.SWITCH(IFERROR(_xlfn.TEXTBEFORE(_xlpm.error,":"), ""), "1", "Error", "2", "Disabled", "3", "Required", "4", "Warning", "Valid"), "Valid"))))</f>
        <v>0</v>
      </c>
      <c r="G9" s="22" cm="1">
        <f t="array" ref="G9">_xlfn.MAP('3757 - Wall Stickers (S)'!B9:B508, '3757 - Wall Stickers (S)'!G9:G508, '3757-S-WUO_ERR'!G9:G508, _xlfn.LAMBDA(_xlpm.part, _xlpm.val, _xlpm.error, IF(_xlpm.part = "", "", IF(LEN(_xlpm.error), _xlfn.SWITCH(IFERROR(_xlfn.TEXTBEFORE(_xlpm.error,":"), ""), "1", "Error", "2", "Disabled", "3", "Required", "4", "Warning", "Valid"), "Valid"))))</f>
        <v>0</v>
      </c>
      <c r="H9" s="22" cm="1">
        <f t="array" ref="H9">_xlfn.MAP('3757 - Wall Stickers (S)'!B9:B508, '3757 - Wall Stickers (S)'!H9:H508, '3757-S-WUO_ERR'!H9:H508, _xlfn.LAMBDA(_xlpm.part, _xlpm.val, _xlpm.error, IF(_xlpm.part = "", "", IF(LEN(_xlpm.error), _xlfn.SWITCH(IFERROR(_xlfn.TEXTBEFORE(_xlpm.error,":"), ""), "1", "Error", "2", "Disabled", "3", "Required", "4", "Warning", "Valid"), "Valid"))))</f>
        <v>0</v>
      </c>
      <c r="I9" s="22" cm="1">
        <f t="array" ref="I9">_xlfn.MAP('3757 - Wall Stickers (S)'!B9:B508, '3757 - Wall Stickers (S)'!I9:I508, '3757-S-WUO_ERR'!I9:I508, _xlfn.LAMBDA(_xlpm.part, _xlpm.val, _xlpm.error, IF(_xlpm.part = "", "", IF(LEN(_xlpm.error), _xlfn.SWITCH(IFERROR(_xlfn.TEXTBEFORE(_xlpm.error,":"), ""), "1", "Error", "2", "Disabled", "3", "Required", "4", "Warning", "Valid"), "Valid"))))</f>
        <v>0</v>
      </c>
      <c r="J9" s="22" cm="1">
        <f t="array" ref="J9">_xlfn.MAP('3757 - Wall Stickers (S)'!B9:B508, '3757 - Wall Stickers (S)'!J9:J508, '3757-S-WUO_ERR'!J9:J508, _xlfn.LAMBDA(_xlpm.part, _xlpm.val, _xlpm.error, IF(_xlpm.part = "", "", IF(LEN(_xlpm.error), _xlfn.SWITCH(IFERROR(_xlfn.TEXTBEFORE(_xlpm.error,":"), ""), "1", "Error", "2", "Disabled", "3", "Required", "4", "Warning", "Valid"), "Valid"))))</f>
        <v>0</v>
      </c>
      <c r="K9" s="22" cm="1">
        <f t="array" ref="K9">_xlfn.MAP('3757 - Wall Stickers (S)'!B9:B508, '3757 - Wall Stickers (S)'!K9:K508, '3757-S-WUO_ERR'!K9:K508, _xlfn.LAMBDA(_xlpm.part, _xlpm.val, _xlpm.error, IF(_xlpm.part = "", "", IF(LEN(_xlpm.error), _xlfn.SWITCH(IFERROR(_xlfn.TEXTBEFORE(_xlpm.error,":"), ""), "1", "Error", "2", "Disabled", "3", "Required", "4", "Warning", "Valid"), "Valid"))))</f>
        <v>0</v>
      </c>
      <c r="P9" s="22" cm="1">
        <f t="array" ref="P9">_xlfn.MAP('3757 - Wall Stickers (S)'!B9:B508, '3757 - Wall Stickers (S)'!P9:P508, '3757-S-WUO_ERR'!P9:P508, _xlfn.LAMBDA(_xlpm.part, _xlpm.val, _xlpm.error, IF(_xlpm.part = "", "", IF(LEN(_xlpm.error), _xlfn.SWITCH(IFERROR(_xlfn.TEXTBEFORE(_xlpm.error,":"), ""), "1", "Error", "2", "Disabled", "3", "Required", "4", "Warning", "Valid"), "Valid"))))</f>
        <v>0</v>
      </c>
      <c r="Q9" s="22" cm="1">
        <f t="array" ref="Q9">_xlfn.MAP('3757 - Wall Stickers (S)'!B9:B508, '3757 - Wall Stickers (S)'!Q9:Q508, '3757-S-WUO_ERR'!Q9:Q508, _xlfn.LAMBDA(_xlpm.part, _xlpm.val, _xlpm.error, IF(_xlpm.part = "", "", IF(LEN(_xlpm.error), _xlfn.SWITCH(IFERROR(_xlfn.TEXTBEFORE(_xlpm.error,":"), ""), "1", "Error", "2", "Disabled", "3", "Required", "4", "Warning", "Valid"), "Valid"))))</f>
        <v>0</v>
      </c>
      <c r="R9" s="22" cm="1">
        <f t="array" ref="R9">_xlfn.MAP('3757 - Wall Stickers (S)'!B9:B508, '3757 - Wall Stickers (S)'!R9:R508, '3757-S-WUO_ERR'!R9:R508, _xlfn.LAMBDA(_xlpm.part, _xlpm.val, _xlpm.error, IF(_xlpm.part = "", "", IF(LEN(_xlpm.error), _xlfn.SWITCH(IFERROR(_xlfn.TEXTBEFORE(_xlpm.error,":"), ""), "1", "Error", "2", "Disabled", "3", "Required", "4", "Warning", "Valid"), "Valid"))))</f>
        <v>0</v>
      </c>
      <c r="S9" s="22" cm="1">
        <f t="array" ref="S9">_xlfn.MAP('3757 - Wall Stickers (S)'!B9:B508, '3757 - Wall Stickers (S)'!S9:S508, '3757-S-WUO_ERR'!S9:S508, _xlfn.LAMBDA(_xlpm.part, _xlpm.val, _xlpm.error, IF(_xlpm.part = "", "", IF(LEN(_xlpm.error), _xlfn.SWITCH(IFERROR(_xlfn.TEXTBEFORE(_xlpm.error,":"), ""), "1", "Error", "2", "Disabled", "3", "Required", "4", "Warning", "Valid"), "Valid"))))</f>
        <v>0</v>
      </c>
      <c r="T9" s="22" cm="1">
        <f t="array" ref="T9">_xlfn.MAP('3757 - Wall Stickers (S)'!B9:B508, '3757 - Wall Stickers (S)'!T9:T508, '3757-S-WUO_ERR'!T9:T508, _xlfn.LAMBDA(_xlpm.part, _xlpm.val, _xlpm.error, IF(_xlpm.part = "", "", IF(LEN(_xlpm.error), _xlfn.SWITCH(IFERROR(_xlfn.TEXTBEFORE(_xlpm.error,":"), ""), "1", "Error", "2", "Disabled", "3", "Required", "4", "Warning", "Valid"), "Valid"))))</f>
        <v>0</v>
      </c>
      <c r="U9" s="22" cm="1">
        <f t="array" ref="U9">_xlfn.MAP('3757 - Wall Stickers (S)'!B9:B508, '3757 - Wall Stickers (S)'!U9:U508, '3757-S-WUO_ERR'!U9:U508, _xlfn.LAMBDA(_xlpm.part, _xlpm.val, _xlpm.error, IF(_xlpm.part = "", "", IF(LEN(_xlpm.error), _xlfn.SWITCH(IFERROR(_xlfn.TEXTBEFORE(_xlpm.error,":"), ""), "1", "Error", "2", "Disabled", "3", "Required", "4", "Warning", "Valid"), "Valid"))))</f>
        <v>0</v>
      </c>
      <c r="V9" s="22" cm="1">
        <f t="array" ref="V9">_xlfn.MAP('3757 - Wall Stickers (S)'!B9:B508, '3757 - Wall Stickers (S)'!V9:V508, '3757-S-WUO_ERR'!V9:V508, _xlfn.LAMBDA(_xlpm.part, _xlpm.val, _xlpm.error, IF(_xlpm.part = "", "", IF(LEN(_xlpm.error), _xlfn.SWITCH(IFERROR(_xlfn.TEXTBEFORE(_xlpm.error,":"), ""), "1", "Error", "2", "Disabled", "3", "Required", "4", "Warning", "Valid"), "Valid"))))</f>
        <v>0</v>
      </c>
      <c r="W9" s="22" cm="1">
        <f t="array" ref="W9">_xlfn.MAP('3757 - Wall Stickers (S)'!B9:B508, '3757 - Wall Stickers (S)'!W9:W508, '3757-S-WUO_ERR'!W9:W508, _xlfn.LAMBDA(_xlpm.part, _xlpm.val, _xlpm.error, IF(_xlpm.part = "", "", IF(LEN(_xlpm.error), _xlfn.SWITCH(IFERROR(_xlfn.TEXTBEFORE(_xlpm.error,":"), ""), "1", "Error", "2", "Disabled", "3", "Required", "4", "Warning", "Valid"), "Valid"))))</f>
        <v>0</v>
      </c>
      <c r="AC9" s="22" cm="1">
        <f t="array" ref="AC9">_xlfn.MAP('3757 - Wall Stickers (S)'!B9:B508, '3757 - Wall Stickers (S)'!AC9:AC508, '3757-S-WUO_ERR'!AC9:AC508, _xlfn.LAMBDA(_xlpm.part, _xlpm.val, _xlpm.error, IF(_xlpm.part = "", "", IF(LEN(_xlpm.error), _xlfn.SWITCH(IFERROR(_xlfn.TEXTBEFORE(_xlpm.error,":"), ""), "1", "Error", "2", "Disabled", "3", "Required", "4", "Warning", "Valid"), "Valid"))))</f>
        <v>0</v>
      </c>
      <c r="AD9" s="22" cm="1">
        <f t="array" ref="AD9">_xlfn.MAP('3757 - Wall Stickers (S)'!B9:B508, '3757 - Wall Stickers (S)'!AD9:AD508, '3757-S-WUO_ERR'!AD9:AD508, _xlfn.LAMBDA(_xlpm.part, _xlpm.val, _xlpm.error, IF(_xlpm.part = "", "", IF(LEN(_xlpm.error), _xlfn.SWITCH(IFERROR(_xlfn.TEXTBEFORE(_xlpm.error,":"), ""), "1", "Error", "2", "Disabled", "3", "Required", "4", "Warning", "Valid"), "Valid"))))</f>
        <v>0</v>
      </c>
      <c r="AE9" s="22" cm="1">
        <f t="array" ref="AE9">_xlfn.MAP('3757 - Wall Stickers (S)'!B9:B508, '3757 - Wall Stickers (S)'!AE9:AE508, '3757-S-WUO_ERR'!AE9:AE508, _xlfn.LAMBDA(_xlpm.part, _xlpm.val, _xlpm.error, IF(_xlpm.part = "", "", IF(LEN(_xlpm.error), _xlfn.SWITCH(IFERROR(_xlfn.TEXTBEFORE(_xlpm.error,":"), ""), "1", "Error", "2", "Disabled", "3", "Required", "4", "Warning", "Valid"), "Valid"))))</f>
        <v>0</v>
      </c>
      <c r="AF9" s="22" cm="1">
        <f t="array" ref="AF9">_xlfn.MAP('3757 - Wall Stickers (S)'!B9:B508, '3757 - Wall Stickers (S)'!AF9:AF508, '3757-S-WUO_ERR'!AF9:AF508, _xlfn.LAMBDA(_xlpm.part, _xlpm.val, _xlpm.error, IF(_xlpm.part = "", "", IF(LEN(_xlpm.error), _xlfn.SWITCH(IFERROR(_xlfn.TEXTBEFORE(_xlpm.error,":"), ""), "1", "Error", "2", "Disabled", "3", "Required", "4", "Warning", "Valid"), "Valid"))))</f>
        <v>0</v>
      </c>
      <c r="AG9" s="22" cm="1">
        <f t="array" ref="AG9">_xlfn.MAP('3757 - Wall Stickers (S)'!B9:B508, '3757 - Wall Stickers (S)'!AG9:AG508, '3757-S-WUO_ERR'!AG9:AG508, _xlfn.LAMBDA(_xlpm.part, _xlpm.val, _xlpm.error, IF(_xlpm.part = "", "", IF(LEN(_xlpm.error), _xlfn.SWITCH(IFERROR(_xlfn.TEXTBEFORE(_xlpm.error,":"), ""), "1", "Error", "2", "Disabled", "3", "Required", "4", "Warning", "Valid"), "Valid"))))</f>
        <v>0</v>
      </c>
      <c r="AH9" s="22" cm="1">
        <f t="array" ref="AH9">_xlfn.MAP('3757 - Wall Stickers (S)'!B9:B508, '3757 - Wall Stickers (S)'!AH9:AH508, '3757-S-WUO_ERR'!AH9:AH508, _xlfn.LAMBDA(_xlpm.part, _xlpm.val, _xlpm.error, IF(_xlpm.part = "", "", IF(LEN(_xlpm.error), _xlfn.SWITCH(IFERROR(_xlfn.TEXTBEFORE(_xlpm.error,":"), ""), "1", "Error", "2", "Disabled", "3", "Required", "4", "Warning", "Valid"), "Valid"))))</f>
        <v>0</v>
      </c>
      <c r="AI9" s="22" cm="1">
        <f t="array" ref="AI9">_xlfn.MAP('3757 - Wall Stickers (S)'!B9:B508, '3757 - Wall Stickers (S)'!AI9:AI508, '3757-S-WUO_ERR'!AI9:AI508, _xlfn.LAMBDA(_xlpm.part, _xlpm.val, _xlpm.error, IF(_xlpm.part = "", "", IF(LEN(_xlpm.error), _xlfn.SWITCH(IFERROR(_xlfn.TEXTBEFORE(_xlpm.error,":"), ""), "1", "Error", "2", "Disabled", "3", "Required", "4", "Warning", "Valid"), "Valid"))))</f>
        <v>0</v>
      </c>
      <c r="AJ9" s="22" cm="1">
        <f t="array" ref="AJ9">_xlfn.MAP('3757 - Wall Stickers (S)'!B9:B508, '3757 - Wall Stickers (S)'!AJ9:AJ508, '3757-S-WUO_ERR'!AJ9:AJ508, _xlfn.LAMBDA(_xlpm.part, _xlpm.val, _xlpm.error, IF(_xlpm.part = "", "", IF(LEN(_xlpm.error), _xlfn.SWITCH(IFERROR(_xlfn.TEXTBEFORE(_xlpm.error,":"), ""), "1", "Error", "2", "Disabled", "3", "Required", "4", "Warning", "Valid"), "Valid"))))</f>
        <v>0</v>
      </c>
      <c r="AK9" s="22" cm="1">
        <f t="array" ref="AK9">_xlfn.MAP('3757 - Wall Stickers (S)'!B9:B508, '3757 - Wall Stickers (S)'!AK9:AK508, '3757-S-WUO_ERR'!AK9:AK508, _xlfn.LAMBDA(_xlpm.part, _xlpm.val, _xlpm.error, IF(_xlpm.part = "", "", IF(LEN(_xlpm.error), _xlfn.SWITCH(IFERROR(_xlfn.TEXTBEFORE(_xlpm.error,":"), ""), "1", "Error", "2", "Disabled", "3", "Required", "4", "Warning", "Valid"), "Valid"))))</f>
        <v>0</v>
      </c>
      <c r="AL9" s="22" cm="1">
        <f t="array" ref="AL9">_xlfn.MAP('3757 - Wall Stickers (S)'!B9:B508, '3757 - Wall Stickers (S)'!AL9:AL508, '3757-S-WUO_ERR'!AL9:AL508, _xlfn.LAMBDA(_xlpm.part, _xlpm.val, _xlpm.error, IF(_xlpm.part = "", "", IF(LEN(_xlpm.error), _xlfn.SWITCH(IFERROR(_xlfn.TEXTBEFORE(_xlpm.error,":"), ""), "1", "Error", "2", "Disabled", "3", "Required", "4", "Warning", "Valid"), "Valid"))))</f>
        <v>0</v>
      </c>
      <c r="AM9" s="22" cm="1">
        <f t="array" ref="AM9">_xlfn.MAP('3757 - Wall Stickers (S)'!B9:B508, '3757 - Wall Stickers (S)'!AM9:AM508, '3757-S-WUO_ERR'!AM9:AM508, _xlfn.LAMBDA(_xlpm.part, _xlpm.val, _xlpm.error, IF(_xlpm.part = "", "", IF(LEN(_xlpm.error), _xlfn.SWITCH(IFERROR(_xlfn.TEXTBEFORE(_xlpm.error,":"), ""), "1", "Error", "2", "Disabled", "3", "Required", "4", "Warning", "Valid"), "Valid"))))</f>
        <v>0</v>
      </c>
      <c r="AN9" s="22" cm="1">
        <f t="array" ref="AN9">_xlfn.MAP('3757 - Wall Stickers (S)'!B9:B508, '3757 - Wall Stickers (S)'!AN9:AN508, '3757-S-WUO_ERR'!AN9:AN508, _xlfn.LAMBDA(_xlpm.part, _xlpm.val, _xlpm.error, IF(_xlpm.part = "", "", IF(LEN(_xlpm.error), _xlfn.SWITCH(IFERROR(_xlfn.TEXTBEFORE(_xlpm.error,":"), ""), "1", "Error", "2", "Disabled", "3", "Required", "4", "Warning", "Valid"), "Valid"))))</f>
        <v>0</v>
      </c>
      <c r="AO9" s="22" cm="1">
        <f t="array" ref="AO9">_xlfn.MAP('3757 - Wall Stickers (S)'!B9:B508, '3757 - Wall Stickers (S)'!AO9:AO508, '3757-S-WUO_ERR'!AO9:AO508, _xlfn.LAMBDA(_xlpm.part, _xlpm.val, _xlpm.error, IF(_xlpm.part = "", "", IF(LEN(_xlpm.error), _xlfn.SWITCH(IFERROR(_xlfn.TEXTBEFORE(_xlpm.error,":"), ""), "1", "Error", "2", "Disabled", "3", "Required", "4", "Warning", "Valid"), "Valid"))))</f>
        <v>0</v>
      </c>
      <c r="AP9" s="22" cm="1">
        <f t="array" ref="AP9">_xlfn.MAP('3757 - Wall Stickers (S)'!B9:B508, '3757 - Wall Stickers (S)'!AP9:AP508, '3757-S-WUO_ERR'!AP9:AP508, _xlfn.LAMBDA(_xlpm.part, _xlpm.val, _xlpm.error, IF(_xlpm.part = "", "", IF(LEN(_xlpm.error), _xlfn.SWITCH(IFERROR(_xlfn.TEXTBEFORE(_xlpm.error,":"), ""), "1", "Error", "2", "Disabled", "3", "Required", "4", "Warning", "Valid"), "Valid"))))</f>
        <v>0</v>
      </c>
      <c r="AQ9" s="22" cm="1">
        <f t="array" ref="AQ9">_xlfn.MAP('3757 - Wall Stickers (S)'!B9:B508, '3757 - Wall Stickers (S)'!AQ9:AQ508, '3757-S-WUO_ERR'!AQ9:AQ508, _xlfn.LAMBDA(_xlpm.part, _xlpm.val, _xlpm.error, IF(_xlpm.part = "", "", IF(LEN(_xlpm.error), _xlfn.SWITCH(IFERROR(_xlfn.TEXTBEFORE(_xlpm.error,":"), ""), "1", "Error", "2", "Disabled", "3", "Required", "4", "Warning", "Valid"), "Valid"))))</f>
        <v>0</v>
      </c>
      <c r="AR9" s="22" cm="1">
        <f t="array" ref="AR9">_xlfn.MAP('3757 - Wall Stickers (S)'!B9:B508, '3757 - Wall Stickers (S)'!AR9:AR508, '3757-S-WUO_ERR'!AR9:AR508, _xlfn.LAMBDA(_xlpm.part, _xlpm.val, _xlpm.error, IF(_xlpm.part = "", "", IF(LEN(_xlpm.error), _xlfn.SWITCH(IFERROR(_xlfn.TEXTBEFORE(_xlpm.error,":"), ""), "1", "Error", "2", "Disabled", "3", "Required", "4", "Warning", "Valid"), "Valid"))))</f>
        <v>0</v>
      </c>
      <c r="AS9" s="22" cm="1">
        <f t="array" ref="AS9">_xlfn.MAP('3757 - Wall Stickers (S)'!B9:B508, '3757 - Wall Stickers (S)'!AS9:AS508, '3757-S-WUO_ERR'!AS9:AS508, _xlfn.LAMBDA(_xlpm.part, _xlpm.val, _xlpm.error, IF(_xlpm.part = "", "", IF(LEN(_xlpm.error), _xlfn.SWITCH(IFERROR(_xlfn.TEXTBEFORE(_xlpm.error,":"), ""), "1", "Error", "2", "Disabled", "3", "Required", "4", "Warning", "Valid"), "Valid"))))</f>
        <v>0</v>
      </c>
      <c r="AT9" s="22" cm="1">
        <f t="array" ref="AT9">_xlfn.MAP('3757 - Wall Stickers (S)'!B9:B508, '3757 - Wall Stickers (S)'!AT9:AT508, '3757-S-WUO_ERR'!AT9:AT508, _xlfn.LAMBDA(_xlpm.part, _xlpm.val, _xlpm.error, IF(_xlpm.part = "", "", IF(LEN(_xlpm.error), _xlfn.SWITCH(IFERROR(_xlfn.TEXTBEFORE(_xlpm.error,":"), ""), "1", "Error", "2", "Disabled", "3", "Required", "4", "Warning", "Valid"), "Valid"))))</f>
        <v>0</v>
      </c>
      <c r="AU9" s="22" cm="1">
        <f t="array" ref="AU9">_xlfn.MAP('3757 - Wall Stickers (S)'!B9:B508, '3757 - Wall Stickers (S)'!AU9:AU508, '3757-S-WUO_ERR'!AU9:AU508, _xlfn.LAMBDA(_xlpm.part, _xlpm.val, _xlpm.error, IF(_xlpm.part = "", "", IF(LEN(_xlpm.error), _xlfn.SWITCH(IFERROR(_xlfn.TEXTBEFORE(_xlpm.error,":"), ""), "1", "Error", "2", "Disabled", "3", "Required", "4", "Warning", "Valid"), "Valid"))))</f>
        <v>0</v>
      </c>
      <c r="AV9" s="22" cm="1">
        <f t="array" ref="AV9">_xlfn.MAP('3757 - Wall Stickers (S)'!B9:B508, '3757 - Wall Stickers (S)'!AV9:AV508, '3757-S-WUO_ERR'!AV9:AV508, _xlfn.LAMBDA(_xlpm.part, _xlpm.val, _xlpm.error, IF(_xlpm.part = "", "", IF(LEN(_xlpm.error), _xlfn.SWITCH(IFERROR(_xlfn.TEXTBEFORE(_xlpm.error,":"), ""), "1", "Error", "2", "Disabled", "3", "Required", "4", "Warning", "Valid"), "Valid"))))</f>
        <v>0</v>
      </c>
      <c r="AW9" s="22" cm="1">
        <f t="array" ref="AW9">_xlfn.MAP('3757 - Wall Stickers (S)'!B9:B508, '3757 - Wall Stickers (S)'!AW9:AW508, '3757-S-WUO_ERR'!AW9:AW508, _xlfn.LAMBDA(_xlpm.part, _xlpm.val, _xlpm.error, IF(_xlpm.part = "", "", IF(LEN(_xlpm.error), _xlfn.SWITCH(IFERROR(_xlfn.TEXTBEFORE(_xlpm.error,":"), ""), "1", "Error", "2", "Disabled", "3", "Required", "4", "Warning", "Valid"), "Valid"))))</f>
        <v>0</v>
      </c>
      <c r="AX9" s="22" cm="1">
        <f t="array" ref="AX9">_xlfn.MAP('3757 - Wall Stickers (S)'!B9:B508, '3757 - Wall Stickers (S)'!AX9:AX508, '3757-S-WUO_ERR'!AX9:AX508, _xlfn.LAMBDA(_xlpm.part, _xlpm.val, _xlpm.error, IF(_xlpm.part = "", "", IF(LEN(_xlpm.error), _xlfn.SWITCH(IFERROR(_xlfn.TEXTBEFORE(_xlpm.error,":"), ""), "1", "Error", "2", "Disabled", "3", "Required", "4", "Warning", "Valid"), "Valid"))))</f>
        <v>0</v>
      </c>
      <c r="AY9" s="22" cm="1">
        <f t="array" ref="AY9">_xlfn.MAP('3757 - Wall Stickers (S)'!B9:B508, '3757 - Wall Stickers (S)'!AY9:AY508, '3757-S-WUO_ERR'!AY9:AY508, _xlfn.LAMBDA(_xlpm.part, _xlpm.val, _xlpm.error, IF(_xlpm.part = "", "", IF(LEN(_xlpm.error), _xlfn.SWITCH(IFERROR(_xlfn.TEXTBEFORE(_xlpm.error,":"), ""), "1", "Error", "2", "Disabled", "3", "Required", "4", "Warning", "Valid"), "Valid"))))</f>
        <v>0</v>
      </c>
      <c r="AZ9" s="22" cm="1">
        <f t="array" ref="AZ9">_xlfn.MAP('3757 - Wall Stickers (S)'!B9:B508, '3757 - Wall Stickers (S)'!AZ9:AZ508, '3757-S-WUO_ERR'!AZ9:AZ508, _xlfn.LAMBDA(_xlpm.part, _xlpm.val, _xlpm.error, IF(_xlpm.part = "", "", IF(LEN(_xlpm.error), _xlfn.SWITCH(IFERROR(_xlfn.TEXTBEFORE(_xlpm.error,":"), ""), "1", "Error", "2", "Disabled", "3", "Required", "4", "Warning", "Valid"), "Valid"))))</f>
        <v>0</v>
      </c>
      <c r="GS9" s="22" cm="1">
        <f t="array" ref="GS9">_xlfn.MAP('3757 - Wall Stickers (S)'!B9:B508, '3757 - Wall Stickers (S)'!GS9:GS508, '3757-S-WUO_ERR'!GS9:GS508, _xlfn.LAMBDA(_xlpm.part, _xlpm.val, _xlpm.error, IF(_xlpm.part = "", "", IF(LEN(_xlpm.error), _xlfn.SWITCH(IFERROR(_xlfn.TEXTBEFORE(_xlpm.error,":"), ""), "1", "Error", "2", "Disabled", "3", "Required", "4", "Warning", "Valid"), "Valid"))))</f>
        <v>0</v>
      </c>
      <c r="GT9" s="22" cm="1">
        <f t="array" ref="GT9">_xlfn.MAP('3757 - Wall Stickers (S)'!B9:B508, '3757 - Wall Stickers (S)'!GT9:GT508, '3757-S-WUO_ERR'!GT9:GT508, _xlfn.LAMBDA(_xlpm.part, _xlpm.val, _xlpm.error, IF(_xlpm.part = "", "", IF(LEN(_xlpm.error), _xlfn.SWITCH(IFERROR(_xlfn.TEXTBEFORE(_xlpm.error,":"), ""), "1", "Error", "2", "Disabled", "3", "Required", "4", "Warning", "Valid"), "Valid"))))</f>
        <v>0</v>
      </c>
      <c r="GU9" s="22" cm="1">
        <f t="array" ref="GU9">_xlfn.MAP('3757 - Wall Stickers (S)'!B9:B508, '3757 - Wall Stickers (S)'!GU9:GU508, '3757-S-WUO_ERR'!GU9:GU508, _xlfn.LAMBDA(_xlpm.part, _xlpm.val, _xlpm.error, IF(_xlpm.part = "", "", IF(LEN(_xlpm.error), _xlfn.SWITCH(IFERROR(_xlfn.TEXTBEFORE(_xlpm.error,":"), ""), "1", "Error", "2", "Disabled", "3", "Required", "4", "Warning", "Valid"), "Valid"))))</f>
        <v>0</v>
      </c>
      <c r="GV9" s="22" cm="1">
        <f t="array" ref="GV9">_xlfn.MAP('3757 - Wall Stickers (S)'!B9:B508, '3757 - Wall Stickers (S)'!GV9:GV508, '3757-S-WUO_ERR'!GV9:GV508, _xlfn.LAMBDA(_xlpm.part, _xlpm.val, _xlpm.error, IF(_xlpm.part = "", "", IF(LEN(_xlpm.error), _xlfn.SWITCH(IFERROR(_xlfn.TEXTBEFORE(_xlpm.error,":"), ""), "1", "Error", "2", "Disabled", "3", "Required", "4", "Warning", "Valid"), "Valid"))))</f>
        <v>0</v>
      </c>
      <c r="HE9" s="22" cm="1">
        <f t="array" ref="HE9">_xlfn.MAP('3757 - Wall Stickers (S)'!B9:B508, '3757 - Wall Stickers (S)'!HE9:HE508, '3757-S-WUO_ERR'!HE9:HE508, _xlfn.LAMBDA(_xlpm.part, _xlpm.val, _xlpm.error, IF(_xlpm.part = "", "", IF(LEN(_xlpm.error), _xlfn.SWITCH(IFERROR(_xlfn.TEXTBEFORE(_xlpm.error,":"), ""), "1", "Error", "2", "Disabled", "3", "Required", "4", "Warning", "Valid"), "Valid"))))</f>
        <v>0</v>
      </c>
      <c r="HF9" s="22" cm="1">
        <f t="array" ref="HF9">_xlfn.MAP('3757 - Wall Stickers (S)'!B9:B508, '3757 - Wall Stickers (S)'!HF9:HF508, '3757-S-WUO_ERR'!HF9:HF508, _xlfn.LAMBDA(_xlpm.part, _xlpm.val, _xlpm.error, IF(_xlpm.part = "", "", IF(LEN(_xlpm.error), _xlfn.SWITCH(IFERROR(_xlfn.TEXTBEFORE(_xlpm.error,":"), ""), "1", "Error", "2", "Disabled", "3", "Required", "4", "Warning", "Valid"), "Valid"))))</f>
        <v>0</v>
      </c>
      <c r="HG9" s="22" cm="1">
        <f t="array" ref="HG9">_xlfn.MAP('3757 - Wall Stickers (S)'!B9:B508, '3757 - Wall Stickers (S)'!HG9:HG508, '3757-S-WUO_ERR'!HG9:HG508, _xlfn.LAMBDA(_xlpm.part, _xlpm.val, _xlpm.error, IF(_xlpm.part = "", "", IF(LEN(_xlpm.error), _xlfn.SWITCH(IFERROR(_xlfn.TEXTBEFORE(_xlpm.error,":"), ""), "1", "Error", "2", "Disabled", "3", "Required", "4", "Warning", "Valid"), "Valid"))))</f>
        <v>0</v>
      </c>
      <c r="HH9" s="22" cm="1">
        <f t="array" ref="HH9">_xlfn.MAP('3757 - Wall Stickers (S)'!B9:B508, '3757 - Wall Stickers (S)'!HH9:HH508, '3757-S-WUO_ERR'!HH9:HH508, _xlfn.LAMBDA(_xlpm.part, _xlpm.val, _xlpm.error, IF(_xlpm.part = "", "", IF(LEN(_xlpm.error), _xlfn.SWITCH(IFERROR(_xlfn.TEXTBEFORE(_xlpm.error,":"), ""), "1", "Error", "2", "Disabled", "3", "Required", "4", "Warning", "Valid"), "Valid"))))</f>
        <v>0</v>
      </c>
      <c r="HI9" s="22" cm="1">
        <f t="array" ref="HI9">_xlfn.MAP('3757 - Wall Stickers (S)'!B9:B508, '3757 - Wall Stickers (S)'!HI9:HI508, '3757-S-WUO_ERR'!HI9:HI508, _xlfn.LAMBDA(_xlpm.part, _xlpm.val, _xlpm.error, IF(_xlpm.part = "", "", IF(LEN(_xlpm.error), _xlfn.SWITCH(IFERROR(_xlfn.TEXTBEFORE(_xlpm.error,":"), ""), "1", "Error", "2", "Disabled", "3", "Required", "4", "Warning", "Valid"), "Valid"))))</f>
        <v>0</v>
      </c>
      <c r="HJ9" s="22" cm="1">
        <f t="array" ref="HJ9">_xlfn.MAP('3757 - Wall Stickers (S)'!B9:B508, '3757 - Wall Stickers (S)'!HJ9:HJ508, '3757-S-WUO_ERR'!HJ9:HJ508, _xlfn.LAMBDA(_xlpm.part, _xlpm.val, _xlpm.error, IF(_xlpm.part = "", "", IF(LEN(_xlpm.error), _xlfn.SWITCH(IFERROR(_xlfn.TEXTBEFORE(_xlpm.error,":"), ""), "1", "Error", "2", "Disabled", "3", "Required", "4", "Warning", "Valid"), "Valid"))))</f>
        <v>0</v>
      </c>
      <c r="II9" s="22" cm="1">
        <f t="array" ref="II9">_xlfn.MAP('3757 - Wall Stickers (S)'!B9:B508, '3757 - Wall Stickers (S)'!II9:II508, '3757-S-WUO_ERR'!II9:II508, _xlfn.LAMBDA(_xlpm.part, _xlpm.val, _xlpm.error, IF(_xlpm.part = "", "", IF(LEN(_xlpm.error), _xlfn.SWITCH(IFERROR(_xlfn.TEXTBEFORE(_xlpm.error,":"), ""), "1", "Error", "2", "Disabled", "3", "Required", "4", "Warning", "Valid"), "Valid"))))</f>
        <v>0</v>
      </c>
      <c r="IK9" s="22" cm="1">
        <f t="array" ref="IK9">_xlfn.MAP('3757 - Wall Stickers (S)'!B9:B508, '3757 - Wall Stickers (S)'!IK9:IK508, '3757-S-WUO_ERR'!IK9:IK508, _xlfn.LAMBDA(_xlpm.part, _xlpm.val, _xlpm.error, IF(_xlpm.part = "", "", IF(LEN(_xlpm.error), _xlfn.SWITCH(IFERROR(_xlfn.TEXTBEFORE(_xlpm.error,":"), ""), "1", "Error", "2", "Disabled", "3", "Required", "4", "Warning", "Valid"), "Valid"))))</f>
        <v>0</v>
      </c>
      <c r="IL9" s="22" cm="1">
        <f t="array" ref="IL9">_xlfn.MAP('3757 - Wall Stickers (S)'!B9:B508, '3757 - Wall Stickers (S)'!IL9:IL508, '3757-S-WUO_ERR'!IL9:IL508, _xlfn.LAMBDA(_xlpm.part, _xlpm.val, _xlpm.error, IF(_xlpm.part = "", "", IF(LEN(_xlpm.error), _xlfn.SWITCH(IFERROR(_xlfn.TEXTBEFORE(_xlpm.error,":"), ""), "1", "Error", "2", "Disabled", "3", "Required", "4", "Warning", "Valid"), "Valid"))))</f>
        <v>0</v>
      </c>
      <c r="IM9" s="22" cm="1">
        <f t="array" ref="IM9">_xlfn.MAP('3757 - Wall Stickers (S)'!B9:B508, '3757 - Wall Stickers (S)'!IM9:IM508, '3757-S-WUO_ERR'!IM9:IM508, _xlfn.LAMBDA(_xlpm.part, _xlpm.val, _xlpm.error, IF(_xlpm.part = "", "", IF(LEN(_xlpm.error), _xlfn.SWITCH(IFERROR(_xlfn.TEXTBEFORE(_xlpm.error,":"), ""), "1", "Error", "2", "Disabled", "3", "Required", "4", "Warning", "Valid"), "Valid"))))</f>
        <v>0</v>
      </c>
      <c r="IN9" s="22" cm="1">
        <f t="array" ref="IN9">_xlfn.MAP('3757 - Wall Stickers (S)'!B9:B508, '3757 - Wall Stickers (S)'!IN9:IN508, '3757-S-WUO_ERR'!IN9:IN508, _xlfn.LAMBDA(_xlpm.part, _xlpm.val, _xlpm.error, IF(_xlpm.part = "", "", IF(LEN(_xlpm.error), _xlfn.SWITCH(IFERROR(_xlfn.TEXTBEFORE(_xlpm.error,":"), ""), "1", "Error", "2", "Disabled", "3", "Required", "4", "Warning", "Valid"), "Valid"))))</f>
        <v>0</v>
      </c>
      <c r="JY9" s="22" cm="1">
        <f t="array" ref="JY9">_xlfn.MAP('3757 - Wall Stickers (S)'!B9:B508, '3757 - Wall Stickers (S)'!JY9:JY508, '3757-S-WUO_ERR'!JY9:JY508, _xlfn.LAMBDA(_xlpm.part, _xlpm.val, _xlpm.error, IF(_xlpm.part = "", "", IF(LEN(_xlpm.error), _xlfn.SWITCH(IFERROR(_xlfn.TEXTBEFORE(_xlpm.error,":"), ""), "1", "Error", "2", "Disabled", "3", "Required", "4", "Warning", "Valid"), "Valid"))))</f>
        <v>0</v>
      </c>
      <c r="JZ9" s="22" cm="1">
        <f t="array" ref="JZ9">_xlfn.MAP('3757 - Wall Stickers (S)'!B9:B508, '3757 - Wall Stickers (S)'!JZ9:JZ508, '3757-S-WUO_ERR'!JZ9:JZ508, _xlfn.LAMBDA(_xlpm.part, _xlpm.val, _xlpm.error, IF(_xlpm.part = "", "", IF(LEN(_xlpm.error), _xlfn.SWITCH(IFERROR(_xlfn.TEXTBEFORE(_xlpm.error,":"), ""), "1", "Error", "2", "Disabled", "3", "Required", "4", "Warning", "Valid"), "Valid"))))</f>
        <v>0</v>
      </c>
      <c r="KA9" s="22" cm="1">
        <f t="array" ref="KA9">_xlfn.MAP('3757 - Wall Stickers (S)'!B9:B508, '3757 - Wall Stickers (S)'!KA9:KA508, '3757-S-WUO_ERR'!KA9:KA508, _xlfn.LAMBDA(_xlpm.part, _xlpm.val, _xlpm.error, IF(_xlpm.part = "", "", IF(LEN(_xlpm.error), _xlfn.SWITCH(IFERROR(_xlfn.TEXTBEFORE(_xlpm.error,":"), ""), "1", "Error", "2", "Disabled", "3", "Required", "4", "Warning", "Valid"), "Valid"))))</f>
        <v>0</v>
      </c>
      <c r="KB9" s="22" cm="1">
        <f t="array" ref="KB9">_xlfn.MAP('3757 - Wall Stickers (S)'!B9:B508, '3757 - Wall Stickers (S)'!KB9:KB508, '3757-S-WUO_ERR'!KB9:KB508, _xlfn.LAMBDA(_xlpm.part, _xlpm.val, _xlpm.error, IF(_xlpm.part = "", "", IF(LEN(_xlpm.error), _xlfn.SWITCH(IFERROR(_xlfn.TEXTBEFORE(_xlpm.error,":"), ""), "1", "Error", "2", "Disabled", "3", "Required", "4", "Warning", "Valid"), "Valid"))))</f>
        <v>0</v>
      </c>
      <c r="KC9" s="22" cm="1">
        <f t="array" ref="KC9">_xlfn.MAP('3757 - Wall Stickers (S)'!B9:B508, '3757 - Wall Stickers (S)'!KC9:KC508, '3757-S-WUO_ERR'!KC9:KC508, _xlfn.LAMBDA(_xlpm.part, _xlpm.val, _xlpm.error, IF(_xlpm.part = "", "", IF(LEN(_xlpm.error), _xlfn.SWITCH(IFERROR(_xlfn.TEXTBEFORE(_xlpm.error,":"), ""), "1", "Error", "2", "Disabled", "3", "Required", "4", "Warning", "Valid"), "Valid"))))</f>
        <v>0</v>
      </c>
      <c r="KD9" s="22" cm="1">
        <f t="array" ref="KD9">_xlfn.MAP('3757 - Wall Stickers (S)'!B9:B508, '3757 - Wall Stickers (S)'!KD9:KD508, '3757-S-WUO_ERR'!KD9:KD508, _xlfn.LAMBDA(_xlpm.part, _xlpm.val, _xlpm.error, IF(_xlpm.part = "", "", IF(LEN(_xlpm.error), _xlfn.SWITCH(IFERROR(_xlfn.TEXTBEFORE(_xlpm.error,":"), ""), "1", "Error", "2", "Disabled", "3", "Required", "4", "Warning", "Valid"), "Valid"))))</f>
        <v>0</v>
      </c>
      <c r="KE9" s="22" cm="1">
        <f t="array" ref="KE9">_xlfn.MAP('3757 - Wall Stickers (S)'!B9:B508, '3757 - Wall Stickers (S)'!KE9:KE508, '3757-S-WUO_ERR'!KE9:KE508, _xlfn.LAMBDA(_xlpm.part, _xlpm.val, _xlpm.error, IF(_xlpm.part = "", "", IF(LEN(_xlpm.error), _xlfn.SWITCH(IFERROR(_xlfn.TEXTBEFORE(_xlpm.error,":"), ""), "1", "Error", "2", "Disabled", "3", "Required", "4", "Warning", "Valid"), "Valid"))))</f>
        <v>0</v>
      </c>
      <c r="KF9" s="22" cm="1">
        <f t="array" ref="KF9">_xlfn.MAP('3757 - Wall Stickers (S)'!B9:B508, '3757 - Wall Stickers (S)'!KF9:KF508, '3757-S-WUO_ERR'!KF9:KF508, _xlfn.LAMBDA(_xlpm.part, _xlpm.val, _xlpm.error, IF(_xlpm.part = "", "", IF(LEN(_xlpm.error), _xlfn.SWITCH(IFERROR(_xlfn.TEXTBEFORE(_xlpm.error,":"), ""), "1", "Error", "2", "Disabled", "3", "Required", "4", "Warning", "Valid"), "Valid"))))</f>
        <v>0</v>
      </c>
      <c r="KG9" s="22" cm="1">
        <f t="array" ref="KG9">_xlfn.MAP('3757 - Wall Stickers (S)'!B9:B508, '3757 - Wall Stickers (S)'!KG9:KG508, '3757-S-WUO_ERR'!KG9:KG508, _xlfn.LAMBDA(_xlpm.part, _xlpm.val, _xlpm.error, IF(_xlpm.part = "", "", IF(LEN(_xlpm.error), _xlfn.SWITCH(IFERROR(_xlfn.TEXTBEFORE(_xlpm.error,":"), ""), "1", "Error", "2", "Disabled", "3", "Required", "4", "Warning", "Valid"), "Valid"))))</f>
        <v>0</v>
      </c>
      <c r="KH9" s="22" cm="1">
        <f t="array" ref="KH9">_xlfn.MAP('3757 - Wall Stickers (S)'!B9:B508, '3757 - Wall Stickers (S)'!KH9:KH508, '3757-S-WUO_ERR'!KH9:KH508, _xlfn.LAMBDA(_xlpm.part, _xlpm.val, _xlpm.error, IF(_xlpm.part = "", "", IF(LEN(_xlpm.error), _xlfn.SWITCH(IFERROR(_xlfn.TEXTBEFORE(_xlpm.error,":"), ""), "1", "Error", "2", "Disabled", "3", "Required", "4", "Warning", "Valid"), "Valid"))))</f>
        <v>0</v>
      </c>
      <c r="KI9" s="22" cm="1">
        <f t="array" ref="KI9">_xlfn.MAP('3757 - Wall Stickers (S)'!B9:B508, '3757 - Wall Stickers (S)'!KI9:KI508, '3757-S-WUO_ERR'!KI9:KI508, _xlfn.LAMBDA(_xlpm.part, _xlpm.val, _xlpm.error, IF(_xlpm.part = "", "", IF(LEN(_xlpm.error), _xlfn.SWITCH(IFERROR(_xlfn.TEXTBEFORE(_xlpm.error,":"), ""), "1", "Error", "2", "Disabled", "3", "Required", "4", "Warning", "Valid"), "Valid"))))</f>
        <v>0</v>
      </c>
      <c r="KJ9" s="22" cm="1">
        <f t="array" ref="KJ9">_xlfn.MAP('3757 - Wall Stickers (S)'!B9:B508, '3757 - Wall Stickers (S)'!KJ9:KJ508, '3757-S-WUO_ERR'!KJ9:KJ508, _xlfn.LAMBDA(_xlpm.part, _xlpm.val, _xlpm.error, IF(_xlpm.part = "", "", IF(LEN(_xlpm.error), _xlfn.SWITCH(IFERROR(_xlfn.TEXTBEFORE(_xlpm.error,":"), ""), "1", "Error", "2", "Disabled", "3", "Required", "4", "Warning", "Valid"), "Valid"))))</f>
        <v>0</v>
      </c>
      <c r="KK9" s="22" cm="1">
        <f t="array" ref="KK9">_xlfn.MAP('3757 - Wall Stickers (S)'!B9:B508, '3757 - Wall Stickers (S)'!KK9:KK508, '3757-S-WUO_ERR'!KK9:KK508, _xlfn.LAMBDA(_xlpm.part, _xlpm.val, _xlpm.error, IF(_xlpm.part = "", "", IF(LEN(_xlpm.error), _xlfn.SWITCH(IFERROR(_xlfn.TEXTBEFORE(_xlpm.error,":"), ""), "1", "Error", "2", "Disabled", "3", "Required", "4", "Warning", "Valid"), "Valid"))))</f>
        <v>0</v>
      </c>
      <c r="KL9" s="22" cm="1">
        <f t="array" ref="KL9">_xlfn.MAP('3757 - Wall Stickers (S)'!B9:B508, '3757 - Wall Stickers (S)'!KL9:KL508, '3757-S-WUO_ERR'!KL9:KL508, _xlfn.LAMBDA(_xlpm.part, _xlpm.val, _xlpm.error, IF(_xlpm.part = "", "", IF(LEN(_xlpm.error), _xlfn.SWITCH(IFERROR(_xlfn.TEXTBEFORE(_xlpm.error,":"), ""), "1", "Error", "2", "Disabled", "3", "Required", "4", "Warning", "Valid"), "Valid"))))</f>
        <v>0</v>
      </c>
      <c r="KM9" s="22" cm="1">
        <f t="array" ref="KM9">_xlfn.MAP('3757 - Wall Stickers (S)'!B9:B508, '3757 - Wall Stickers (S)'!KM9:KM508, '3757-S-WUO_ERR'!KM9:KM508, _xlfn.LAMBDA(_xlpm.part, _xlpm.val, _xlpm.error, IF(_xlpm.part = "", "", IF(LEN(_xlpm.error), _xlfn.SWITCH(IFERROR(_xlfn.TEXTBEFORE(_xlpm.error,":"), ""), "1", "Error", "2", "Disabled", "3", "Required", "4", "Warning", "Valid"), "Valid"))))</f>
        <v>0</v>
      </c>
      <c r="KN9" s="22" cm="1">
        <f t="array" ref="KN9">_xlfn.MAP('3757 - Wall Stickers (S)'!B9:B508, '3757 - Wall Stickers (S)'!KN9:KN508, '3757-S-WUO_ERR'!KN9:KN508, _xlfn.LAMBDA(_xlpm.part, _xlpm.val, _xlpm.error, IF(_xlpm.part = "", "", IF(LEN(_xlpm.error), _xlfn.SWITCH(IFERROR(_xlfn.TEXTBEFORE(_xlpm.error,":"), ""), "1", "Error", "2", "Disabled", "3", "Required", "4", "Warning", "Valid"), "Valid"))))</f>
        <v>0</v>
      </c>
      <c r="KO9" s="22" cm="1">
        <f t="array" ref="KO9">_xlfn.MAP('3757 - Wall Stickers (S)'!B9:B508, '3757 - Wall Stickers (S)'!KO9:KO508, '3757-S-WUO_ERR'!KO9:KO508, _xlfn.LAMBDA(_xlpm.part, _xlpm.val, _xlpm.error, IF(_xlpm.part = "", "", IF(LEN(_xlpm.error), _xlfn.SWITCH(IFERROR(_xlfn.TEXTBEFORE(_xlpm.error,":"), ""), "1", "Error", "2", "Disabled", "3", "Required", "4", "Warning", "Valid"), "Valid"))))</f>
        <v>0</v>
      </c>
      <c r="KP9" s="22" cm="1">
        <f t="array" ref="KP9">_xlfn.MAP('3757 - Wall Stickers (S)'!B9:B508, '3757 - Wall Stickers (S)'!KP9:KP508, '3757-S-WUO_ERR'!KP9:KP508, _xlfn.LAMBDA(_xlpm.part, _xlpm.val, _xlpm.error, IF(_xlpm.part = "", "", IF(LEN(_xlpm.error), _xlfn.SWITCH(IFERROR(_xlfn.TEXTBEFORE(_xlpm.error,":"), ""), "1", "Error", "2", "Disabled", "3", "Required", "4", "Warning", "Valid"), "Valid"))))</f>
        <v>0</v>
      </c>
      <c r="KQ9" s="22" cm="1">
        <f t="array" ref="KQ9">_xlfn.MAP('3757 - Wall Stickers (S)'!B9:B508, '3757 - Wall Stickers (S)'!KQ9:KQ508, '3757-S-WUO_ERR'!KQ9:KQ508, _xlfn.LAMBDA(_xlpm.part, _xlpm.val, _xlpm.error, IF(_xlpm.part = "", "", IF(LEN(_xlpm.error), _xlfn.SWITCH(IFERROR(_xlfn.TEXTBEFORE(_xlpm.error,":"), ""), "1", "Error", "2", "Disabled", "3", "Required", "4", "Warning", "Valid"), "Valid"))))</f>
        <v>0</v>
      </c>
      <c r="KR9" s="22" cm="1">
        <f t="array" ref="KR9">_xlfn.MAP('3757 - Wall Stickers (S)'!B9:B508, '3757 - Wall Stickers (S)'!KR9:KR508, '3757-S-WUO_ERR'!KR9:KR508, _xlfn.LAMBDA(_xlpm.part, _xlpm.val, _xlpm.error, IF(_xlpm.part = "", "", IF(LEN(_xlpm.error), _xlfn.SWITCH(IFERROR(_xlfn.TEXTBEFORE(_xlpm.error,":"), ""), "1", "Error", "2", "Disabled", "3", "Required", "4", "Warning", "Valid"), "Valid"))))</f>
        <v>0</v>
      </c>
      <c r="KS9" s="22" cm="1">
        <f t="array" ref="KS9">_xlfn.MAP('3757 - Wall Stickers (S)'!B9:B508, '3757 - Wall Stickers (S)'!KS9:KS508, '3757-S-WUO_ERR'!KS9:KS508, _xlfn.LAMBDA(_xlpm.part, _xlpm.val, _xlpm.error, IF(_xlpm.part = "", "", IF(LEN(_xlpm.error), _xlfn.SWITCH(IFERROR(_xlfn.TEXTBEFORE(_xlpm.error,":"), ""), "1", "Error", "2", "Disabled", "3", "Required", "4", "Warning", "Valid"), "Valid"))))</f>
        <v>0</v>
      </c>
      <c r="KT9" s="22" cm="1">
        <f t="array" ref="KT9">_xlfn.MAP('3757 - Wall Stickers (S)'!B9:B508, '3757 - Wall Stickers (S)'!KT9:KT508, '3757-S-WUO_ERR'!KT9:KT508, _xlfn.LAMBDA(_xlpm.part, _xlpm.val, _xlpm.error, IF(_xlpm.part = "", "", IF(LEN(_xlpm.error), _xlfn.SWITCH(IFERROR(_xlfn.TEXTBEFORE(_xlpm.error,":"), ""), "1", "Error", "2", "Disabled", "3", "Required", "4", "Warning", "Valid"), "Valid"))))</f>
        <v>0</v>
      </c>
      <c r="KU9" s="22" cm="1">
        <f t="array" ref="KU9">_xlfn.MAP('3757 - Wall Stickers (S)'!B9:B508, '3757 - Wall Stickers (S)'!KU9:KU508, '3757-S-WUO_ERR'!KU9:KU508, _xlfn.LAMBDA(_xlpm.part, _xlpm.val, _xlpm.error, IF(_xlpm.part = "", "", IF(LEN(_xlpm.error), _xlfn.SWITCH(IFERROR(_xlfn.TEXTBEFORE(_xlpm.error,":"), ""), "1", "Error", "2", "Disabled", "3", "Required", "4", "Warning", "Valid"), "Valid"))))</f>
        <v>0</v>
      </c>
      <c r="KV9" s="22" cm="1">
        <f t="array" ref="KV9">_xlfn.MAP('3757 - Wall Stickers (S)'!B9:B508, '3757 - Wall Stickers (S)'!KV9:KV508, '3757-S-WUO_ERR'!KV9:KV508, _xlfn.LAMBDA(_xlpm.part, _xlpm.val, _xlpm.error, IF(_xlpm.part = "", "", IF(LEN(_xlpm.error), _xlfn.SWITCH(IFERROR(_xlfn.TEXTBEFORE(_xlpm.error,":"), ""), "1", "Error", "2", "Disabled", "3", "Required", "4", "Warning", "Valid"), "Valid"))))</f>
        <v>0</v>
      </c>
      <c r="KW9" s="22" cm="1">
        <f t="array" ref="KW9">_xlfn.MAP('3757 - Wall Stickers (S)'!B9:B508, '3757 - Wall Stickers (S)'!KW9:KW508, '3757-S-WUO_ERR'!KW9:KW508, _xlfn.LAMBDA(_xlpm.part, _xlpm.val, _xlpm.error, IF(_xlpm.part = "", "", IF(LEN(_xlpm.error), _xlfn.SWITCH(IFERROR(_xlfn.TEXTBEFORE(_xlpm.error,":"), ""), "1", "Error", "2", "Disabled", "3", "Required", "4", "Warning", "Valid"), "Valid"))))</f>
        <v>0</v>
      </c>
      <c r="KX9" s="22" cm="1">
        <f t="array" ref="KX9">_xlfn.MAP('3757 - Wall Stickers (S)'!B9:B508, '3757 - Wall Stickers (S)'!KX9:KX508, '3757-S-WUO_ERR'!KX9:KX508, _xlfn.LAMBDA(_xlpm.part, _xlpm.val, _xlpm.error, IF(_xlpm.part = "", "", IF(LEN(_xlpm.error), _xlfn.SWITCH(IFERROR(_xlfn.TEXTBEFORE(_xlpm.error,":"), ""), "1", "Error", "2", "Disabled", "3", "Required", "4", "Warning", "Valid"), "Valid"))))</f>
        <v>0</v>
      </c>
      <c r="KY9" s="22" cm="1">
        <f t="array" ref="KY9">_xlfn.MAP('3757 - Wall Stickers (S)'!B9:B508, '3757 - Wall Stickers (S)'!KY9:KY508, '3757-S-WUO_ERR'!KY9:KY508, _xlfn.LAMBDA(_xlpm.part, _xlpm.val, _xlpm.error, IF(_xlpm.part = "", "", IF(LEN(_xlpm.error), _xlfn.SWITCH(IFERROR(_xlfn.TEXTBEFORE(_xlpm.error,":"), ""), "1", "Error", "2", "Disabled", "3", "Required", "4", "Warning", "Valid"), "Valid"))))</f>
        <v>0</v>
      </c>
      <c r="KZ9" s="22" cm="1">
        <f t="array" ref="KZ9">_xlfn.MAP('3757 - Wall Stickers (S)'!B9:B508, '3757 - Wall Stickers (S)'!KZ9:KZ508, '3757-S-WUO_ERR'!KZ9:KZ508, _xlfn.LAMBDA(_xlpm.part, _xlpm.val, _xlpm.error, IF(_xlpm.part = "", "", IF(LEN(_xlpm.error), _xlfn.SWITCH(IFERROR(_xlfn.TEXTBEFORE(_xlpm.error,":"), ""), "1", "Error", "2", "Disabled", "3", "Required", "4", "Warning", "Valid"), "Valid"))))</f>
        <v>0</v>
      </c>
      <c r="LA9" s="22" cm="1">
        <f t="array" ref="LA9">_xlfn.MAP('3757 - Wall Stickers (S)'!B9:B508, '3757 - Wall Stickers (S)'!LA9:LA508, '3757-S-WUO_ERR'!LA9:LA508, _xlfn.LAMBDA(_xlpm.part, _xlpm.val, _xlpm.error, IF(_xlpm.part = "", "", IF(LEN(_xlpm.error), _xlfn.SWITCH(IFERROR(_xlfn.TEXTBEFORE(_xlpm.error,":"), ""), "1", "Error", "2", "Disabled", "3", "Required", "4", "Warning", "Valid"), "Valid"))))</f>
        <v>0</v>
      </c>
    </row>
  </sheetData>
  <sheetProtection password="B2FA" sheet="1" objects="1" scenarios="1" formatColumns="0"/>
  <mergeCells count="10">
    <mergeCell ref="B3:E3"/>
    <mergeCell ref="F3:G3"/>
    <mergeCell ref="H3:O3"/>
    <mergeCell ref="P3:S3"/>
    <mergeCell ref="T3:AB3"/>
    <mergeCell ref="AC3:AN3"/>
    <mergeCell ref="AO3:GR3"/>
    <mergeCell ref="GS3:HD3"/>
    <mergeCell ref="HE3:JX3"/>
    <mergeCell ref="JY3:LA3"/>
  </mergeCells>
  <dataValidations count="212">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allowed9007_fp_S_class_3757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allowed9030_fp_S_class_3757</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allowed9031_fp_S_class_3757</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allowed9032_fp_S_class_3757</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allowed9033_fp_S_class_3757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allowed9035_fp_S_class_3757</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allowed9036_fp_S_class_3757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allowed647_fp_S_class_3757</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allowed9043_fp_S_class_3757</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allowed9042_fp_S_class_3757</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allowed9043_fp_S_class_3757</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allowed6109_fp_S_class_3757</formula1>
    </dataValidation>
    <dataValidation type="list" errorStyle="warning" allowBlank="1" showInputMessage="1" showErrorMessage="1" errorTitle="Invalid Surface Type" error="The value provided is not a valid Surface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KA8">
      <formula1>allowed1217_fp_S_class_3757</formula1>
    </dataValidation>
    <dataValidation type="list" allowBlank="1" showInputMessage="1" showErrorMessage="1" errorTitle="Invalid Personalization or Monog" error="The value provided is not a valid Personalization or Monogramming." promptTitle="" prompt="If all products in this class consistently have the same answer, you can set a default value to apply automatically. For any exceptions, you can modify the answer for specific products without changing the default." sqref="KD8">
      <formula1>allowed2389_fp_S_class_3757</formula1>
    </dataValidation>
    <dataValidation type="list" allowBlank="1" showInputMessage="1" showErrorMessage="1" errorTitle="Invalid Holiday / Occasion" error="The value provided is not a valid Holiday / Occasion." promptTitle="" prompt="If all products in this class consistently have the same answer, you can set a default value to apply automatically. For any exceptions, you can modify the answer for specific products without changing the default." sqref="KF8">
      <formula1>allowed137_fp_S_class_3757</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H8">
      <formula1>allowed807_fp_S_class_3757</formula1>
    </dataValidation>
    <dataValidation type="list" errorStyle="warning" allowBlank="1" showInputMessage="1" showErrorMessage="1" errorTitle="Invalid Licensed Product Categor" error="The value provided is not a valid Licensed Product Category. Would you like to provide a custom answer?" promptTitle="" prompt="If all products in this class consistently have the same answer, you can set a default value to apply automatically. For any exceptions, you can modify the answer for specific products without changing the default." sqref="KI8">
      <formula1>allowed1379_fp_S_class_3757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U8">
      <formula1>allowed28_fp_S_class_3757</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V8">
      <formula1>allowed135_fp_S_class_3757</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W8">
      <formula1>allowed256_fp_S_class_3757</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KX8">
      <formula1>allowed31_fp_S_class_3757</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KY8">
      <formula1>allowed117_fp_S_class_3757</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KZ8">
      <formula1>allowed8205_fp_S_class_3757</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A8">
      <formula1>allowed8462_fp_S_class_3757</formula1>
    </dataValidation>
  </dataValidations>
  <hyperlinks>
    <hyperlink ref="F7" location="#vvh_9007_fp_S_class_3757" display="Select"/>
    <hyperlink ref="H7" location="#vvh_9009_fp_S_class_3757" display="Select"/>
    <hyperlink ref="J7" location="#vvh_9011_fp_S_class_3757" display="Select"/>
    <hyperlink ref="L7" location="#vvh_9011_fp_S_class_3757" display="Select"/>
    <hyperlink ref="N7" location="#vvh_9011_fp_S_class_3757" display="Select"/>
    <hyperlink ref="AH7" location="#vvh_9030_fp_S_class_3757" display="Select"/>
    <hyperlink ref="AI7" location="#vvh_9031_fp_S_class_3757" display="Select"/>
    <hyperlink ref="AJ7" location="#vvh_9032_fp_S_class_3757" display="Select"/>
    <hyperlink ref="AK7" location="#vvh_9033_fp_S_class_3757" display="Select"/>
    <hyperlink ref="GS7" location="#vvh_647_fp_S_class_3757" display="Select"/>
    <hyperlink ref="GU7" location="#vvh_9042_fp_S_class_3757" display="Select"/>
    <hyperlink ref="GV7" location="#vvh_9043_fp_S_class_3757" display="Select"/>
    <hyperlink ref="GW7" location="#vvh_9042_fp_S_class_3757" display="Select"/>
    <hyperlink ref="GX7" location="#vvh_9043_fp_S_class_3757" display="Select"/>
    <hyperlink ref="GY7" location="#vvh_9042_fp_S_class_3757" display="Select"/>
    <hyperlink ref="GZ7" location="#vvh_9043_fp_S_class_3757" display="Select"/>
    <hyperlink ref="HA7" location="#vvh_9042_fp_S_class_3757" display="Select"/>
    <hyperlink ref="HB7" location="#vvh_9043_fp_S_class_3757" display="Select"/>
    <hyperlink ref="HC7" location="#vvh_9042_fp_S_class_3757" display="Select"/>
    <hyperlink ref="HD7" location="#vvh_9043_fp_S_class_3757" display="Select"/>
    <hyperlink ref="IL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M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N7" location="#vvh_9066_fp_S_class_3757" display="Select"/>
    <hyperlink ref="IP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Q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R7" location="#vvh_9066_fp_S_class_3757" display="Select"/>
    <hyperlink ref="IT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U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V7" location="#vvh_9066_fp_S_class_3757" display="Select"/>
    <hyperlink ref="IX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Y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Z7" location="#vvh_9066_fp_S_class_3757" display="Select"/>
    <hyperlink ref="JB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C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D7" location="#vvh_9066_fp_S_class_3757" display="Select"/>
    <hyperlink ref="JF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G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H7" location="#vvh_9066_fp_S_class_3757" display="Select"/>
    <hyperlink ref="JJ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K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L7" location="#vvh_9066_fp_S_class_3757" display="Select"/>
    <hyperlink ref="JN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O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P7" location="#vvh_9066_fp_S_class_3757" display="Select"/>
    <hyperlink ref="JR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S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T7" location="#vvh_9066_fp_S_class_3757" display="Select"/>
    <hyperlink ref="JV7" location="#vvh_9064_fp_S_class_3757"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W7" location="#vvh_9065_fp_S_class_3757"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X7" location="#vvh_9066_fp_S_class_3757" display="Select"/>
    <hyperlink ref="JY7" location="#vvh_6109_fp_S_class_3757" display="Select"/>
    <hyperlink ref="JZ7" location="#vvh_1966_fp_S_class_3757" display="Please choose one or more from the following, using a semicolon (;) to separate each value: Animals; Astrology &amp; Stars; Scenic &amp; Cityscapes; Food &amp; Beverage; Insects; Patriotic; Entertainment; Plants &amp; Flowers; Religious &amp; Spiritual; Nautical &amp; Beach; Abstract; Sports; People; Geography; Fantasy &amp; Sci-Fi; Landscape &amp; Nature; Text &amp; Numbers; Furniture; Novelty &amp; Humor; STEM; Fashion; Buildings &amp; Architecture; Transportation; Bath &amp; Laundry; History &amp; Language; Cities &amp; Countries; Disney/Pixar; No Subject; Education; Birds; U.S. States &amp; Territories; Unavailable"/>
    <hyperlink ref="KA7" location="#vvh_1217_fp_S_class_3757" display="Select"/>
    <hyperlink ref="KB7" location="#vvh_2385_fp_S_class_3757" display="Please choose one or more from the following, using a semicolon (;) to separate each value: Fabric; Vinyl; Canvas; Paper; Plastic; PVC; Polycarbonate (PC); Polyethylene Plastic; Glass; Stainless Steel; Polypropylene; Aluminum; Acrylic; Foam; Cardboard / Paper; Gel; Cardboard; Leather; Ceramic; Copper; Faux Leather; Iron; Leather / Faux Leather; Medium Density Fiberboard (MDF); Nylon; Plastic / Acrylic; Polyester; Polymer; Polyvinyl Chloride (PVC); Polyurethane; Porcelain; Polyurethane (PU); Rubber; Recycled P.E.T; Sponge; Synthetic; Steel; Solid Wood; MDF; Particle Board / Chipboard; Plywood / Laminate Board; Paper / Printed Veneer; Real Wood Veneer"/>
    <hyperlink ref="KC7" location="#vvh_3538_fp_S_class_3757" display="Please choose one or more from the following, using a semicolon (;) to separate each value: Multi-Surface; Flat Surface; Textured Wall; Brick Wall; Cement Wall; Solid Wood; Glass Wall; Stainless Steel; Existing Tile; Chalkboard; Appliance; Mirror; Wallpaper; Painted Gypsum; Acrylic Panel; Orange Peel Wall; Gypsum Wall; Laminate; Plywood Wall; Drywall; Stucco Wall; Ceramic Tile Wall; Concrete; Stone Wall; Medium Density Fiberboard; Unavailable"/>
    <hyperlink ref="KE7" location="#vvh_1560_fp_S_class_3757" display="Please choose one or more from the following, using a semicolon (;) to separate each value: Bathroom; Kitchen; Bedroom; Living Room; Laundry Room; Nursery; Dining Room; Pantry; Home Office; Game Room; Foyer; Playroom; Patio; Closet; Restaurant Dining Room; Basement; Garage/Shop; Commercial Office; Backyard; Mudroom/Deck; School Classroom; Hotel Room; Lobby/Reception; Hallway; Studio; Art School; Commercial Kitchen; Does Not Apply; Unavailable"/>
    <hyperlink ref="KF7" location="#vvh_137_fp_S_class_3757" display="Select"/>
    <hyperlink ref="KG7" location="#vvh_95_fp_S_class_3757" display="Please choose one or more from the following, using a semicolon (;) to separate each value: Made in USA; Made in USA of Imported Materials; Product of Canada; Made In Canada; Does Not Apply"/>
    <hyperlink ref="KI7" location="#vvh_1379_fp_S_class_3757" display="Select"/>
    <hyperlink ref="KJ7" location="#vvh_1437_fp_S_class_3757" display="Please choose one or more from the following, using a semicolon (;) to separate each value: Mold / Mildew Resistant; Water Resistant; No Durability Features; Fade Resistant; Heat Resistant; Stain Resistant; Tip Resistant; Waterproof; Shatter Resistant; Weather Resistant; Rust Resistant; Anodic Protection; Predator Resistant; Drill Resistant; Condensation Free; Antimicrobial; Pry Resistant; Fray Resistant; Non-Staining"/>
    <hyperlink ref="KK7" location="#vvh_1567_fp_S_class_3757" display="Please choose one or more from the following, using a semicolon (;) to separate each value: Removable; Retractable; Reversible; Configurable / Modular; Trimmable; Rotating; Lift Assist; Double Sided; Glider; Adjustable; Stackable; No Adjustability Features; Does Not Apply; Unavailable"/>
    <hyperlink ref="KL7" location="#vvh_1316_fp_S_class_3757" display="Please choose one or more from the following, using a semicolon (;) to separate each value: Blue; Black; Brown; White; Green; Gray; Red; Beige; Yellow; Pink; Orange; Purple; Silver; Gold; Clear; Cream; Ivory; Tan; Teal; Navy"/>
    <hyperlink ref="KN7" location="#vvh_6253_fp_S_class_3757" display="Please choose one or more from the following, using a semicolon (;) to separate each value: Handle(s); Paste; Does Not Apply; Unavailable"/>
    <hyperlink ref="KO7" location="#vvh_1388_fp_S_class_3757" display="Please choose one or more from the following, using a semicolon (;) to separate each value: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hyperlink ref="KP7" location="#vvh_8653_fp_S_class_3757" display="Please choose one or more from the following, using a semicolon (;) to separate each value: Breathable; Dual Sided; Animated; Double Sided; Non-Wall Damaging; Reusable; Vintage; Window Clinging; No General Features"/>
    <hyperlink ref="KQ7" location="#vvh_1557_fp_S_class_3757" display="Please choose one or more from the following, using a semicolon (;) to separate each value: Newborn (Birth - 6 months old); Infant (6 - 12 Months); Toddler (1 - 3 Years); Pre-school (3 - 5 Years); Youth (5 - 8 Years); Pre-teen (9 - 12 Years); Teen (13+); Adult (18+); All Ages; Adult; Baby; Kid; Teen; Toddler"/>
    <hyperlink ref="KV7" location="#vvh_135_fp_S_class_3757" display="Select"/>
    <hyperlink ref="KW7" location="#vvh_256_fp_S_class_3757" display="Select"/>
    <hyperlink ref="KX7" location="#vvh_31_fp_S_class_3757" display="Select"/>
    <hyperlink ref="KZ7" location="#vvh_8205_fp_S_class_3757" display="Select"/>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sheetPr>
    <outlinePr summaryRight="0"/>
  </sheetPr>
  <dimension ref="A1:LC508"/>
  <sheetViews>
    <sheetView workbookViewId="0">
      <pane xSplit="2" topLeftCell="C1" activePane="topRight" state="frozen"/>
      <selection pane="topRight"/>
    </sheetView>
  </sheetViews>
  <sheetFormatPr defaultRowHeight="15" outlineLevelCol="7"/>
  <cols>
    <col min="1" max="1" width="35.7109375" customWidth="1"/>
    <col min="2" max="2" width="25.7109375" style="22" customWidth="1"/>
    <col min="3" max="3" width="29.7109375" style="22" customWidth="1"/>
    <col min="4" max="4" width="27.7109375" style="22" customWidth="1"/>
    <col min="5" max="5" width="17.7109375" style="22" customWidth="1"/>
    <col min="6" max="6" width="10.7109375" style="22" customWidth="1"/>
    <col min="7" max="7" width="20.7109375" style="22" customWidth="1"/>
    <col min="8" max="8" width="17.7109375" style="22" customWidth="1"/>
    <col min="9" max="10" width="23.7109375" style="22" customWidth="1"/>
    <col min="11" max="11" width="37.7109375" style="22" customWidth="1" collapsed="1"/>
    <col min="12" max="12" width="23.7109375" style="22" hidden="1" customWidth="1" outlineLevel="1"/>
    <col min="13" max="13" width="37.7109375" style="22" hidden="1" customWidth="1" outlineLevel="1"/>
    <col min="14" max="14" width="23.7109375" style="22" hidden="1" customWidth="1" outlineLevel="1"/>
    <col min="15" max="15" width="37.7109375" style="22" hidden="1" customWidth="1" outlineLevel="1"/>
    <col min="16" max="16" width="14.7109375" style="22" customWidth="1"/>
    <col min="17" max="17" width="31.7109375" style="22" customWidth="1"/>
    <col min="18" max="18" width="29.7109375" style="22" customWidth="1"/>
    <col min="19" max="19" width="40.7109375" style="22" customWidth="1"/>
    <col min="20" max="20" width="19.7109375" style="22" customWidth="1"/>
    <col min="21" max="22" width="21.7109375" style="22" customWidth="1"/>
    <col min="23" max="23" width="21.7109375" style="22" customWidth="1" collapsed="1"/>
    <col min="24" max="27" width="21.7109375" style="22" hidden="1" customWidth="1" outlineLevel="1"/>
    <col min="28" max="28" width="21.7109375" style="22" hidden="1" customWidth="1" outlineLevel="1" collapsed="1"/>
    <col min="29" max="29" width="22.7109375" style="22" customWidth="1"/>
    <col min="30" max="30" width="27.7109375" style="22" customWidth="1"/>
    <col min="31" max="31" width="30.7109375" style="22" customWidth="1"/>
    <col min="32" max="32" width="25.7109375" style="22" customWidth="1"/>
    <col min="33" max="33" width="19.7109375" style="22" customWidth="1"/>
    <col min="34" max="34" width="14.7109375" style="22" customWidth="1"/>
    <col min="35" max="35" width="18.7109375" style="22" customWidth="1"/>
    <col min="36" max="36" width="14.7109375" style="22" customWidth="1"/>
    <col min="37" max="37" width="26.7109375" style="22" customWidth="1"/>
    <col min="38" max="38" width="33.7109375" style="22" customWidth="1"/>
    <col min="39" max="39" width="14.7109375" style="22" customWidth="1"/>
    <col min="40" max="42" width="20.7109375" style="22" customWidth="1"/>
    <col min="43" max="44" width="19.7109375" style="22" customWidth="1"/>
    <col min="45" max="46" width="20.7109375" style="22" customWidth="1"/>
    <col min="47" max="48" width="19.7109375" style="22" customWidth="1"/>
    <col min="49" max="50" width="20.7109375" style="22" customWidth="1"/>
    <col min="51" max="51" width="19.7109375" style="22" customWidth="1"/>
    <col min="52" max="52" width="19.7109375" style="22" customWidth="1" collapsed="1"/>
    <col min="53" max="54" width="20.7109375" style="22" hidden="1" customWidth="1" outlineLevel="1"/>
    <col min="55" max="56" width="19.7109375" style="22" hidden="1" customWidth="1" outlineLevel="1"/>
    <col min="57" max="58" width="20.7109375" style="22" hidden="1" customWidth="1" outlineLevel="1"/>
    <col min="59" max="60" width="19.7109375" style="22" hidden="1" customWidth="1" outlineLevel="1"/>
    <col min="61" max="62" width="20.7109375" style="22" hidden="1" customWidth="1" outlineLevel="1"/>
    <col min="63" max="64" width="19.7109375" style="22" hidden="1" customWidth="1" outlineLevel="1"/>
    <col min="65" max="66" width="20.7109375" style="22" hidden="1" customWidth="1" outlineLevel="1"/>
    <col min="67" max="68" width="19.7109375" style="22" hidden="1" customWidth="1" outlineLevel="1"/>
    <col min="69" max="70" width="20.7109375" style="22" hidden="1" customWidth="1" outlineLevel="1"/>
    <col min="71" max="71" width="19.7109375" style="22" hidden="1" customWidth="1" outlineLevel="1"/>
    <col min="72" max="72" width="19.7109375" style="22" hidden="1" customWidth="1" outlineLevel="1" collapsed="1"/>
    <col min="73" max="74" width="20.7109375" style="22" hidden="1" customWidth="1" outlineLevel="2"/>
    <col min="75" max="76" width="19.7109375" style="22" hidden="1" customWidth="1" outlineLevel="2"/>
    <col min="77" max="78" width="21.7109375" style="22" hidden="1" customWidth="1" outlineLevel="2"/>
    <col min="79" max="80" width="20.7109375" style="22" hidden="1" customWidth="1" outlineLevel="2"/>
    <col min="81" max="82" width="21.7109375" style="22" hidden="1" customWidth="1" outlineLevel="2"/>
    <col min="83" max="84" width="20.7109375" style="22" hidden="1" customWidth="1" outlineLevel="2"/>
    <col min="85" max="86" width="21.7109375" style="22" hidden="1" customWidth="1" outlineLevel="2"/>
    <col min="87" max="88" width="20.7109375" style="22" hidden="1" customWidth="1" outlineLevel="2"/>
    <col min="89" max="90" width="21.7109375" style="22" hidden="1" customWidth="1" outlineLevel="2"/>
    <col min="91" max="91" width="20.7109375" style="22" hidden="1" customWidth="1" outlineLevel="2"/>
    <col min="92" max="92" width="20.7109375" style="22" hidden="1" customWidth="1" outlineLevel="2" collapsed="1"/>
    <col min="93" max="94" width="21.7109375" style="22" hidden="1" customWidth="1" outlineLevel="3"/>
    <col min="95" max="96" width="20.7109375" style="22" hidden="1" customWidth="1" outlineLevel="3"/>
    <col min="97" max="98" width="21.7109375" style="22" hidden="1" customWidth="1" outlineLevel="3"/>
    <col min="99" max="100" width="20.7109375" style="22" hidden="1" customWidth="1" outlineLevel="3"/>
    <col min="101" max="102" width="21.7109375" style="22" hidden="1" customWidth="1" outlineLevel="3"/>
    <col min="103" max="104" width="20.7109375" style="22" hidden="1" customWidth="1" outlineLevel="3"/>
    <col min="105" max="106" width="21.7109375" style="22" hidden="1" customWidth="1" outlineLevel="3"/>
    <col min="107" max="108" width="20.7109375" style="22" hidden="1" customWidth="1" outlineLevel="3"/>
    <col min="109" max="110" width="21.7109375" style="22" hidden="1" customWidth="1" outlineLevel="3"/>
    <col min="111" max="111" width="20.7109375" style="22" hidden="1" customWidth="1" outlineLevel="3"/>
    <col min="112" max="112" width="20.7109375" style="22" hidden="1" customWidth="1" outlineLevel="3" collapsed="1"/>
    <col min="113" max="114" width="21.7109375" style="22" hidden="1" customWidth="1" outlineLevel="4"/>
    <col min="115" max="116" width="20.7109375" style="22" hidden="1" customWidth="1" outlineLevel="4"/>
    <col min="117" max="118" width="21.7109375" style="22" hidden="1" customWidth="1" outlineLevel="4"/>
    <col min="119" max="120" width="20.7109375" style="22" hidden="1" customWidth="1" outlineLevel="4"/>
    <col min="121" max="122" width="21.7109375" style="22" hidden="1" customWidth="1" outlineLevel="4"/>
    <col min="123" max="124" width="20.7109375" style="22" hidden="1" customWidth="1" outlineLevel="4"/>
    <col min="125" max="126" width="21.7109375" style="22" hidden="1" customWidth="1" outlineLevel="4"/>
    <col min="127" max="128" width="20.7109375" style="22" hidden="1" customWidth="1" outlineLevel="4"/>
    <col min="129" max="130" width="21.7109375" style="22" hidden="1" customWidth="1" outlineLevel="4"/>
    <col min="131" max="131" width="20.7109375" style="22" hidden="1" customWidth="1" outlineLevel="4"/>
    <col min="132" max="132" width="20.7109375" style="22" hidden="1" customWidth="1" outlineLevel="4" collapsed="1"/>
    <col min="133" max="134" width="21.7109375" style="22" hidden="1" customWidth="1" outlineLevel="5"/>
    <col min="135" max="136" width="20.7109375" style="22" hidden="1" customWidth="1" outlineLevel="5"/>
    <col min="137" max="138" width="21.7109375" style="22" hidden="1" customWidth="1" outlineLevel="5"/>
    <col min="139" max="140" width="20.7109375" style="22" hidden="1" customWidth="1" outlineLevel="5"/>
    <col min="141" max="142" width="21.7109375" style="22" hidden="1" customWidth="1" outlineLevel="5"/>
    <col min="143" max="144" width="20.7109375" style="22" hidden="1" customWidth="1" outlineLevel="5"/>
    <col min="145" max="146" width="21.7109375" style="22" hidden="1" customWidth="1" outlineLevel="5"/>
    <col min="147" max="148" width="20.7109375" style="22" hidden="1" customWidth="1" outlineLevel="5"/>
    <col min="149" max="150" width="21.7109375" style="22" hidden="1" customWidth="1" outlineLevel="5"/>
    <col min="151" max="151" width="20.7109375" style="22" hidden="1" customWidth="1" outlineLevel="5"/>
    <col min="152" max="152" width="20.7109375" style="22" hidden="1" customWidth="1" outlineLevel="5" collapsed="1"/>
    <col min="153" max="154" width="21.7109375" style="22" hidden="1" customWidth="1" outlineLevel="6"/>
    <col min="155" max="156" width="20.7109375" style="22" hidden="1" customWidth="1" outlineLevel="6"/>
    <col min="157" max="158" width="21.7109375" style="22" hidden="1" customWidth="1" outlineLevel="6"/>
    <col min="159" max="160" width="20.7109375" style="22" hidden="1" customWidth="1" outlineLevel="6"/>
    <col min="161" max="162" width="21.7109375" style="22" hidden="1" customWidth="1" outlineLevel="6"/>
    <col min="163" max="164" width="20.7109375" style="22" hidden="1" customWidth="1" outlineLevel="6"/>
    <col min="165" max="166" width="21.7109375" style="22" hidden="1" customWidth="1" outlineLevel="6"/>
    <col min="167" max="168" width="20.7109375" style="22" hidden="1" customWidth="1" outlineLevel="6"/>
    <col min="169" max="170" width="21.7109375" style="22" hidden="1" customWidth="1" outlineLevel="6"/>
    <col min="171" max="171" width="20.7109375" style="22" hidden="1" customWidth="1" outlineLevel="6"/>
    <col min="172" max="172" width="20.7109375" style="22" hidden="1" customWidth="1" outlineLevel="6" collapsed="1"/>
    <col min="173" max="174" width="21.7109375" style="22" hidden="1" customWidth="1" outlineLevel="7"/>
    <col min="175" max="176" width="20.7109375" style="22" hidden="1" customWidth="1" outlineLevel="7"/>
    <col min="177" max="178" width="21.7109375" style="22" hidden="1" customWidth="1" outlineLevel="7"/>
    <col min="179" max="180" width="20.7109375" style="22" hidden="1" customWidth="1" outlineLevel="7"/>
    <col min="181" max="182" width="21.7109375" style="22" hidden="1" customWidth="1" outlineLevel="7"/>
    <col min="183" max="184" width="20.7109375" style="22" hidden="1" customWidth="1" outlineLevel="7"/>
    <col min="185" max="186" width="21.7109375" style="22" hidden="1" customWidth="1" outlineLevel="7"/>
    <col min="187" max="188" width="20.7109375" style="22" hidden="1" customWidth="1" outlineLevel="7"/>
    <col min="189" max="190" width="21.7109375" style="22" hidden="1" customWidth="1" outlineLevel="7"/>
    <col min="191" max="191" width="20.7109375" style="22" hidden="1" customWidth="1" outlineLevel="7"/>
    <col min="192" max="192" width="20.7109375" style="22" hidden="1" customWidth="1" outlineLevel="7" collapsed="1"/>
    <col min="193" max="194" width="21.7109375" style="22" hidden="1" customWidth="1" outlineLevel="7"/>
    <col min="195" max="196" width="20.7109375" style="22" hidden="1" customWidth="1" outlineLevel="7"/>
    <col min="197" max="198" width="21.7109375" style="22" hidden="1" customWidth="1" outlineLevel="7"/>
    <col min="199" max="200" width="20.7109375" style="22" hidden="1" customWidth="1" outlineLevel="7"/>
    <col min="201" max="201" width="22.7109375" style="22" customWidth="1"/>
    <col min="202" max="202" width="21.7109375" style="22" customWidth="1"/>
    <col min="203" max="203" width="15.7109375" style="22" customWidth="1"/>
    <col min="204" max="204" width="15.7109375" style="22" customWidth="1" collapsed="1"/>
    <col min="205" max="212" width="15.7109375" style="22" hidden="1" customWidth="1" outlineLevel="1"/>
    <col min="213" max="217" width="29.7109375" style="22" customWidth="1"/>
    <col min="218" max="218" width="29.7109375" style="22" customWidth="1" collapsed="1"/>
    <col min="219" max="221" width="29.7109375" style="22" hidden="1" customWidth="1" outlineLevel="1"/>
    <col min="222" max="222" width="30.7109375" style="22" hidden="1" customWidth="1" outlineLevel="1"/>
    <col min="223" max="223" width="30.7109375" style="22" hidden="1" customWidth="1" outlineLevel="1" collapsed="1"/>
    <col min="224" max="227" width="30.7109375" style="22" hidden="1" customWidth="1" outlineLevel="2"/>
    <col min="228" max="228" width="30.7109375" style="22" hidden="1" customWidth="1" outlineLevel="2" collapsed="1"/>
    <col min="229" max="232" width="30.7109375" style="22" hidden="1" customWidth="1" outlineLevel="3"/>
    <col min="233" max="233" width="30.7109375" style="22" hidden="1" customWidth="1" outlineLevel="3" collapsed="1"/>
    <col min="234" max="237" width="30.7109375" style="22" hidden="1" customWidth="1" outlineLevel="4"/>
    <col min="238" max="238" width="30.7109375" style="22" hidden="1" customWidth="1" outlineLevel="4" collapsed="1"/>
    <col min="239" max="242" width="30.7109375" style="22" hidden="1" customWidth="1" outlineLevel="5"/>
    <col min="243" max="243" width="29.7109375" style="22" customWidth="1" collapsed="1"/>
    <col min="244" max="244" width="29.7109375" style="22" hidden="1" customWidth="1" outlineLevel="1"/>
    <col min="245" max="245" width="32.7109375" style="22" customWidth="1"/>
    <col min="246" max="246" width="20.7109375" style="22" customWidth="1"/>
    <col min="247" max="247" width="26.7109375" style="22" customWidth="1"/>
    <col min="248" max="248" width="22.7109375" style="22" customWidth="1" collapsed="1"/>
    <col min="249" max="249" width="32.7109375" style="22" hidden="1" customWidth="1" outlineLevel="1"/>
    <col min="250" max="250" width="20.7109375" style="22" hidden="1" customWidth="1" outlineLevel="1"/>
    <col min="251" max="251" width="26.7109375" style="22" hidden="1" customWidth="1" outlineLevel="1"/>
    <col min="252" max="252" width="22.7109375" style="22" hidden="1" customWidth="1" outlineLevel="1"/>
    <col min="253" max="253" width="32.7109375" style="22" hidden="1" customWidth="1" outlineLevel="1"/>
    <col min="254" max="254" width="20.7109375" style="22" hidden="1" customWidth="1" outlineLevel="1"/>
    <col min="255" max="255" width="26.7109375" style="22" hidden="1" customWidth="1" outlineLevel="1"/>
    <col min="256" max="256" width="22.7109375" style="22" hidden="1" customWidth="1" outlineLevel="1"/>
    <col min="257" max="257" width="32.7109375" style="22" hidden="1" customWidth="1" outlineLevel="1"/>
    <col min="258" max="258" width="20.7109375" style="22" hidden="1" customWidth="1" outlineLevel="1"/>
    <col min="259" max="259" width="26.7109375" style="22" hidden="1" customWidth="1" outlineLevel="1"/>
    <col min="260" max="260" width="22.7109375" style="22" hidden="1" customWidth="1" outlineLevel="1"/>
    <col min="261" max="261" width="32.7109375" style="22" hidden="1" customWidth="1" outlineLevel="1"/>
    <col min="262" max="262" width="20.7109375" style="22" hidden="1" customWidth="1" outlineLevel="1"/>
    <col min="263" max="263" width="26.7109375" style="22" hidden="1" customWidth="1" outlineLevel="1"/>
    <col min="264" max="264" width="22.7109375" style="22" hidden="1" customWidth="1" outlineLevel="1"/>
    <col min="265" max="265" width="32.7109375" style="22" hidden="1" customWidth="1" outlineLevel="1"/>
    <col min="266" max="266" width="20.7109375" style="22" hidden="1" customWidth="1" outlineLevel="1"/>
    <col min="267" max="267" width="26.7109375" style="22" hidden="1" customWidth="1" outlineLevel="1"/>
    <col min="268" max="268" width="22.7109375" style="22" hidden="1" customWidth="1" outlineLevel="1" collapsed="1"/>
    <col min="269" max="269" width="32.7109375" style="22" hidden="1" customWidth="1" outlineLevel="2"/>
    <col min="270" max="270" width="20.7109375" style="22" hidden="1" customWidth="1" outlineLevel="2"/>
    <col min="271" max="271" width="26.7109375" style="22" hidden="1" customWidth="1" outlineLevel="2"/>
    <col min="272" max="272" width="22.7109375" style="22" hidden="1" customWidth="1" outlineLevel="2"/>
    <col min="273" max="273" width="32.7109375" style="22" hidden="1" customWidth="1" outlineLevel="2"/>
    <col min="274" max="274" width="20.7109375" style="22" hidden="1" customWidth="1" outlineLevel="2"/>
    <col min="275" max="275" width="26.7109375" style="22" hidden="1" customWidth="1" outlineLevel="2"/>
    <col min="276" max="276" width="22.7109375" style="22" hidden="1" customWidth="1" outlineLevel="2"/>
    <col min="277" max="277" width="32.7109375" style="22" hidden="1" customWidth="1" outlineLevel="2"/>
    <col min="278" max="278" width="20.7109375" style="22" hidden="1" customWidth="1" outlineLevel="2"/>
    <col min="279" max="279" width="26.7109375" style="22" hidden="1" customWidth="1" outlineLevel="2"/>
    <col min="280" max="280" width="22.7109375" style="22" hidden="1" customWidth="1" outlineLevel="2"/>
    <col min="281" max="281" width="33.7109375" style="22" hidden="1" customWidth="1" outlineLevel="2"/>
    <col min="282" max="282" width="21.7109375" style="22" hidden="1" customWidth="1" outlineLevel="2"/>
    <col min="283" max="283" width="27.7109375" style="22" hidden="1" customWidth="1" outlineLevel="2"/>
    <col min="284" max="284" width="23.7109375" style="22" hidden="1" customWidth="1" outlineLevel="2"/>
    <col min="285" max="285" width="17.7109375" style="22" customWidth="1"/>
    <col min="286" max="286" width="21.7109375" style="22" customWidth="1"/>
    <col min="287" max="287" width="17.7109375" style="22" customWidth="1"/>
    <col min="288" max="288" width="13.7109375" style="22" customWidth="1"/>
    <col min="289" max="289" width="11.7109375" style="22" customWidth="1"/>
    <col min="290" max="290" width="10.7109375" style="22" customWidth="1"/>
    <col min="291" max="291" width="21.7109375" style="22" customWidth="1"/>
    <col min="292" max="292" width="29.7109375" style="22" customWidth="1"/>
    <col min="293" max="293" width="21.7109375" style="22" customWidth="1"/>
    <col min="294" max="294" width="12.7109375" style="22" customWidth="1"/>
    <col min="295" max="295" width="21.7109375" style="22" customWidth="1"/>
    <col min="296" max="296" width="29.7109375" style="22" customWidth="1"/>
    <col min="297" max="297" width="15.7109375" style="22" customWidth="1"/>
    <col min="298" max="298" width="22.7109375" style="22" customWidth="1"/>
    <col min="299" max="299" width="13.7109375" style="22" customWidth="1"/>
    <col min="300" max="300" width="15.7109375" style="22" customWidth="1"/>
    <col min="301" max="301" width="14.7109375" style="22" customWidth="1"/>
    <col min="302" max="302" width="39.7109375" style="22" customWidth="1"/>
    <col min="303" max="303" width="17.7109375" style="22" customWidth="1"/>
    <col min="304" max="304" width="43.7109375" style="22" customWidth="1"/>
    <col min="305" max="305" width="13.7109375" style="22" customWidth="1"/>
    <col min="306" max="306" width="40.7109375" style="22" customWidth="1"/>
    <col min="307" max="307" width="33.7109375" style="22" customWidth="1"/>
    <col min="308" max="308" width="28.7109375" style="22" customWidth="1"/>
    <col min="309" max="309" width="27.7109375" style="22" customWidth="1"/>
    <col min="310" max="310" width="24.7109375" style="22" customWidth="1"/>
    <col min="311" max="311" width="31.7109375" style="22" customWidth="1"/>
    <col min="312" max="312" width="107.7109375" style="22" customWidth="1"/>
    <col min="313" max="313" width="64.7109375" style="22" customWidth="1"/>
    <col min="314" max="314" width="31.7109375" style="22" customWidth="1"/>
    <col min="315" max="315" width="79.7109375" style="22" customWidth="1"/>
  </cols>
  <sheetData>
    <row r="1" spans="1:315" hidden="1">
      <c r="B1" s="22" t="s">
        <v>100</v>
      </c>
      <c r="C1" s="22" t="s">
        <v>101</v>
      </c>
      <c r="D1" s="22" t="s">
        <v>102</v>
      </c>
      <c r="E1" s="22" t="s">
        <v>103</v>
      </c>
      <c r="F1" s="22" t="s">
        <v>104</v>
      </c>
      <c r="G1" s="22" t="s">
        <v>105</v>
      </c>
      <c r="H1" s="22" t="s">
        <v>106</v>
      </c>
      <c r="I1" s="22" t="s">
        <v>107</v>
      </c>
      <c r="J1" s="22" t="s">
        <v>108</v>
      </c>
      <c r="K1" s="22" t="s">
        <v>109</v>
      </c>
      <c r="L1" s="22" t="s">
        <v>108</v>
      </c>
      <c r="M1" s="22" t="s">
        <v>109</v>
      </c>
      <c r="N1" s="22" t="s">
        <v>108</v>
      </c>
      <c r="O1" s="22" t="s">
        <v>109</v>
      </c>
      <c r="P1" s="22" t="s">
        <v>110</v>
      </c>
      <c r="Q1" s="22" t="s">
        <v>111</v>
      </c>
      <c r="R1" s="22" t="s">
        <v>112</v>
      </c>
      <c r="S1" s="22" t="s">
        <v>113</v>
      </c>
      <c r="T1" s="22" t="s">
        <v>114</v>
      </c>
      <c r="U1" s="22" t="s">
        <v>115</v>
      </c>
      <c r="V1" s="22" t="s">
        <v>115</v>
      </c>
      <c r="W1" s="22" t="s">
        <v>115</v>
      </c>
      <c r="X1" s="22" t="s">
        <v>115</v>
      </c>
      <c r="Y1" s="22" t="s">
        <v>115</v>
      </c>
      <c r="Z1" s="22" t="s">
        <v>115</v>
      </c>
      <c r="AA1" s="22" t="s">
        <v>115</v>
      </c>
      <c r="AB1" s="22" t="s">
        <v>115</v>
      </c>
      <c r="AC1" s="22" t="s">
        <v>116</v>
      </c>
      <c r="AD1" s="22" t="s">
        <v>117</v>
      </c>
      <c r="AE1" s="22" t="s">
        <v>118</v>
      </c>
      <c r="AF1" s="22" t="s">
        <v>119</v>
      </c>
      <c r="AG1" s="22" t="s">
        <v>120</v>
      </c>
      <c r="AH1" s="22" t="s">
        <v>121</v>
      </c>
      <c r="AI1" s="22" t="s">
        <v>122</v>
      </c>
      <c r="AJ1" s="22" t="s">
        <v>123</v>
      </c>
      <c r="AK1" s="22" t="s">
        <v>124</v>
      </c>
      <c r="AL1" s="22" t="s">
        <v>125</v>
      </c>
      <c r="AM1" s="22" t="s">
        <v>126</v>
      </c>
      <c r="AN1" s="22" t="s">
        <v>127</v>
      </c>
      <c r="AO1" s="22" t="s">
        <v>128</v>
      </c>
      <c r="AP1" s="22" t="s">
        <v>129</v>
      </c>
      <c r="AQ1" s="22" t="s">
        <v>130</v>
      </c>
      <c r="AR1" s="22" t="s">
        <v>131</v>
      </c>
      <c r="AS1" s="22" t="s">
        <v>128</v>
      </c>
      <c r="AT1" s="22" t="s">
        <v>129</v>
      </c>
      <c r="AU1" s="22" t="s">
        <v>130</v>
      </c>
      <c r="AV1" s="22" t="s">
        <v>131</v>
      </c>
      <c r="AW1" s="22" t="s">
        <v>128</v>
      </c>
      <c r="AX1" s="22" t="s">
        <v>129</v>
      </c>
      <c r="AY1" s="22" t="s">
        <v>130</v>
      </c>
      <c r="AZ1" s="22" t="s">
        <v>131</v>
      </c>
      <c r="BA1" s="22" t="s">
        <v>128</v>
      </c>
      <c r="BB1" s="22" t="s">
        <v>129</v>
      </c>
      <c r="BC1" s="22" t="s">
        <v>130</v>
      </c>
      <c r="BD1" s="22" t="s">
        <v>131</v>
      </c>
      <c r="BE1" s="22" t="s">
        <v>128</v>
      </c>
      <c r="BF1" s="22" t="s">
        <v>129</v>
      </c>
      <c r="BG1" s="22" t="s">
        <v>130</v>
      </c>
      <c r="BH1" s="22" t="s">
        <v>131</v>
      </c>
      <c r="BI1" s="22" t="s">
        <v>128</v>
      </c>
      <c r="BJ1" s="22" t="s">
        <v>129</v>
      </c>
      <c r="BK1" s="22" t="s">
        <v>130</v>
      </c>
      <c r="BL1" s="22" t="s">
        <v>131</v>
      </c>
      <c r="BM1" s="22" t="s">
        <v>128</v>
      </c>
      <c r="BN1" s="22" t="s">
        <v>129</v>
      </c>
      <c r="BO1" s="22" t="s">
        <v>130</v>
      </c>
      <c r="BP1" s="22" t="s">
        <v>131</v>
      </c>
      <c r="BQ1" s="22" t="s">
        <v>128</v>
      </c>
      <c r="BR1" s="22" t="s">
        <v>129</v>
      </c>
      <c r="BS1" s="22" t="s">
        <v>130</v>
      </c>
      <c r="BT1" s="22" t="s">
        <v>131</v>
      </c>
      <c r="BU1" s="22" t="s">
        <v>128</v>
      </c>
      <c r="BV1" s="22" t="s">
        <v>129</v>
      </c>
      <c r="BW1" s="22" t="s">
        <v>130</v>
      </c>
      <c r="BX1" s="22" t="s">
        <v>131</v>
      </c>
      <c r="BY1" s="22" t="s">
        <v>128</v>
      </c>
      <c r="BZ1" s="22" t="s">
        <v>129</v>
      </c>
      <c r="CA1" s="22" t="s">
        <v>130</v>
      </c>
      <c r="CB1" s="22" t="s">
        <v>131</v>
      </c>
      <c r="CC1" s="22" t="s">
        <v>128</v>
      </c>
      <c r="CD1" s="22" t="s">
        <v>129</v>
      </c>
      <c r="CE1" s="22" t="s">
        <v>130</v>
      </c>
      <c r="CF1" s="22" t="s">
        <v>131</v>
      </c>
      <c r="CG1" s="22" t="s">
        <v>128</v>
      </c>
      <c r="CH1" s="22" t="s">
        <v>129</v>
      </c>
      <c r="CI1" s="22" t="s">
        <v>130</v>
      </c>
      <c r="CJ1" s="22" t="s">
        <v>131</v>
      </c>
      <c r="CK1" s="22" t="s">
        <v>128</v>
      </c>
      <c r="CL1" s="22" t="s">
        <v>129</v>
      </c>
      <c r="CM1" s="22" t="s">
        <v>130</v>
      </c>
      <c r="CN1" s="22" t="s">
        <v>131</v>
      </c>
      <c r="CO1" s="22" t="s">
        <v>128</v>
      </c>
      <c r="CP1" s="22" t="s">
        <v>129</v>
      </c>
      <c r="CQ1" s="22" t="s">
        <v>130</v>
      </c>
      <c r="CR1" s="22" t="s">
        <v>131</v>
      </c>
      <c r="CS1" s="22" t="s">
        <v>128</v>
      </c>
      <c r="CT1" s="22" t="s">
        <v>129</v>
      </c>
      <c r="CU1" s="22" t="s">
        <v>130</v>
      </c>
      <c r="CV1" s="22" t="s">
        <v>131</v>
      </c>
      <c r="CW1" s="22" t="s">
        <v>128</v>
      </c>
      <c r="CX1" s="22" t="s">
        <v>129</v>
      </c>
      <c r="CY1" s="22" t="s">
        <v>130</v>
      </c>
      <c r="CZ1" s="22" t="s">
        <v>131</v>
      </c>
      <c r="DA1" s="22" t="s">
        <v>128</v>
      </c>
      <c r="DB1" s="22" t="s">
        <v>129</v>
      </c>
      <c r="DC1" s="22" t="s">
        <v>130</v>
      </c>
      <c r="DD1" s="22" t="s">
        <v>131</v>
      </c>
      <c r="DE1" s="22" t="s">
        <v>128</v>
      </c>
      <c r="DF1" s="22" t="s">
        <v>129</v>
      </c>
      <c r="DG1" s="22" t="s">
        <v>130</v>
      </c>
      <c r="DH1" s="22" t="s">
        <v>131</v>
      </c>
      <c r="DI1" s="22" t="s">
        <v>128</v>
      </c>
      <c r="DJ1" s="22" t="s">
        <v>129</v>
      </c>
      <c r="DK1" s="22" t="s">
        <v>130</v>
      </c>
      <c r="DL1" s="22" t="s">
        <v>131</v>
      </c>
      <c r="DM1" s="22" t="s">
        <v>128</v>
      </c>
      <c r="DN1" s="22" t="s">
        <v>129</v>
      </c>
      <c r="DO1" s="22" t="s">
        <v>130</v>
      </c>
      <c r="DP1" s="22" t="s">
        <v>131</v>
      </c>
      <c r="DQ1" s="22" t="s">
        <v>128</v>
      </c>
      <c r="DR1" s="22" t="s">
        <v>129</v>
      </c>
      <c r="DS1" s="22" t="s">
        <v>130</v>
      </c>
      <c r="DT1" s="22" t="s">
        <v>131</v>
      </c>
      <c r="DU1" s="22" t="s">
        <v>128</v>
      </c>
      <c r="DV1" s="22" t="s">
        <v>129</v>
      </c>
      <c r="DW1" s="22" t="s">
        <v>130</v>
      </c>
      <c r="DX1" s="22" t="s">
        <v>131</v>
      </c>
      <c r="DY1" s="22" t="s">
        <v>128</v>
      </c>
      <c r="DZ1" s="22" t="s">
        <v>129</v>
      </c>
      <c r="EA1" s="22" t="s">
        <v>130</v>
      </c>
      <c r="EB1" s="22" t="s">
        <v>131</v>
      </c>
      <c r="EC1" s="22" t="s">
        <v>128</v>
      </c>
      <c r="ED1" s="22" t="s">
        <v>129</v>
      </c>
      <c r="EE1" s="22" t="s">
        <v>130</v>
      </c>
      <c r="EF1" s="22" t="s">
        <v>131</v>
      </c>
      <c r="EG1" s="22" t="s">
        <v>128</v>
      </c>
      <c r="EH1" s="22" t="s">
        <v>129</v>
      </c>
      <c r="EI1" s="22" t="s">
        <v>130</v>
      </c>
      <c r="EJ1" s="22" t="s">
        <v>131</v>
      </c>
      <c r="EK1" s="22" t="s">
        <v>128</v>
      </c>
      <c r="EL1" s="22" t="s">
        <v>129</v>
      </c>
      <c r="EM1" s="22" t="s">
        <v>130</v>
      </c>
      <c r="EN1" s="22" t="s">
        <v>131</v>
      </c>
      <c r="EO1" s="22" t="s">
        <v>128</v>
      </c>
      <c r="EP1" s="22" t="s">
        <v>129</v>
      </c>
      <c r="EQ1" s="22" t="s">
        <v>130</v>
      </c>
      <c r="ER1" s="22" t="s">
        <v>131</v>
      </c>
      <c r="ES1" s="22" t="s">
        <v>128</v>
      </c>
      <c r="ET1" s="22" t="s">
        <v>129</v>
      </c>
      <c r="EU1" s="22" t="s">
        <v>130</v>
      </c>
      <c r="EV1" s="22" t="s">
        <v>131</v>
      </c>
      <c r="EW1" s="22" t="s">
        <v>128</v>
      </c>
      <c r="EX1" s="22" t="s">
        <v>129</v>
      </c>
      <c r="EY1" s="22" t="s">
        <v>130</v>
      </c>
      <c r="EZ1" s="22" t="s">
        <v>131</v>
      </c>
      <c r="FA1" s="22" t="s">
        <v>128</v>
      </c>
      <c r="FB1" s="22" t="s">
        <v>129</v>
      </c>
      <c r="FC1" s="22" t="s">
        <v>130</v>
      </c>
      <c r="FD1" s="22" t="s">
        <v>131</v>
      </c>
      <c r="FE1" s="22" t="s">
        <v>128</v>
      </c>
      <c r="FF1" s="22" t="s">
        <v>129</v>
      </c>
      <c r="FG1" s="22" t="s">
        <v>130</v>
      </c>
      <c r="FH1" s="22" t="s">
        <v>131</v>
      </c>
      <c r="FI1" s="22" t="s">
        <v>128</v>
      </c>
      <c r="FJ1" s="22" t="s">
        <v>129</v>
      </c>
      <c r="FK1" s="22" t="s">
        <v>130</v>
      </c>
      <c r="FL1" s="22" t="s">
        <v>131</v>
      </c>
      <c r="FM1" s="22" t="s">
        <v>128</v>
      </c>
      <c r="FN1" s="22" t="s">
        <v>129</v>
      </c>
      <c r="FO1" s="22" t="s">
        <v>130</v>
      </c>
      <c r="FP1" s="22" t="s">
        <v>131</v>
      </c>
      <c r="FQ1" s="22" t="s">
        <v>128</v>
      </c>
      <c r="FR1" s="22" t="s">
        <v>129</v>
      </c>
      <c r="FS1" s="22" t="s">
        <v>130</v>
      </c>
      <c r="FT1" s="22" t="s">
        <v>131</v>
      </c>
      <c r="FU1" s="22" t="s">
        <v>128</v>
      </c>
      <c r="FV1" s="22" t="s">
        <v>129</v>
      </c>
      <c r="FW1" s="22" t="s">
        <v>130</v>
      </c>
      <c r="FX1" s="22" t="s">
        <v>131</v>
      </c>
      <c r="FY1" s="22" t="s">
        <v>128</v>
      </c>
      <c r="FZ1" s="22" t="s">
        <v>129</v>
      </c>
      <c r="GA1" s="22" t="s">
        <v>130</v>
      </c>
      <c r="GB1" s="22" t="s">
        <v>131</v>
      </c>
      <c r="GC1" s="22" t="s">
        <v>128</v>
      </c>
      <c r="GD1" s="22" t="s">
        <v>129</v>
      </c>
      <c r="GE1" s="22" t="s">
        <v>130</v>
      </c>
      <c r="GF1" s="22" t="s">
        <v>131</v>
      </c>
      <c r="GG1" s="22" t="s">
        <v>128</v>
      </c>
      <c r="GH1" s="22" t="s">
        <v>129</v>
      </c>
      <c r="GI1" s="22" t="s">
        <v>130</v>
      </c>
      <c r="GJ1" s="22" t="s">
        <v>131</v>
      </c>
      <c r="GK1" s="22" t="s">
        <v>128</v>
      </c>
      <c r="GL1" s="22" t="s">
        <v>129</v>
      </c>
      <c r="GM1" s="22" t="s">
        <v>130</v>
      </c>
      <c r="GN1" s="22" t="s">
        <v>131</v>
      </c>
      <c r="GO1" s="22" t="s">
        <v>128</v>
      </c>
      <c r="GP1" s="22" t="s">
        <v>129</v>
      </c>
      <c r="GQ1" s="22" t="s">
        <v>130</v>
      </c>
      <c r="GR1" s="22" t="s">
        <v>131</v>
      </c>
      <c r="GS1" s="22" t="s">
        <v>132</v>
      </c>
      <c r="GT1" s="22" t="s">
        <v>133</v>
      </c>
      <c r="GU1" s="22" t="s">
        <v>134</v>
      </c>
      <c r="GV1" s="22" t="s">
        <v>135</v>
      </c>
      <c r="GW1" s="22" t="s">
        <v>134</v>
      </c>
      <c r="GX1" s="22" t="s">
        <v>135</v>
      </c>
      <c r="GY1" s="22" t="s">
        <v>134</v>
      </c>
      <c r="GZ1" s="22" t="s">
        <v>135</v>
      </c>
      <c r="HA1" s="22" t="s">
        <v>134</v>
      </c>
      <c r="HB1" s="22" t="s">
        <v>135</v>
      </c>
      <c r="HC1" s="22" t="s">
        <v>134</v>
      </c>
      <c r="HD1" s="22" t="s">
        <v>135</v>
      </c>
      <c r="HE1" s="22" t="s">
        <v>136</v>
      </c>
      <c r="HF1" s="22" t="s">
        <v>136</v>
      </c>
      <c r="HG1" s="22" t="s">
        <v>136</v>
      </c>
      <c r="HH1" s="22" t="s">
        <v>136</v>
      </c>
      <c r="HI1" s="22" t="s">
        <v>136</v>
      </c>
      <c r="HJ1" s="22" t="s">
        <v>136</v>
      </c>
      <c r="HK1" s="22" t="s">
        <v>136</v>
      </c>
      <c r="HL1" s="22" t="s">
        <v>136</v>
      </c>
      <c r="HM1" s="22" t="s">
        <v>136</v>
      </c>
      <c r="HN1" s="22" t="s">
        <v>136</v>
      </c>
      <c r="HO1" s="22" t="s">
        <v>136</v>
      </c>
      <c r="HP1" s="22" t="s">
        <v>136</v>
      </c>
      <c r="HQ1" s="22" t="s">
        <v>136</v>
      </c>
      <c r="HR1" s="22" t="s">
        <v>136</v>
      </c>
      <c r="HS1" s="22" t="s">
        <v>136</v>
      </c>
      <c r="HT1" s="22" t="s">
        <v>136</v>
      </c>
      <c r="HU1" s="22" t="s">
        <v>136</v>
      </c>
      <c r="HV1" s="22" t="s">
        <v>136</v>
      </c>
      <c r="HW1" s="22" t="s">
        <v>136</v>
      </c>
      <c r="HX1" s="22" t="s">
        <v>136</v>
      </c>
      <c r="HY1" s="22" t="s">
        <v>136</v>
      </c>
      <c r="HZ1" s="22" t="s">
        <v>136</v>
      </c>
      <c r="IA1" s="22" t="s">
        <v>136</v>
      </c>
      <c r="IB1" s="22" t="s">
        <v>136</v>
      </c>
      <c r="IC1" s="22" t="s">
        <v>136</v>
      </c>
      <c r="ID1" s="22" t="s">
        <v>136</v>
      </c>
      <c r="IE1" s="22" t="s">
        <v>136</v>
      </c>
      <c r="IF1" s="22" t="s">
        <v>136</v>
      </c>
      <c r="IG1" s="22" t="s">
        <v>136</v>
      </c>
      <c r="IH1" s="22" t="s">
        <v>136</v>
      </c>
      <c r="II1" s="22" t="s">
        <v>137</v>
      </c>
      <c r="IJ1" s="22" t="s">
        <v>137</v>
      </c>
      <c r="IK1" s="22" t="s">
        <v>138</v>
      </c>
      <c r="IL1" s="22" t="s">
        <v>139</v>
      </c>
      <c r="IM1" s="22" t="s">
        <v>140</v>
      </c>
      <c r="IN1" s="22" t="s">
        <v>141</v>
      </c>
      <c r="IO1" s="22" t="s">
        <v>138</v>
      </c>
      <c r="IP1" s="22" t="s">
        <v>139</v>
      </c>
      <c r="IQ1" s="22" t="s">
        <v>140</v>
      </c>
      <c r="IR1" s="22" t="s">
        <v>141</v>
      </c>
      <c r="IS1" s="22" t="s">
        <v>138</v>
      </c>
      <c r="IT1" s="22" t="s">
        <v>139</v>
      </c>
      <c r="IU1" s="22" t="s">
        <v>140</v>
      </c>
      <c r="IV1" s="22" t="s">
        <v>141</v>
      </c>
      <c r="IW1" s="22" t="s">
        <v>138</v>
      </c>
      <c r="IX1" s="22" t="s">
        <v>139</v>
      </c>
      <c r="IY1" s="22" t="s">
        <v>140</v>
      </c>
      <c r="IZ1" s="22" t="s">
        <v>141</v>
      </c>
      <c r="JA1" s="22" t="s">
        <v>138</v>
      </c>
      <c r="JB1" s="22" t="s">
        <v>139</v>
      </c>
      <c r="JC1" s="22" t="s">
        <v>140</v>
      </c>
      <c r="JD1" s="22" t="s">
        <v>141</v>
      </c>
      <c r="JE1" s="22" t="s">
        <v>138</v>
      </c>
      <c r="JF1" s="22" t="s">
        <v>139</v>
      </c>
      <c r="JG1" s="22" t="s">
        <v>140</v>
      </c>
      <c r="JH1" s="22" t="s">
        <v>141</v>
      </c>
      <c r="JI1" s="22" t="s">
        <v>138</v>
      </c>
      <c r="JJ1" s="22" t="s">
        <v>139</v>
      </c>
      <c r="JK1" s="22" t="s">
        <v>140</v>
      </c>
      <c r="JL1" s="22" t="s">
        <v>141</v>
      </c>
      <c r="JM1" s="22" t="s">
        <v>138</v>
      </c>
      <c r="JN1" s="22" t="s">
        <v>139</v>
      </c>
      <c r="JO1" s="22" t="s">
        <v>140</v>
      </c>
      <c r="JP1" s="22" t="s">
        <v>141</v>
      </c>
      <c r="JQ1" s="22" t="s">
        <v>138</v>
      </c>
      <c r="JR1" s="22" t="s">
        <v>139</v>
      </c>
      <c r="JS1" s="22" t="s">
        <v>140</v>
      </c>
      <c r="JT1" s="22" t="s">
        <v>141</v>
      </c>
      <c r="JU1" s="22" t="s">
        <v>138</v>
      </c>
      <c r="JV1" s="22" t="s">
        <v>139</v>
      </c>
      <c r="JW1" s="22" t="s">
        <v>140</v>
      </c>
      <c r="JX1" s="22" t="s">
        <v>141</v>
      </c>
      <c r="JY1" s="22" t="s">
        <v>142</v>
      </c>
      <c r="JZ1" s="22" t="s">
        <v>621</v>
      </c>
      <c r="KA1" s="22" t="s">
        <v>622</v>
      </c>
      <c r="KB1" s="22" t="s">
        <v>145</v>
      </c>
      <c r="KC1" s="22" t="s">
        <v>623</v>
      </c>
      <c r="KD1" s="22" t="s">
        <v>155</v>
      </c>
      <c r="KE1" s="22" t="s">
        <v>159</v>
      </c>
      <c r="KF1" s="22" t="s">
        <v>158</v>
      </c>
      <c r="KG1" s="22" t="s">
        <v>624</v>
      </c>
      <c r="KH1" s="22" t="s">
        <v>625</v>
      </c>
      <c r="KI1" s="22" t="s">
        <v>626</v>
      </c>
      <c r="KJ1" s="22" t="s">
        <v>627</v>
      </c>
      <c r="KK1" s="22" t="s">
        <v>628</v>
      </c>
      <c r="KL1" s="22" t="s">
        <v>629</v>
      </c>
      <c r="KM1" s="22" t="s">
        <v>630</v>
      </c>
      <c r="KN1" s="22" t="s">
        <v>153</v>
      </c>
      <c r="KO1" s="22" t="s">
        <v>160</v>
      </c>
      <c r="KP1" s="22" t="s">
        <v>197</v>
      </c>
      <c r="KQ1" s="22" t="s">
        <v>631</v>
      </c>
      <c r="KR1" s="22" t="s">
        <v>150</v>
      </c>
      <c r="KS1" s="22" t="s">
        <v>151</v>
      </c>
      <c r="KT1" s="22" t="s">
        <v>632</v>
      </c>
      <c r="KU1" s="22" t="s">
        <v>162</v>
      </c>
      <c r="KV1" s="22" t="s">
        <v>633</v>
      </c>
      <c r="KW1" s="22" t="s">
        <v>163</v>
      </c>
      <c r="KX1" s="22" t="s">
        <v>164</v>
      </c>
      <c r="KY1" s="22" t="s">
        <v>165</v>
      </c>
      <c r="KZ1" s="22" t="s">
        <v>166</v>
      </c>
      <c r="LA1" s="22" t="s">
        <v>167</v>
      </c>
      <c r="LB1" s="22" t="s">
        <v>168</v>
      </c>
      <c r="LC1" s="22" t="s">
        <v>170</v>
      </c>
    </row>
    <row r="2" spans="1:315" hidden="1">
      <c r="J2" s="22" t="s">
        <v>171</v>
      </c>
      <c r="K2" s="22" t="s">
        <v>171</v>
      </c>
      <c r="L2" s="22" t="s">
        <v>172</v>
      </c>
      <c r="M2" s="22" t="s">
        <v>172</v>
      </c>
      <c r="N2" s="22" t="s">
        <v>173</v>
      </c>
      <c r="O2" s="22" t="s">
        <v>173</v>
      </c>
      <c r="U2" s="22" t="s">
        <v>171</v>
      </c>
      <c r="V2" s="22" t="s">
        <v>172</v>
      </c>
      <c r="W2" s="22" t="s">
        <v>173</v>
      </c>
      <c r="X2" s="22" t="s">
        <v>174</v>
      </c>
      <c r="Y2" s="22" t="s">
        <v>175</v>
      </c>
      <c r="Z2" s="22" t="s">
        <v>176</v>
      </c>
      <c r="AA2" s="22" t="s">
        <v>177</v>
      </c>
      <c r="AB2" s="22" t="s">
        <v>178</v>
      </c>
      <c r="AO2" s="22" t="s">
        <v>171</v>
      </c>
      <c r="AP2" s="22" t="s">
        <v>171</v>
      </c>
      <c r="AQ2" s="22" t="s">
        <v>171</v>
      </c>
      <c r="AR2" s="22" t="s">
        <v>171</v>
      </c>
      <c r="AS2" s="22" t="s">
        <v>172</v>
      </c>
      <c r="AT2" s="22" t="s">
        <v>172</v>
      </c>
      <c r="AU2" s="22" t="s">
        <v>172</v>
      </c>
      <c r="AV2" s="22" t="s">
        <v>172</v>
      </c>
      <c r="AW2" s="22" t="s">
        <v>173</v>
      </c>
      <c r="AX2" s="22" t="s">
        <v>173</v>
      </c>
      <c r="AY2" s="22" t="s">
        <v>173</v>
      </c>
      <c r="AZ2" s="22" t="s">
        <v>173</v>
      </c>
      <c r="BA2" s="22" t="s">
        <v>174</v>
      </c>
      <c r="BB2" s="22" t="s">
        <v>174</v>
      </c>
      <c r="BC2" s="22" t="s">
        <v>174</v>
      </c>
      <c r="BD2" s="22" t="s">
        <v>174</v>
      </c>
      <c r="BE2" s="22" t="s">
        <v>175</v>
      </c>
      <c r="BF2" s="22" t="s">
        <v>175</v>
      </c>
      <c r="BG2" s="22" t="s">
        <v>175</v>
      </c>
      <c r="BH2" s="22" t="s">
        <v>175</v>
      </c>
      <c r="BI2" s="22" t="s">
        <v>176</v>
      </c>
      <c r="BJ2" s="22" t="s">
        <v>176</v>
      </c>
      <c r="BK2" s="22" t="s">
        <v>176</v>
      </c>
      <c r="BL2" s="22" t="s">
        <v>176</v>
      </c>
      <c r="BM2" s="22" t="s">
        <v>177</v>
      </c>
      <c r="BN2" s="22" t="s">
        <v>177</v>
      </c>
      <c r="BO2" s="22" t="s">
        <v>177</v>
      </c>
      <c r="BP2" s="22" t="s">
        <v>177</v>
      </c>
      <c r="BQ2" s="22" t="s">
        <v>178</v>
      </c>
      <c r="BR2" s="22" t="s">
        <v>178</v>
      </c>
      <c r="BS2" s="22" t="s">
        <v>178</v>
      </c>
      <c r="BT2" s="22" t="s">
        <v>178</v>
      </c>
      <c r="BU2" s="22" t="s">
        <v>179</v>
      </c>
      <c r="BV2" s="22" t="s">
        <v>179</v>
      </c>
      <c r="BW2" s="22" t="s">
        <v>179</v>
      </c>
      <c r="BX2" s="22" t="s">
        <v>179</v>
      </c>
      <c r="BY2" s="22" t="s">
        <v>180</v>
      </c>
      <c r="BZ2" s="22" t="s">
        <v>180</v>
      </c>
      <c r="CA2" s="22" t="s">
        <v>180</v>
      </c>
      <c r="CB2" s="22" t="s">
        <v>180</v>
      </c>
      <c r="CC2" s="22" t="s">
        <v>181</v>
      </c>
      <c r="CD2" s="22" t="s">
        <v>181</v>
      </c>
      <c r="CE2" s="22" t="s">
        <v>181</v>
      </c>
      <c r="CF2" s="22" t="s">
        <v>181</v>
      </c>
      <c r="CG2" s="22" t="s">
        <v>182</v>
      </c>
      <c r="CH2" s="22" t="s">
        <v>182</v>
      </c>
      <c r="CI2" s="22" t="s">
        <v>182</v>
      </c>
      <c r="CJ2" s="22" t="s">
        <v>182</v>
      </c>
      <c r="CK2" s="22" t="s">
        <v>183</v>
      </c>
      <c r="CL2" s="22" t="s">
        <v>183</v>
      </c>
      <c r="CM2" s="22" t="s">
        <v>183</v>
      </c>
      <c r="CN2" s="22" t="s">
        <v>183</v>
      </c>
      <c r="CO2" s="22" t="s">
        <v>184</v>
      </c>
      <c r="CP2" s="22" t="s">
        <v>184</v>
      </c>
      <c r="CQ2" s="22" t="s">
        <v>184</v>
      </c>
      <c r="CR2" s="22" t="s">
        <v>184</v>
      </c>
      <c r="CS2" s="22" t="s">
        <v>185</v>
      </c>
      <c r="CT2" s="22" t="s">
        <v>185</v>
      </c>
      <c r="CU2" s="22" t="s">
        <v>185</v>
      </c>
      <c r="CV2" s="22" t="s">
        <v>185</v>
      </c>
      <c r="CW2" s="22" t="s">
        <v>186</v>
      </c>
      <c r="CX2" s="22" t="s">
        <v>186</v>
      </c>
      <c r="CY2" s="22" t="s">
        <v>186</v>
      </c>
      <c r="CZ2" s="22" t="s">
        <v>186</v>
      </c>
      <c r="DA2" s="22" t="s">
        <v>187</v>
      </c>
      <c r="DB2" s="22" t="s">
        <v>187</v>
      </c>
      <c r="DC2" s="22" t="s">
        <v>187</v>
      </c>
      <c r="DD2" s="22" t="s">
        <v>187</v>
      </c>
      <c r="DE2" s="22" t="s">
        <v>188</v>
      </c>
      <c r="DF2" s="22" t="s">
        <v>188</v>
      </c>
      <c r="DG2" s="22" t="s">
        <v>188</v>
      </c>
      <c r="DH2" s="22" t="s">
        <v>188</v>
      </c>
      <c r="DI2" s="22" t="s">
        <v>189</v>
      </c>
      <c r="DJ2" s="22" t="s">
        <v>189</v>
      </c>
      <c r="DK2" s="22" t="s">
        <v>189</v>
      </c>
      <c r="DL2" s="22" t="s">
        <v>189</v>
      </c>
      <c r="DM2" s="22" t="s">
        <v>190</v>
      </c>
      <c r="DN2" s="22" t="s">
        <v>190</v>
      </c>
      <c r="DO2" s="22" t="s">
        <v>190</v>
      </c>
      <c r="DP2" s="22" t="s">
        <v>190</v>
      </c>
      <c r="DQ2" s="22" t="s">
        <v>191</v>
      </c>
      <c r="DR2" s="22" t="s">
        <v>191</v>
      </c>
      <c r="DS2" s="22" t="s">
        <v>191</v>
      </c>
      <c r="DT2" s="22" t="s">
        <v>191</v>
      </c>
      <c r="DU2" s="22" t="s">
        <v>192</v>
      </c>
      <c r="DV2" s="22" t="s">
        <v>192</v>
      </c>
      <c r="DW2" s="22" t="s">
        <v>192</v>
      </c>
      <c r="DX2" s="22" t="s">
        <v>192</v>
      </c>
      <c r="DY2" s="22" t="s">
        <v>193</v>
      </c>
      <c r="DZ2" s="22" t="s">
        <v>193</v>
      </c>
      <c r="EA2" s="22" t="s">
        <v>193</v>
      </c>
      <c r="EB2" s="22" t="s">
        <v>193</v>
      </c>
      <c r="EC2" s="22" t="s">
        <v>194</v>
      </c>
      <c r="ED2" s="22" t="s">
        <v>194</v>
      </c>
      <c r="EE2" s="22" t="s">
        <v>194</v>
      </c>
      <c r="EF2" s="22" t="s">
        <v>194</v>
      </c>
      <c r="EG2" s="22" t="s">
        <v>195</v>
      </c>
      <c r="EH2" s="22" t="s">
        <v>195</v>
      </c>
      <c r="EI2" s="22" t="s">
        <v>195</v>
      </c>
      <c r="EJ2" s="22" t="s">
        <v>195</v>
      </c>
      <c r="EK2" s="22" t="s">
        <v>196</v>
      </c>
      <c r="EL2" s="22" t="s">
        <v>196</v>
      </c>
      <c r="EM2" s="22" t="s">
        <v>196</v>
      </c>
      <c r="EN2" s="22" t="s">
        <v>196</v>
      </c>
      <c r="EO2" s="22" t="s">
        <v>197</v>
      </c>
      <c r="EP2" s="22" t="s">
        <v>197</v>
      </c>
      <c r="EQ2" s="22" t="s">
        <v>197</v>
      </c>
      <c r="ER2" s="22" t="s">
        <v>197</v>
      </c>
      <c r="ES2" s="22" t="s">
        <v>164</v>
      </c>
      <c r="ET2" s="22" t="s">
        <v>164</v>
      </c>
      <c r="EU2" s="22" t="s">
        <v>164</v>
      </c>
      <c r="EV2" s="22" t="s">
        <v>164</v>
      </c>
      <c r="EW2" s="22" t="s">
        <v>198</v>
      </c>
      <c r="EX2" s="22" t="s">
        <v>198</v>
      </c>
      <c r="EY2" s="22" t="s">
        <v>198</v>
      </c>
      <c r="EZ2" s="22" t="s">
        <v>198</v>
      </c>
      <c r="FA2" s="22" t="s">
        <v>199</v>
      </c>
      <c r="FB2" s="22" t="s">
        <v>199</v>
      </c>
      <c r="FC2" s="22" t="s">
        <v>199</v>
      </c>
      <c r="FD2" s="22" t="s">
        <v>199</v>
      </c>
      <c r="FE2" s="22" t="s">
        <v>167</v>
      </c>
      <c r="FF2" s="22" t="s">
        <v>167</v>
      </c>
      <c r="FG2" s="22" t="s">
        <v>167</v>
      </c>
      <c r="FH2" s="22" t="s">
        <v>167</v>
      </c>
      <c r="FI2" s="22" t="s">
        <v>200</v>
      </c>
      <c r="FJ2" s="22" t="s">
        <v>200</v>
      </c>
      <c r="FK2" s="22" t="s">
        <v>200</v>
      </c>
      <c r="FL2" s="22" t="s">
        <v>200</v>
      </c>
      <c r="FM2" s="22" t="s">
        <v>201</v>
      </c>
      <c r="FN2" s="22" t="s">
        <v>201</v>
      </c>
      <c r="FO2" s="22" t="s">
        <v>201</v>
      </c>
      <c r="FP2" s="22" t="s">
        <v>201</v>
      </c>
      <c r="FQ2" s="22" t="s">
        <v>202</v>
      </c>
      <c r="FR2" s="22" t="s">
        <v>202</v>
      </c>
      <c r="FS2" s="22" t="s">
        <v>202</v>
      </c>
      <c r="FT2" s="22" t="s">
        <v>202</v>
      </c>
      <c r="FU2" s="22" t="s">
        <v>203</v>
      </c>
      <c r="FV2" s="22" t="s">
        <v>203</v>
      </c>
      <c r="FW2" s="22" t="s">
        <v>203</v>
      </c>
      <c r="FX2" s="22" t="s">
        <v>203</v>
      </c>
      <c r="FY2" s="22" t="s">
        <v>204</v>
      </c>
      <c r="FZ2" s="22" t="s">
        <v>204</v>
      </c>
      <c r="GA2" s="22" t="s">
        <v>204</v>
      </c>
      <c r="GB2" s="22" t="s">
        <v>204</v>
      </c>
      <c r="GC2" s="22" t="s">
        <v>205</v>
      </c>
      <c r="GD2" s="22" t="s">
        <v>205</v>
      </c>
      <c r="GE2" s="22" t="s">
        <v>205</v>
      </c>
      <c r="GF2" s="22" t="s">
        <v>205</v>
      </c>
      <c r="GG2" s="22" t="s">
        <v>206</v>
      </c>
      <c r="GH2" s="22" t="s">
        <v>206</v>
      </c>
      <c r="GI2" s="22" t="s">
        <v>206</v>
      </c>
      <c r="GJ2" s="22" t="s">
        <v>206</v>
      </c>
      <c r="GK2" s="22" t="s">
        <v>207</v>
      </c>
      <c r="GL2" s="22" t="s">
        <v>207</v>
      </c>
      <c r="GM2" s="22" t="s">
        <v>207</v>
      </c>
      <c r="GN2" s="22" t="s">
        <v>207</v>
      </c>
      <c r="GO2" s="22" t="s">
        <v>208</v>
      </c>
      <c r="GP2" s="22" t="s">
        <v>208</v>
      </c>
      <c r="GQ2" s="22" t="s">
        <v>208</v>
      </c>
      <c r="GR2" s="22" t="s">
        <v>208</v>
      </c>
      <c r="GU2" s="22" t="s">
        <v>171</v>
      </c>
      <c r="GV2" s="22" t="s">
        <v>171</v>
      </c>
      <c r="GW2" s="22" t="s">
        <v>172</v>
      </c>
      <c r="GX2" s="22" t="s">
        <v>172</v>
      </c>
      <c r="GY2" s="22" t="s">
        <v>173</v>
      </c>
      <c r="GZ2" s="22" t="s">
        <v>173</v>
      </c>
      <c r="HA2" s="22" t="s">
        <v>174</v>
      </c>
      <c r="HB2" s="22" t="s">
        <v>174</v>
      </c>
      <c r="HC2" s="22" t="s">
        <v>175</v>
      </c>
      <c r="HD2" s="22" t="s">
        <v>175</v>
      </c>
      <c r="HE2" s="22" t="s">
        <v>171</v>
      </c>
      <c r="HF2" s="22" t="s">
        <v>172</v>
      </c>
      <c r="HG2" s="22" t="s">
        <v>173</v>
      </c>
      <c r="HH2" s="22" t="s">
        <v>174</v>
      </c>
      <c r="HI2" s="22" t="s">
        <v>175</v>
      </c>
      <c r="HJ2" s="22" t="s">
        <v>176</v>
      </c>
      <c r="HK2" s="22" t="s">
        <v>177</v>
      </c>
      <c r="HL2" s="22" t="s">
        <v>178</v>
      </c>
      <c r="HM2" s="22" t="s">
        <v>179</v>
      </c>
      <c r="HN2" s="22" t="s">
        <v>180</v>
      </c>
      <c r="HO2" s="22" t="s">
        <v>181</v>
      </c>
      <c r="HP2" s="22" t="s">
        <v>182</v>
      </c>
      <c r="HQ2" s="22" t="s">
        <v>183</v>
      </c>
      <c r="HR2" s="22" t="s">
        <v>184</v>
      </c>
      <c r="HS2" s="22" t="s">
        <v>185</v>
      </c>
      <c r="HT2" s="22" t="s">
        <v>186</v>
      </c>
      <c r="HU2" s="22" t="s">
        <v>187</v>
      </c>
      <c r="HV2" s="22" t="s">
        <v>188</v>
      </c>
      <c r="HW2" s="22" t="s">
        <v>189</v>
      </c>
      <c r="HX2" s="22" t="s">
        <v>190</v>
      </c>
      <c r="HY2" s="22" t="s">
        <v>191</v>
      </c>
      <c r="HZ2" s="22" t="s">
        <v>192</v>
      </c>
      <c r="IA2" s="22" t="s">
        <v>193</v>
      </c>
      <c r="IB2" s="22" t="s">
        <v>194</v>
      </c>
      <c r="IC2" s="22" t="s">
        <v>195</v>
      </c>
      <c r="ID2" s="22" t="s">
        <v>196</v>
      </c>
      <c r="IE2" s="22" t="s">
        <v>197</v>
      </c>
      <c r="IF2" s="22" t="s">
        <v>164</v>
      </c>
      <c r="IG2" s="22" t="s">
        <v>198</v>
      </c>
      <c r="IH2" s="22" t="s">
        <v>199</v>
      </c>
      <c r="II2" s="22" t="s">
        <v>171</v>
      </c>
      <c r="IJ2" s="22" t="s">
        <v>172</v>
      </c>
      <c r="IK2" s="22" t="s">
        <v>171</v>
      </c>
      <c r="IL2" s="22" t="s">
        <v>171</v>
      </c>
      <c r="IM2" s="22" t="s">
        <v>171</v>
      </c>
      <c r="IN2" s="22" t="s">
        <v>171</v>
      </c>
      <c r="IO2" s="22" t="s">
        <v>172</v>
      </c>
      <c r="IP2" s="22" t="s">
        <v>172</v>
      </c>
      <c r="IQ2" s="22" t="s">
        <v>172</v>
      </c>
      <c r="IR2" s="22" t="s">
        <v>172</v>
      </c>
      <c r="IS2" s="22" t="s">
        <v>173</v>
      </c>
      <c r="IT2" s="22" t="s">
        <v>173</v>
      </c>
      <c r="IU2" s="22" t="s">
        <v>173</v>
      </c>
      <c r="IV2" s="22" t="s">
        <v>173</v>
      </c>
      <c r="IW2" s="22" t="s">
        <v>174</v>
      </c>
      <c r="IX2" s="22" t="s">
        <v>174</v>
      </c>
      <c r="IY2" s="22" t="s">
        <v>174</v>
      </c>
      <c r="IZ2" s="22" t="s">
        <v>174</v>
      </c>
      <c r="JA2" s="22" t="s">
        <v>175</v>
      </c>
      <c r="JB2" s="22" t="s">
        <v>175</v>
      </c>
      <c r="JC2" s="22" t="s">
        <v>175</v>
      </c>
      <c r="JD2" s="22" t="s">
        <v>175</v>
      </c>
      <c r="JE2" s="22" t="s">
        <v>176</v>
      </c>
      <c r="JF2" s="22" t="s">
        <v>176</v>
      </c>
      <c r="JG2" s="22" t="s">
        <v>176</v>
      </c>
      <c r="JH2" s="22" t="s">
        <v>176</v>
      </c>
      <c r="JI2" s="22" t="s">
        <v>177</v>
      </c>
      <c r="JJ2" s="22" t="s">
        <v>177</v>
      </c>
      <c r="JK2" s="22" t="s">
        <v>177</v>
      </c>
      <c r="JL2" s="22" t="s">
        <v>177</v>
      </c>
      <c r="JM2" s="22" t="s">
        <v>178</v>
      </c>
      <c r="JN2" s="22" t="s">
        <v>178</v>
      </c>
      <c r="JO2" s="22" t="s">
        <v>178</v>
      </c>
      <c r="JP2" s="22" t="s">
        <v>178</v>
      </c>
      <c r="JQ2" s="22" t="s">
        <v>179</v>
      </c>
      <c r="JR2" s="22" t="s">
        <v>179</v>
      </c>
      <c r="JS2" s="22" t="s">
        <v>179</v>
      </c>
      <c r="JT2" s="22" t="s">
        <v>179</v>
      </c>
      <c r="JU2" s="22" t="s">
        <v>180</v>
      </c>
      <c r="JV2" s="22" t="s">
        <v>180</v>
      </c>
      <c r="JW2" s="22" t="s">
        <v>180</v>
      </c>
      <c r="JX2" s="22" t="s">
        <v>180</v>
      </c>
    </row>
    <row r="3" spans="1:315">
      <c r="B3" s="23" t="s">
        <v>209</v>
      </c>
      <c r="F3" s="23" t="s">
        <v>210</v>
      </c>
      <c r="H3" s="24" t="s">
        <v>1</v>
      </c>
      <c r="P3" s="25" t="s">
        <v>211</v>
      </c>
      <c r="T3" s="26" t="s">
        <v>212</v>
      </c>
      <c r="AC3" s="27" t="s">
        <v>213</v>
      </c>
      <c r="AO3" s="28" t="s">
        <v>214</v>
      </c>
      <c r="GS3" s="29" t="s">
        <v>215</v>
      </c>
      <c r="HE3" s="30" t="s">
        <v>43</v>
      </c>
      <c r="JY3" s="31" t="s">
        <v>216</v>
      </c>
    </row>
    <row r="4" spans="1:315" ht="32" customHeight="1">
      <c r="B4" s="32" t="s">
        <v>62</v>
      </c>
      <c r="C4" s="32" t="s">
        <v>62</v>
      </c>
      <c r="D4" s="32" t="s">
        <v>63</v>
      </c>
      <c r="E4" s="32" t="s">
        <v>62</v>
      </c>
      <c r="F4" s="32" t="s">
        <v>62</v>
      </c>
      <c r="G4" s="32" t="s">
        <v>65</v>
      </c>
      <c r="H4" s="32" t="s">
        <v>63</v>
      </c>
      <c r="I4" s="32" t="s">
        <v>65</v>
      </c>
      <c r="J4" s="32" t="s">
        <v>65</v>
      </c>
      <c r="K4" s="32" t="s">
        <v>65</v>
      </c>
      <c r="L4" s="32" t="s">
        <v>65</v>
      </c>
      <c r="M4" s="32" t="s">
        <v>65</v>
      </c>
      <c r="N4" s="32" t="s">
        <v>65</v>
      </c>
      <c r="O4" s="32" t="s">
        <v>65</v>
      </c>
      <c r="P4" s="32" t="s">
        <v>62</v>
      </c>
      <c r="Q4" s="32" t="s">
        <v>64</v>
      </c>
      <c r="R4" s="32" t="s">
        <v>64</v>
      </c>
      <c r="S4" s="32" t="s">
        <v>64</v>
      </c>
      <c r="T4" s="32" t="s">
        <v>65</v>
      </c>
      <c r="U4" s="32" t="s">
        <v>65</v>
      </c>
      <c r="V4" s="32" t="s">
        <v>65</v>
      </c>
      <c r="W4" s="32" t="s">
        <v>65</v>
      </c>
      <c r="X4" s="32" t="s">
        <v>65</v>
      </c>
      <c r="Y4" s="32" t="s">
        <v>65</v>
      </c>
      <c r="Z4" s="32" t="s">
        <v>65</v>
      </c>
      <c r="AA4" s="32" t="s">
        <v>65</v>
      </c>
      <c r="AB4" s="32" t="s">
        <v>65</v>
      </c>
      <c r="AC4" s="32" t="s">
        <v>64</v>
      </c>
      <c r="AD4" s="32" t="s">
        <v>62</v>
      </c>
      <c r="AE4" s="32" t="s">
        <v>62</v>
      </c>
      <c r="AF4" s="32" t="s">
        <v>62</v>
      </c>
      <c r="AG4" s="32" t="s">
        <v>62</v>
      </c>
      <c r="AH4" s="32" t="s">
        <v>62</v>
      </c>
      <c r="AI4" s="32" t="s">
        <v>65</v>
      </c>
      <c r="AJ4" s="32" t="s">
        <v>62</v>
      </c>
      <c r="AK4" s="32" t="s">
        <v>62</v>
      </c>
      <c r="AL4" s="32" t="s">
        <v>65</v>
      </c>
      <c r="AM4" s="32" t="s">
        <v>65</v>
      </c>
      <c r="AN4" s="32" t="s">
        <v>65</v>
      </c>
      <c r="AO4" s="32" t="s">
        <v>62</v>
      </c>
      <c r="AP4" s="32" t="s">
        <v>62</v>
      </c>
      <c r="AQ4" s="32" t="s">
        <v>62</v>
      </c>
      <c r="AR4" s="32" t="s">
        <v>62</v>
      </c>
      <c r="AS4" s="32" t="s">
        <v>65</v>
      </c>
      <c r="AT4" s="32" t="s">
        <v>65</v>
      </c>
      <c r="AU4" s="32" t="s">
        <v>65</v>
      </c>
      <c r="AV4" s="32" t="s">
        <v>65</v>
      </c>
      <c r="AW4" s="32" t="s">
        <v>65</v>
      </c>
      <c r="AX4" s="32" t="s">
        <v>65</v>
      </c>
      <c r="AY4" s="32" t="s">
        <v>65</v>
      </c>
      <c r="AZ4" s="32" t="s">
        <v>65</v>
      </c>
      <c r="BA4" s="32" t="s">
        <v>65</v>
      </c>
      <c r="BB4" s="32" t="s">
        <v>65</v>
      </c>
      <c r="BC4" s="32" t="s">
        <v>65</v>
      </c>
      <c r="BD4" s="32" t="s">
        <v>65</v>
      </c>
      <c r="BE4" s="32" t="s">
        <v>65</v>
      </c>
      <c r="BF4" s="32" t="s">
        <v>65</v>
      </c>
      <c r="BG4" s="32" t="s">
        <v>65</v>
      </c>
      <c r="BH4" s="32" t="s">
        <v>65</v>
      </c>
      <c r="BI4" s="32" t="s">
        <v>65</v>
      </c>
      <c r="BJ4" s="32" t="s">
        <v>65</v>
      </c>
      <c r="BK4" s="32" t="s">
        <v>65</v>
      </c>
      <c r="BL4" s="32" t="s">
        <v>65</v>
      </c>
      <c r="BM4" s="32" t="s">
        <v>65</v>
      </c>
      <c r="BN4" s="32" t="s">
        <v>65</v>
      </c>
      <c r="BO4" s="32" t="s">
        <v>65</v>
      </c>
      <c r="BP4" s="32" t="s">
        <v>65</v>
      </c>
      <c r="BQ4" s="32" t="s">
        <v>65</v>
      </c>
      <c r="BR4" s="32" t="s">
        <v>65</v>
      </c>
      <c r="BS4" s="32" t="s">
        <v>65</v>
      </c>
      <c r="BT4" s="32" t="s">
        <v>65</v>
      </c>
      <c r="BU4" s="32" t="s">
        <v>65</v>
      </c>
      <c r="BV4" s="32" t="s">
        <v>65</v>
      </c>
      <c r="BW4" s="32" t="s">
        <v>65</v>
      </c>
      <c r="BX4" s="32" t="s">
        <v>65</v>
      </c>
      <c r="BY4" s="32" t="s">
        <v>65</v>
      </c>
      <c r="BZ4" s="32" t="s">
        <v>65</v>
      </c>
      <c r="CA4" s="32" t="s">
        <v>65</v>
      </c>
      <c r="CB4" s="32" t="s">
        <v>65</v>
      </c>
      <c r="CC4" s="32" t="s">
        <v>65</v>
      </c>
      <c r="CD4" s="32" t="s">
        <v>65</v>
      </c>
      <c r="CE4" s="32" t="s">
        <v>65</v>
      </c>
      <c r="CF4" s="32" t="s">
        <v>65</v>
      </c>
      <c r="CG4" s="32" t="s">
        <v>65</v>
      </c>
      <c r="CH4" s="32" t="s">
        <v>65</v>
      </c>
      <c r="CI4" s="32" t="s">
        <v>65</v>
      </c>
      <c r="CJ4" s="32" t="s">
        <v>65</v>
      </c>
      <c r="CK4" s="32" t="s">
        <v>65</v>
      </c>
      <c r="CL4" s="32" t="s">
        <v>65</v>
      </c>
      <c r="CM4" s="32" t="s">
        <v>65</v>
      </c>
      <c r="CN4" s="32" t="s">
        <v>65</v>
      </c>
      <c r="CO4" s="32" t="s">
        <v>65</v>
      </c>
      <c r="CP4" s="32" t="s">
        <v>65</v>
      </c>
      <c r="CQ4" s="32" t="s">
        <v>65</v>
      </c>
      <c r="CR4" s="32" t="s">
        <v>65</v>
      </c>
      <c r="CS4" s="32" t="s">
        <v>65</v>
      </c>
      <c r="CT4" s="32" t="s">
        <v>65</v>
      </c>
      <c r="CU4" s="32" t="s">
        <v>65</v>
      </c>
      <c r="CV4" s="32" t="s">
        <v>65</v>
      </c>
      <c r="CW4" s="32" t="s">
        <v>65</v>
      </c>
      <c r="CX4" s="32" t="s">
        <v>65</v>
      </c>
      <c r="CY4" s="32" t="s">
        <v>65</v>
      </c>
      <c r="CZ4" s="32" t="s">
        <v>65</v>
      </c>
      <c r="DA4" s="32" t="s">
        <v>65</v>
      </c>
      <c r="DB4" s="32" t="s">
        <v>65</v>
      </c>
      <c r="DC4" s="32" t="s">
        <v>65</v>
      </c>
      <c r="DD4" s="32" t="s">
        <v>65</v>
      </c>
      <c r="DE4" s="32" t="s">
        <v>65</v>
      </c>
      <c r="DF4" s="32" t="s">
        <v>65</v>
      </c>
      <c r="DG4" s="32" t="s">
        <v>65</v>
      </c>
      <c r="DH4" s="32" t="s">
        <v>65</v>
      </c>
      <c r="DI4" s="32" t="s">
        <v>65</v>
      </c>
      <c r="DJ4" s="32" t="s">
        <v>65</v>
      </c>
      <c r="DK4" s="32" t="s">
        <v>65</v>
      </c>
      <c r="DL4" s="32" t="s">
        <v>65</v>
      </c>
      <c r="DM4" s="32" t="s">
        <v>65</v>
      </c>
      <c r="DN4" s="32" t="s">
        <v>65</v>
      </c>
      <c r="DO4" s="32" t="s">
        <v>65</v>
      </c>
      <c r="DP4" s="32" t="s">
        <v>65</v>
      </c>
      <c r="DQ4" s="32" t="s">
        <v>65</v>
      </c>
      <c r="DR4" s="32" t="s">
        <v>65</v>
      </c>
      <c r="DS4" s="32" t="s">
        <v>65</v>
      </c>
      <c r="DT4" s="32" t="s">
        <v>65</v>
      </c>
      <c r="DU4" s="32" t="s">
        <v>65</v>
      </c>
      <c r="DV4" s="32" t="s">
        <v>65</v>
      </c>
      <c r="DW4" s="32" t="s">
        <v>65</v>
      </c>
      <c r="DX4" s="32" t="s">
        <v>65</v>
      </c>
      <c r="DY4" s="32" t="s">
        <v>65</v>
      </c>
      <c r="DZ4" s="32" t="s">
        <v>65</v>
      </c>
      <c r="EA4" s="32" t="s">
        <v>65</v>
      </c>
      <c r="EB4" s="32" t="s">
        <v>65</v>
      </c>
      <c r="EC4" s="32" t="s">
        <v>65</v>
      </c>
      <c r="ED4" s="32" t="s">
        <v>65</v>
      </c>
      <c r="EE4" s="32" t="s">
        <v>65</v>
      </c>
      <c r="EF4" s="32" t="s">
        <v>65</v>
      </c>
      <c r="EG4" s="32" t="s">
        <v>65</v>
      </c>
      <c r="EH4" s="32" t="s">
        <v>65</v>
      </c>
      <c r="EI4" s="32" t="s">
        <v>65</v>
      </c>
      <c r="EJ4" s="32" t="s">
        <v>65</v>
      </c>
      <c r="EK4" s="32" t="s">
        <v>65</v>
      </c>
      <c r="EL4" s="32" t="s">
        <v>65</v>
      </c>
      <c r="EM4" s="32" t="s">
        <v>65</v>
      </c>
      <c r="EN4" s="32" t="s">
        <v>65</v>
      </c>
      <c r="EO4" s="32" t="s">
        <v>65</v>
      </c>
      <c r="EP4" s="32" t="s">
        <v>65</v>
      </c>
      <c r="EQ4" s="32" t="s">
        <v>65</v>
      </c>
      <c r="ER4" s="32" t="s">
        <v>65</v>
      </c>
      <c r="ES4" s="32" t="s">
        <v>65</v>
      </c>
      <c r="ET4" s="32" t="s">
        <v>65</v>
      </c>
      <c r="EU4" s="32" t="s">
        <v>65</v>
      </c>
      <c r="EV4" s="32" t="s">
        <v>65</v>
      </c>
      <c r="EW4" s="32" t="s">
        <v>65</v>
      </c>
      <c r="EX4" s="32" t="s">
        <v>65</v>
      </c>
      <c r="EY4" s="32" t="s">
        <v>65</v>
      </c>
      <c r="EZ4" s="32" t="s">
        <v>65</v>
      </c>
      <c r="FA4" s="32" t="s">
        <v>65</v>
      </c>
      <c r="FB4" s="32" t="s">
        <v>65</v>
      </c>
      <c r="FC4" s="32" t="s">
        <v>65</v>
      </c>
      <c r="FD4" s="32" t="s">
        <v>65</v>
      </c>
      <c r="FE4" s="32" t="s">
        <v>65</v>
      </c>
      <c r="FF4" s="32" t="s">
        <v>65</v>
      </c>
      <c r="FG4" s="32" t="s">
        <v>65</v>
      </c>
      <c r="FH4" s="32" t="s">
        <v>65</v>
      </c>
      <c r="FI4" s="32" t="s">
        <v>65</v>
      </c>
      <c r="FJ4" s="32" t="s">
        <v>65</v>
      </c>
      <c r="FK4" s="32" t="s">
        <v>65</v>
      </c>
      <c r="FL4" s="32" t="s">
        <v>65</v>
      </c>
      <c r="FM4" s="32" t="s">
        <v>65</v>
      </c>
      <c r="FN4" s="32" t="s">
        <v>65</v>
      </c>
      <c r="FO4" s="32" t="s">
        <v>65</v>
      </c>
      <c r="FP4" s="32" t="s">
        <v>65</v>
      </c>
      <c r="FQ4" s="32" t="s">
        <v>65</v>
      </c>
      <c r="FR4" s="32" t="s">
        <v>65</v>
      </c>
      <c r="FS4" s="32" t="s">
        <v>65</v>
      </c>
      <c r="FT4" s="32" t="s">
        <v>65</v>
      </c>
      <c r="FU4" s="32" t="s">
        <v>65</v>
      </c>
      <c r="FV4" s="32" t="s">
        <v>65</v>
      </c>
      <c r="FW4" s="32" t="s">
        <v>65</v>
      </c>
      <c r="FX4" s="32" t="s">
        <v>65</v>
      </c>
      <c r="FY4" s="32" t="s">
        <v>65</v>
      </c>
      <c r="FZ4" s="32" t="s">
        <v>65</v>
      </c>
      <c r="GA4" s="32" t="s">
        <v>65</v>
      </c>
      <c r="GB4" s="32" t="s">
        <v>65</v>
      </c>
      <c r="GC4" s="32" t="s">
        <v>65</v>
      </c>
      <c r="GD4" s="32" t="s">
        <v>65</v>
      </c>
      <c r="GE4" s="32" t="s">
        <v>65</v>
      </c>
      <c r="GF4" s="32" t="s">
        <v>65</v>
      </c>
      <c r="GG4" s="32" t="s">
        <v>65</v>
      </c>
      <c r="GH4" s="32" t="s">
        <v>65</v>
      </c>
      <c r="GI4" s="32" t="s">
        <v>65</v>
      </c>
      <c r="GJ4" s="32" t="s">
        <v>65</v>
      </c>
      <c r="GK4" s="32" t="s">
        <v>65</v>
      </c>
      <c r="GL4" s="32" t="s">
        <v>65</v>
      </c>
      <c r="GM4" s="32" t="s">
        <v>65</v>
      </c>
      <c r="GN4" s="32" t="s">
        <v>65</v>
      </c>
      <c r="GO4" s="32" t="s">
        <v>65</v>
      </c>
      <c r="GP4" s="32" t="s">
        <v>65</v>
      </c>
      <c r="GQ4" s="32" t="s">
        <v>65</v>
      </c>
      <c r="GR4" s="32" t="s">
        <v>65</v>
      </c>
      <c r="GS4" s="32" t="s">
        <v>62</v>
      </c>
      <c r="GT4" s="32" t="s">
        <v>62</v>
      </c>
      <c r="GU4" s="32" t="s">
        <v>65</v>
      </c>
      <c r="GV4" s="32" t="s">
        <v>65</v>
      </c>
      <c r="GW4" s="32" t="s">
        <v>65</v>
      </c>
      <c r="GX4" s="32" t="s">
        <v>65</v>
      </c>
      <c r="GY4" s="32" t="s">
        <v>65</v>
      </c>
      <c r="GZ4" s="32" t="s">
        <v>65</v>
      </c>
      <c r="HA4" s="32" t="s">
        <v>65</v>
      </c>
      <c r="HB4" s="32" t="s">
        <v>65</v>
      </c>
      <c r="HC4" s="32" t="s">
        <v>65</v>
      </c>
      <c r="HD4" s="32" t="s">
        <v>65</v>
      </c>
      <c r="HE4" s="32" t="s">
        <v>62</v>
      </c>
      <c r="HF4" s="32" t="s">
        <v>64</v>
      </c>
      <c r="HG4" s="32" t="s">
        <v>64</v>
      </c>
      <c r="HH4" s="32" t="s">
        <v>64</v>
      </c>
      <c r="HI4" s="32" t="s">
        <v>64</v>
      </c>
      <c r="HJ4" s="32" t="s">
        <v>64</v>
      </c>
      <c r="HK4" s="32" t="s">
        <v>64</v>
      </c>
      <c r="HL4" s="32" t="s">
        <v>64</v>
      </c>
      <c r="HM4" s="32" t="s">
        <v>64</v>
      </c>
      <c r="HN4" s="32" t="s">
        <v>64</v>
      </c>
      <c r="HO4" s="32" t="s">
        <v>64</v>
      </c>
      <c r="HP4" s="32" t="s">
        <v>64</v>
      </c>
      <c r="HQ4" s="32" t="s">
        <v>64</v>
      </c>
      <c r="HR4" s="32" t="s">
        <v>64</v>
      </c>
      <c r="HS4" s="32" t="s">
        <v>64</v>
      </c>
      <c r="HT4" s="32" t="s">
        <v>64</v>
      </c>
      <c r="HU4" s="32" t="s">
        <v>64</v>
      </c>
      <c r="HV4" s="32" t="s">
        <v>64</v>
      </c>
      <c r="HW4" s="32" t="s">
        <v>64</v>
      </c>
      <c r="HX4" s="32" t="s">
        <v>64</v>
      </c>
      <c r="HY4" s="32" t="s">
        <v>64</v>
      </c>
      <c r="HZ4" s="32" t="s">
        <v>64</v>
      </c>
      <c r="IA4" s="32" t="s">
        <v>64</v>
      </c>
      <c r="IB4" s="32" t="s">
        <v>64</v>
      </c>
      <c r="IC4" s="32" t="s">
        <v>64</v>
      </c>
      <c r="ID4" s="32" t="s">
        <v>64</v>
      </c>
      <c r="IE4" s="32" t="s">
        <v>64</v>
      </c>
      <c r="IF4" s="32" t="s">
        <v>64</v>
      </c>
      <c r="IG4" s="32" t="s">
        <v>64</v>
      </c>
      <c r="IH4" s="32" t="s">
        <v>64</v>
      </c>
      <c r="II4" s="32" t="s">
        <v>64</v>
      </c>
      <c r="IJ4" s="32" t="s">
        <v>64</v>
      </c>
      <c r="IK4" s="32" t="s">
        <v>65</v>
      </c>
      <c r="IL4" s="32" t="s">
        <v>64</v>
      </c>
      <c r="IM4" s="32" t="s">
        <v>64</v>
      </c>
      <c r="IN4" s="32" t="s">
        <v>64</v>
      </c>
      <c r="IO4" s="32" t="s">
        <v>65</v>
      </c>
      <c r="IP4" s="32" t="s">
        <v>64</v>
      </c>
      <c r="IQ4" s="32" t="s">
        <v>64</v>
      </c>
      <c r="IR4" s="32" t="s">
        <v>64</v>
      </c>
      <c r="IS4" s="32" t="s">
        <v>65</v>
      </c>
      <c r="IT4" s="32" t="s">
        <v>64</v>
      </c>
      <c r="IU4" s="32" t="s">
        <v>64</v>
      </c>
      <c r="IV4" s="32" t="s">
        <v>64</v>
      </c>
      <c r="IW4" s="32" t="s">
        <v>65</v>
      </c>
      <c r="IX4" s="32" t="s">
        <v>64</v>
      </c>
      <c r="IY4" s="32" t="s">
        <v>64</v>
      </c>
      <c r="IZ4" s="32" t="s">
        <v>64</v>
      </c>
      <c r="JA4" s="32" t="s">
        <v>65</v>
      </c>
      <c r="JB4" s="32" t="s">
        <v>64</v>
      </c>
      <c r="JC4" s="32" t="s">
        <v>64</v>
      </c>
      <c r="JD4" s="32" t="s">
        <v>64</v>
      </c>
      <c r="JE4" s="32" t="s">
        <v>65</v>
      </c>
      <c r="JF4" s="32" t="s">
        <v>64</v>
      </c>
      <c r="JG4" s="32" t="s">
        <v>64</v>
      </c>
      <c r="JH4" s="32" t="s">
        <v>64</v>
      </c>
      <c r="JI4" s="32" t="s">
        <v>65</v>
      </c>
      <c r="JJ4" s="32" t="s">
        <v>64</v>
      </c>
      <c r="JK4" s="32" t="s">
        <v>64</v>
      </c>
      <c r="JL4" s="32" t="s">
        <v>64</v>
      </c>
      <c r="JM4" s="32" t="s">
        <v>65</v>
      </c>
      <c r="JN4" s="32" t="s">
        <v>64</v>
      </c>
      <c r="JO4" s="32" t="s">
        <v>64</v>
      </c>
      <c r="JP4" s="32" t="s">
        <v>64</v>
      </c>
      <c r="JQ4" s="32" t="s">
        <v>65</v>
      </c>
      <c r="JR4" s="32" t="s">
        <v>64</v>
      </c>
      <c r="JS4" s="32" t="s">
        <v>64</v>
      </c>
      <c r="JT4" s="32" t="s">
        <v>64</v>
      </c>
      <c r="JU4" s="32" t="s">
        <v>65</v>
      </c>
      <c r="JV4" s="32" t="s">
        <v>64</v>
      </c>
      <c r="JW4" s="32" t="s">
        <v>64</v>
      </c>
      <c r="JX4" s="32" t="s">
        <v>64</v>
      </c>
      <c r="JY4" s="32" t="s">
        <v>62</v>
      </c>
      <c r="JZ4" s="32" t="s">
        <v>63</v>
      </c>
      <c r="KA4" s="32" t="s">
        <v>63</v>
      </c>
      <c r="KB4" s="32" t="s">
        <v>62</v>
      </c>
      <c r="KC4" s="32" t="s">
        <v>62</v>
      </c>
      <c r="KD4" s="32" t="s">
        <v>62</v>
      </c>
      <c r="KE4" s="32" t="s">
        <v>63</v>
      </c>
      <c r="KF4" s="32" t="s">
        <v>63</v>
      </c>
      <c r="KG4" s="32" t="s">
        <v>63</v>
      </c>
      <c r="KH4" s="32" t="s">
        <v>63</v>
      </c>
      <c r="KI4" s="32" t="s">
        <v>65</v>
      </c>
      <c r="KJ4" s="32" t="s">
        <v>63</v>
      </c>
      <c r="KK4" s="32" t="s">
        <v>63</v>
      </c>
      <c r="KL4" s="32" t="s">
        <v>63</v>
      </c>
      <c r="KM4" s="32" t="s">
        <v>63</v>
      </c>
      <c r="KN4" s="32" t="s">
        <v>63</v>
      </c>
      <c r="KO4" s="32" t="s">
        <v>63</v>
      </c>
      <c r="KP4" s="32" t="s">
        <v>62</v>
      </c>
      <c r="KQ4" s="32" t="s">
        <v>63</v>
      </c>
      <c r="KR4" s="32" t="s">
        <v>64</v>
      </c>
      <c r="KS4" s="32" t="s">
        <v>62</v>
      </c>
      <c r="KT4" s="32" t="s">
        <v>62</v>
      </c>
      <c r="KU4" s="32" t="s">
        <v>62</v>
      </c>
      <c r="KV4" s="32" t="s">
        <v>62</v>
      </c>
      <c r="KW4" s="32" t="s">
        <v>62</v>
      </c>
      <c r="KX4" s="32" t="s">
        <v>62</v>
      </c>
      <c r="KY4" s="32" t="s">
        <v>65</v>
      </c>
      <c r="KZ4" s="32" t="s">
        <v>63</v>
      </c>
      <c r="LA4" s="32" t="s">
        <v>62</v>
      </c>
      <c r="LB4" s="32" t="s">
        <v>62</v>
      </c>
      <c r="LC4" s="32" t="s">
        <v>63</v>
      </c>
    </row>
    <row r="5" spans="1:315" ht="50" customHeight="1">
      <c r="A5" s="19" t="s">
        <v>217</v>
      </c>
      <c r="B5" s="19" t="s">
        <v>96</v>
      </c>
      <c r="C5" s="19" t="s">
        <v>218</v>
      </c>
      <c r="D5" s="19" t="s">
        <v>219</v>
      </c>
      <c r="E5" s="19" t="s">
        <v>220</v>
      </c>
      <c r="F5" s="19" t="s">
        <v>221</v>
      </c>
      <c r="G5" s="19" t="s">
        <v>222</v>
      </c>
      <c r="H5" s="19" t="s">
        <v>223</v>
      </c>
      <c r="I5" s="19" t="s">
        <v>224</v>
      </c>
      <c r="J5" s="19" t="s">
        <v>225</v>
      </c>
      <c r="K5" s="19" t="s">
        <v>226</v>
      </c>
      <c r="L5" s="19" t="s">
        <v>227</v>
      </c>
      <c r="M5" s="19" t="s">
        <v>228</v>
      </c>
      <c r="N5" s="19" t="s">
        <v>229</v>
      </c>
      <c r="O5" s="19" t="s">
        <v>230</v>
      </c>
      <c r="P5" s="19" t="s">
        <v>231</v>
      </c>
      <c r="Q5" s="19" t="s">
        <v>232</v>
      </c>
      <c r="R5" s="19" t="s">
        <v>233</v>
      </c>
      <c r="S5" s="19" t="s">
        <v>234</v>
      </c>
      <c r="T5" s="19" t="s">
        <v>235</v>
      </c>
      <c r="U5" s="19" t="s">
        <v>236</v>
      </c>
      <c r="V5" s="19" t="s">
        <v>237</v>
      </c>
      <c r="W5" s="19" t="s">
        <v>238</v>
      </c>
      <c r="X5" s="19" t="s">
        <v>239</v>
      </c>
      <c r="Y5" s="19" t="s">
        <v>240</v>
      </c>
      <c r="Z5" s="19" t="s">
        <v>241</v>
      </c>
      <c r="AA5" s="19" t="s">
        <v>242</v>
      </c>
      <c r="AB5" s="19" t="s">
        <v>243</v>
      </c>
      <c r="AC5" s="19" t="s">
        <v>244</v>
      </c>
      <c r="AD5" s="19" t="s">
        <v>245</v>
      </c>
      <c r="AE5" s="19" t="s">
        <v>246</v>
      </c>
      <c r="AF5" s="19" t="s">
        <v>247</v>
      </c>
      <c r="AG5" s="19" t="s">
        <v>248</v>
      </c>
      <c r="AH5" s="19" t="s">
        <v>249</v>
      </c>
      <c r="AI5" s="19" t="s">
        <v>250</v>
      </c>
      <c r="AJ5" s="19" t="s">
        <v>251</v>
      </c>
      <c r="AK5" s="19" t="s">
        <v>252</v>
      </c>
      <c r="AL5" s="19" t="s">
        <v>253</v>
      </c>
      <c r="AM5" s="19" t="s">
        <v>254</v>
      </c>
      <c r="AN5" s="19" t="s">
        <v>255</v>
      </c>
      <c r="AO5" s="19" t="s">
        <v>256</v>
      </c>
      <c r="AP5" s="19" t="s">
        <v>257</v>
      </c>
      <c r="AQ5" s="19" t="s">
        <v>258</v>
      </c>
      <c r="AR5" s="19" t="s">
        <v>259</v>
      </c>
      <c r="AS5" s="19" t="s">
        <v>260</v>
      </c>
      <c r="AT5" s="19" t="s">
        <v>261</v>
      </c>
      <c r="AU5" s="19" t="s">
        <v>262</v>
      </c>
      <c r="AV5" s="19" t="s">
        <v>263</v>
      </c>
      <c r="AW5" s="19" t="s">
        <v>264</v>
      </c>
      <c r="AX5" s="19" t="s">
        <v>265</v>
      </c>
      <c r="AY5" s="19" t="s">
        <v>266</v>
      </c>
      <c r="AZ5" s="19" t="s">
        <v>267</v>
      </c>
      <c r="BA5" s="19" t="s">
        <v>268</v>
      </c>
      <c r="BB5" s="19" t="s">
        <v>269</v>
      </c>
      <c r="BC5" s="19" t="s">
        <v>270</v>
      </c>
      <c r="BD5" s="19" t="s">
        <v>271</v>
      </c>
      <c r="BE5" s="19" t="s">
        <v>272</v>
      </c>
      <c r="BF5" s="19" t="s">
        <v>273</v>
      </c>
      <c r="BG5" s="19" t="s">
        <v>274</v>
      </c>
      <c r="BH5" s="19" t="s">
        <v>275</v>
      </c>
      <c r="BI5" s="19" t="s">
        <v>276</v>
      </c>
      <c r="BJ5" s="19" t="s">
        <v>277</v>
      </c>
      <c r="BK5" s="19" t="s">
        <v>278</v>
      </c>
      <c r="BL5" s="19" t="s">
        <v>279</v>
      </c>
      <c r="BM5" s="19" t="s">
        <v>280</v>
      </c>
      <c r="BN5" s="19" t="s">
        <v>281</v>
      </c>
      <c r="BO5" s="19" t="s">
        <v>282</v>
      </c>
      <c r="BP5" s="19" t="s">
        <v>283</v>
      </c>
      <c r="BQ5" s="19" t="s">
        <v>284</v>
      </c>
      <c r="BR5" s="19" t="s">
        <v>285</v>
      </c>
      <c r="BS5" s="19" t="s">
        <v>286</v>
      </c>
      <c r="BT5" s="19" t="s">
        <v>287</v>
      </c>
      <c r="BU5" s="19" t="s">
        <v>288</v>
      </c>
      <c r="BV5" s="19" t="s">
        <v>289</v>
      </c>
      <c r="BW5" s="19" t="s">
        <v>290</v>
      </c>
      <c r="BX5" s="19" t="s">
        <v>291</v>
      </c>
      <c r="BY5" s="19" t="s">
        <v>292</v>
      </c>
      <c r="BZ5" s="19" t="s">
        <v>293</v>
      </c>
      <c r="CA5" s="19" t="s">
        <v>294</v>
      </c>
      <c r="CB5" s="19" t="s">
        <v>295</v>
      </c>
      <c r="CC5" s="19" t="s">
        <v>296</v>
      </c>
      <c r="CD5" s="19" t="s">
        <v>297</v>
      </c>
      <c r="CE5" s="19" t="s">
        <v>298</v>
      </c>
      <c r="CF5" s="19" t="s">
        <v>299</v>
      </c>
      <c r="CG5" s="19" t="s">
        <v>300</v>
      </c>
      <c r="CH5" s="19" t="s">
        <v>301</v>
      </c>
      <c r="CI5" s="19" t="s">
        <v>302</v>
      </c>
      <c r="CJ5" s="19" t="s">
        <v>303</v>
      </c>
      <c r="CK5" s="19" t="s">
        <v>304</v>
      </c>
      <c r="CL5" s="19" t="s">
        <v>305</v>
      </c>
      <c r="CM5" s="19" t="s">
        <v>306</v>
      </c>
      <c r="CN5" s="19" t="s">
        <v>307</v>
      </c>
      <c r="CO5" s="19" t="s">
        <v>308</v>
      </c>
      <c r="CP5" s="19" t="s">
        <v>309</v>
      </c>
      <c r="CQ5" s="19" t="s">
        <v>310</v>
      </c>
      <c r="CR5" s="19" t="s">
        <v>311</v>
      </c>
      <c r="CS5" s="19" t="s">
        <v>312</v>
      </c>
      <c r="CT5" s="19" t="s">
        <v>313</v>
      </c>
      <c r="CU5" s="19" t="s">
        <v>314</v>
      </c>
      <c r="CV5" s="19" t="s">
        <v>315</v>
      </c>
      <c r="CW5" s="19" t="s">
        <v>316</v>
      </c>
      <c r="CX5" s="19" t="s">
        <v>317</v>
      </c>
      <c r="CY5" s="19" t="s">
        <v>318</v>
      </c>
      <c r="CZ5" s="19" t="s">
        <v>319</v>
      </c>
      <c r="DA5" s="19" t="s">
        <v>320</v>
      </c>
      <c r="DB5" s="19" t="s">
        <v>321</v>
      </c>
      <c r="DC5" s="19" t="s">
        <v>322</v>
      </c>
      <c r="DD5" s="19" t="s">
        <v>323</v>
      </c>
      <c r="DE5" s="19" t="s">
        <v>324</v>
      </c>
      <c r="DF5" s="19" t="s">
        <v>325</v>
      </c>
      <c r="DG5" s="19" t="s">
        <v>326</v>
      </c>
      <c r="DH5" s="19" t="s">
        <v>327</v>
      </c>
      <c r="DI5" s="19" t="s">
        <v>328</v>
      </c>
      <c r="DJ5" s="19" t="s">
        <v>329</v>
      </c>
      <c r="DK5" s="19" t="s">
        <v>330</v>
      </c>
      <c r="DL5" s="19" t="s">
        <v>331</v>
      </c>
      <c r="DM5" s="19" t="s">
        <v>332</v>
      </c>
      <c r="DN5" s="19" t="s">
        <v>333</v>
      </c>
      <c r="DO5" s="19" t="s">
        <v>334</v>
      </c>
      <c r="DP5" s="19" t="s">
        <v>335</v>
      </c>
      <c r="DQ5" s="19" t="s">
        <v>336</v>
      </c>
      <c r="DR5" s="19" t="s">
        <v>337</v>
      </c>
      <c r="DS5" s="19" t="s">
        <v>338</v>
      </c>
      <c r="DT5" s="19" t="s">
        <v>339</v>
      </c>
      <c r="DU5" s="19" t="s">
        <v>340</v>
      </c>
      <c r="DV5" s="19" t="s">
        <v>341</v>
      </c>
      <c r="DW5" s="19" t="s">
        <v>342</v>
      </c>
      <c r="DX5" s="19" t="s">
        <v>343</v>
      </c>
      <c r="DY5" s="19" t="s">
        <v>344</v>
      </c>
      <c r="DZ5" s="19" t="s">
        <v>345</v>
      </c>
      <c r="EA5" s="19" t="s">
        <v>346</v>
      </c>
      <c r="EB5" s="19" t="s">
        <v>347</v>
      </c>
      <c r="EC5" s="19" t="s">
        <v>348</v>
      </c>
      <c r="ED5" s="19" t="s">
        <v>349</v>
      </c>
      <c r="EE5" s="19" t="s">
        <v>350</v>
      </c>
      <c r="EF5" s="19" t="s">
        <v>351</v>
      </c>
      <c r="EG5" s="19" t="s">
        <v>352</v>
      </c>
      <c r="EH5" s="19" t="s">
        <v>353</v>
      </c>
      <c r="EI5" s="19" t="s">
        <v>354</v>
      </c>
      <c r="EJ5" s="19" t="s">
        <v>355</v>
      </c>
      <c r="EK5" s="19" t="s">
        <v>356</v>
      </c>
      <c r="EL5" s="19" t="s">
        <v>357</v>
      </c>
      <c r="EM5" s="19" t="s">
        <v>358</v>
      </c>
      <c r="EN5" s="19" t="s">
        <v>359</v>
      </c>
      <c r="EO5" s="19" t="s">
        <v>360</v>
      </c>
      <c r="EP5" s="19" t="s">
        <v>361</v>
      </c>
      <c r="EQ5" s="19" t="s">
        <v>362</v>
      </c>
      <c r="ER5" s="19" t="s">
        <v>363</v>
      </c>
      <c r="ES5" s="19" t="s">
        <v>364</v>
      </c>
      <c r="ET5" s="19" t="s">
        <v>365</v>
      </c>
      <c r="EU5" s="19" t="s">
        <v>366</v>
      </c>
      <c r="EV5" s="19" t="s">
        <v>367</v>
      </c>
      <c r="EW5" s="19" t="s">
        <v>368</v>
      </c>
      <c r="EX5" s="19" t="s">
        <v>369</v>
      </c>
      <c r="EY5" s="19" t="s">
        <v>370</v>
      </c>
      <c r="EZ5" s="19" t="s">
        <v>371</v>
      </c>
      <c r="FA5" s="19" t="s">
        <v>372</v>
      </c>
      <c r="FB5" s="19" t="s">
        <v>373</v>
      </c>
      <c r="FC5" s="19" t="s">
        <v>374</v>
      </c>
      <c r="FD5" s="19" t="s">
        <v>375</v>
      </c>
      <c r="FE5" s="19" t="s">
        <v>376</v>
      </c>
      <c r="FF5" s="19" t="s">
        <v>377</v>
      </c>
      <c r="FG5" s="19" t="s">
        <v>378</v>
      </c>
      <c r="FH5" s="19" t="s">
        <v>379</v>
      </c>
      <c r="FI5" s="19" t="s">
        <v>380</v>
      </c>
      <c r="FJ5" s="19" t="s">
        <v>381</v>
      </c>
      <c r="FK5" s="19" t="s">
        <v>382</v>
      </c>
      <c r="FL5" s="19" t="s">
        <v>383</v>
      </c>
      <c r="FM5" s="19" t="s">
        <v>384</v>
      </c>
      <c r="FN5" s="19" t="s">
        <v>385</v>
      </c>
      <c r="FO5" s="19" t="s">
        <v>386</v>
      </c>
      <c r="FP5" s="19" t="s">
        <v>387</v>
      </c>
      <c r="FQ5" s="19" t="s">
        <v>388</v>
      </c>
      <c r="FR5" s="19" t="s">
        <v>389</v>
      </c>
      <c r="FS5" s="19" t="s">
        <v>390</v>
      </c>
      <c r="FT5" s="19" t="s">
        <v>391</v>
      </c>
      <c r="FU5" s="19" t="s">
        <v>392</v>
      </c>
      <c r="FV5" s="19" t="s">
        <v>393</v>
      </c>
      <c r="FW5" s="19" t="s">
        <v>394</v>
      </c>
      <c r="FX5" s="19" t="s">
        <v>395</v>
      </c>
      <c r="FY5" s="19" t="s">
        <v>396</v>
      </c>
      <c r="FZ5" s="19" t="s">
        <v>397</v>
      </c>
      <c r="GA5" s="19" t="s">
        <v>398</v>
      </c>
      <c r="GB5" s="19" t="s">
        <v>399</v>
      </c>
      <c r="GC5" s="19" t="s">
        <v>400</v>
      </c>
      <c r="GD5" s="19" t="s">
        <v>401</v>
      </c>
      <c r="GE5" s="19" t="s">
        <v>402</v>
      </c>
      <c r="GF5" s="19" t="s">
        <v>403</v>
      </c>
      <c r="GG5" s="19" t="s">
        <v>404</v>
      </c>
      <c r="GH5" s="19" t="s">
        <v>405</v>
      </c>
      <c r="GI5" s="19" t="s">
        <v>406</v>
      </c>
      <c r="GJ5" s="19" t="s">
        <v>407</v>
      </c>
      <c r="GK5" s="19" t="s">
        <v>408</v>
      </c>
      <c r="GL5" s="19" t="s">
        <v>409</v>
      </c>
      <c r="GM5" s="19" t="s">
        <v>410</v>
      </c>
      <c r="GN5" s="19" t="s">
        <v>411</v>
      </c>
      <c r="GO5" s="19" t="s">
        <v>412</v>
      </c>
      <c r="GP5" s="19" t="s">
        <v>413</v>
      </c>
      <c r="GQ5" s="19" t="s">
        <v>414</v>
      </c>
      <c r="GR5" s="19" t="s">
        <v>415</v>
      </c>
      <c r="GS5" s="19" t="s">
        <v>416</v>
      </c>
      <c r="GT5" s="19" t="s">
        <v>417</v>
      </c>
      <c r="GU5" s="19" t="s">
        <v>418</v>
      </c>
      <c r="GV5" s="19" t="s">
        <v>419</v>
      </c>
      <c r="GW5" s="19" t="s">
        <v>420</v>
      </c>
      <c r="GX5" s="19" t="s">
        <v>421</v>
      </c>
      <c r="GY5" s="19" t="s">
        <v>422</v>
      </c>
      <c r="GZ5" s="19" t="s">
        <v>423</v>
      </c>
      <c r="HA5" s="19" t="s">
        <v>424</v>
      </c>
      <c r="HB5" s="19" t="s">
        <v>425</v>
      </c>
      <c r="HC5" s="19" t="s">
        <v>426</v>
      </c>
      <c r="HD5" s="19" t="s">
        <v>427</v>
      </c>
      <c r="HE5" s="19" t="s">
        <v>428</v>
      </c>
      <c r="HF5" s="19" t="s">
        <v>429</v>
      </c>
      <c r="HG5" s="19" t="s">
        <v>430</v>
      </c>
      <c r="HH5" s="19" t="s">
        <v>431</v>
      </c>
      <c r="HI5" s="19" t="s">
        <v>432</v>
      </c>
      <c r="HJ5" s="19" t="s">
        <v>433</v>
      </c>
      <c r="HK5" s="19" t="s">
        <v>434</v>
      </c>
      <c r="HL5" s="19" t="s">
        <v>435</v>
      </c>
      <c r="HM5" s="19" t="s">
        <v>436</v>
      </c>
      <c r="HN5" s="19" t="s">
        <v>437</v>
      </c>
      <c r="HO5" s="19" t="s">
        <v>438</v>
      </c>
      <c r="HP5" s="19" t="s">
        <v>439</v>
      </c>
      <c r="HQ5" s="19" t="s">
        <v>440</v>
      </c>
      <c r="HR5" s="19" t="s">
        <v>441</v>
      </c>
      <c r="HS5" s="19" t="s">
        <v>442</v>
      </c>
      <c r="HT5" s="19" t="s">
        <v>443</v>
      </c>
      <c r="HU5" s="19" t="s">
        <v>444</v>
      </c>
      <c r="HV5" s="19" t="s">
        <v>445</v>
      </c>
      <c r="HW5" s="19" t="s">
        <v>446</v>
      </c>
      <c r="HX5" s="19" t="s">
        <v>447</v>
      </c>
      <c r="HY5" s="19" t="s">
        <v>448</v>
      </c>
      <c r="HZ5" s="19" t="s">
        <v>449</v>
      </c>
      <c r="IA5" s="19" t="s">
        <v>450</v>
      </c>
      <c r="IB5" s="19" t="s">
        <v>451</v>
      </c>
      <c r="IC5" s="19" t="s">
        <v>452</v>
      </c>
      <c r="ID5" s="19" t="s">
        <v>453</v>
      </c>
      <c r="IE5" s="19" t="s">
        <v>454</v>
      </c>
      <c r="IF5" s="19" t="s">
        <v>455</v>
      </c>
      <c r="IG5" s="19" t="s">
        <v>456</v>
      </c>
      <c r="IH5" s="19" t="s">
        <v>457</v>
      </c>
      <c r="II5" s="19" t="s">
        <v>458</v>
      </c>
      <c r="IJ5" s="19" t="s">
        <v>459</v>
      </c>
      <c r="IK5" s="19" t="s">
        <v>460</v>
      </c>
      <c r="IL5" s="19" t="s">
        <v>461</v>
      </c>
      <c r="IM5" s="19" t="s">
        <v>462</v>
      </c>
      <c r="IN5" s="19" t="s">
        <v>463</v>
      </c>
      <c r="IO5" s="19" t="s">
        <v>464</v>
      </c>
      <c r="IP5" s="19" t="s">
        <v>465</v>
      </c>
      <c r="IQ5" s="19" t="s">
        <v>466</v>
      </c>
      <c r="IR5" s="19" t="s">
        <v>467</v>
      </c>
      <c r="IS5" s="19" t="s">
        <v>468</v>
      </c>
      <c r="IT5" s="19" t="s">
        <v>469</v>
      </c>
      <c r="IU5" s="19" t="s">
        <v>470</v>
      </c>
      <c r="IV5" s="19" t="s">
        <v>471</v>
      </c>
      <c r="IW5" s="19" t="s">
        <v>472</v>
      </c>
      <c r="IX5" s="19" t="s">
        <v>473</v>
      </c>
      <c r="IY5" s="19" t="s">
        <v>474</v>
      </c>
      <c r="IZ5" s="19" t="s">
        <v>475</v>
      </c>
      <c r="JA5" s="19" t="s">
        <v>476</v>
      </c>
      <c r="JB5" s="19" t="s">
        <v>477</v>
      </c>
      <c r="JC5" s="19" t="s">
        <v>478</v>
      </c>
      <c r="JD5" s="19" t="s">
        <v>479</v>
      </c>
      <c r="JE5" s="19" t="s">
        <v>480</v>
      </c>
      <c r="JF5" s="19" t="s">
        <v>481</v>
      </c>
      <c r="JG5" s="19" t="s">
        <v>482</v>
      </c>
      <c r="JH5" s="19" t="s">
        <v>483</v>
      </c>
      <c r="JI5" s="19" t="s">
        <v>484</v>
      </c>
      <c r="JJ5" s="19" t="s">
        <v>485</v>
      </c>
      <c r="JK5" s="19" t="s">
        <v>486</v>
      </c>
      <c r="JL5" s="19" t="s">
        <v>487</v>
      </c>
      <c r="JM5" s="19" t="s">
        <v>488</v>
      </c>
      <c r="JN5" s="19" t="s">
        <v>489</v>
      </c>
      <c r="JO5" s="19" t="s">
        <v>490</v>
      </c>
      <c r="JP5" s="19" t="s">
        <v>491</v>
      </c>
      <c r="JQ5" s="19" t="s">
        <v>492</v>
      </c>
      <c r="JR5" s="19" t="s">
        <v>493</v>
      </c>
      <c r="JS5" s="19" t="s">
        <v>494</v>
      </c>
      <c r="JT5" s="19" t="s">
        <v>495</v>
      </c>
      <c r="JU5" s="19" t="s">
        <v>496</v>
      </c>
      <c r="JV5" s="19" t="s">
        <v>497</v>
      </c>
      <c r="JW5" s="19" t="s">
        <v>498</v>
      </c>
      <c r="JX5" s="19" t="s">
        <v>499</v>
      </c>
      <c r="JY5" s="19" t="s">
        <v>500</v>
      </c>
      <c r="JZ5" s="19" t="s">
        <v>634</v>
      </c>
      <c r="KA5" s="19" t="s">
        <v>635</v>
      </c>
      <c r="KB5" s="19" t="s">
        <v>503</v>
      </c>
      <c r="KC5" s="19" t="s">
        <v>636</v>
      </c>
      <c r="KD5" s="19" t="s">
        <v>513</v>
      </c>
      <c r="KE5" s="19" t="s">
        <v>517</v>
      </c>
      <c r="KF5" s="19" t="s">
        <v>516</v>
      </c>
      <c r="KG5" s="19" t="s">
        <v>637</v>
      </c>
      <c r="KH5" s="19" t="s">
        <v>638</v>
      </c>
      <c r="KI5" s="19" t="s">
        <v>639</v>
      </c>
      <c r="KJ5" s="19" t="s">
        <v>640</v>
      </c>
      <c r="KK5" s="19" t="s">
        <v>641</v>
      </c>
      <c r="KL5" s="19" t="s">
        <v>642</v>
      </c>
      <c r="KM5" s="19" t="s">
        <v>643</v>
      </c>
      <c r="KN5" s="19" t="s">
        <v>511</v>
      </c>
      <c r="KO5" s="19" t="s">
        <v>518</v>
      </c>
      <c r="KP5" s="19" t="s">
        <v>644</v>
      </c>
      <c r="KQ5" s="19" t="s">
        <v>645</v>
      </c>
      <c r="KR5" s="19" t="s">
        <v>508</v>
      </c>
      <c r="KS5" s="19" t="s">
        <v>509</v>
      </c>
      <c r="KT5" s="19" t="s">
        <v>646</v>
      </c>
      <c r="KU5" s="19" t="s">
        <v>520</v>
      </c>
      <c r="KV5" s="19" t="s">
        <v>647</v>
      </c>
      <c r="KW5" s="19" t="s">
        <v>521</v>
      </c>
      <c r="KX5" s="33" t="s">
        <v>522</v>
      </c>
      <c r="KY5" s="34" t="s">
        <v>523</v>
      </c>
      <c r="KZ5" s="19" t="s">
        <v>524</v>
      </c>
      <c r="LA5" s="19" t="s">
        <v>525</v>
      </c>
      <c r="LB5" s="19" t="s">
        <v>526</v>
      </c>
      <c r="LC5" s="19" t="s">
        <v>528</v>
      </c>
    </row>
    <row r="6" spans="1:315" ht="50" customHeight="1">
      <c r="A6" s="35" t="s">
        <v>529</v>
      </c>
      <c r="B6" s="35" t="s">
        <v>530</v>
      </c>
      <c r="C6" s="35" t="s">
        <v>531</v>
      </c>
      <c r="D6" s="35" t="s">
        <v>532</v>
      </c>
      <c r="E6" s="35" t="s">
        <v>533</v>
      </c>
      <c r="F6" s="35" t="s">
        <v>534</v>
      </c>
      <c r="G6" s="35" t="s">
        <v>535</v>
      </c>
      <c r="H6" s="35" t="s">
        <v>536</v>
      </c>
      <c r="I6" s="35" t="s">
        <v>537</v>
      </c>
      <c r="J6" s="35" t="s">
        <v>538</v>
      </c>
      <c r="K6" s="35" t="s">
        <v>539</v>
      </c>
      <c r="L6" s="35" t="s">
        <v>538</v>
      </c>
      <c r="M6" s="35" t="s">
        <v>539</v>
      </c>
      <c r="N6" s="35" t="s">
        <v>538</v>
      </c>
      <c r="O6" s="35" t="s">
        <v>539</v>
      </c>
      <c r="P6" s="35" t="s">
        <v>540</v>
      </c>
      <c r="Q6" s="35" t="s">
        <v>541</v>
      </c>
      <c r="R6" s="35" t="s">
        <v>542</v>
      </c>
      <c r="S6" s="35" t="s">
        <v>543</v>
      </c>
      <c r="T6" s="35" t="s">
        <v>544</v>
      </c>
      <c r="U6" s="35" t="s">
        <v>545</v>
      </c>
      <c r="V6" s="35" t="s">
        <v>545</v>
      </c>
      <c r="W6" s="35" t="s">
        <v>545</v>
      </c>
      <c r="X6" s="35" t="s">
        <v>545</v>
      </c>
      <c r="Y6" s="35" t="s">
        <v>545</v>
      </c>
      <c r="Z6" s="35" t="s">
        <v>545</v>
      </c>
      <c r="AA6" s="35" t="s">
        <v>545</v>
      </c>
      <c r="AB6" s="35" t="s">
        <v>545</v>
      </c>
      <c r="AC6" s="35" t="s">
        <v>546</v>
      </c>
      <c r="AD6" s="35" t="s">
        <v>547</v>
      </c>
      <c r="AE6" s="35" t="s">
        <v>548</v>
      </c>
      <c r="AF6" s="35" t="s">
        <v>549</v>
      </c>
      <c r="AG6" s="35" t="s">
        <v>550</v>
      </c>
      <c r="AH6" s="35" t="s">
        <v>551</v>
      </c>
      <c r="AI6" s="35" t="s">
        <v>552</v>
      </c>
      <c r="AJ6" s="35" t="s">
        <v>553</v>
      </c>
      <c r="AK6" s="35" t="s">
        <v>554</v>
      </c>
      <c r="AL6" s="35" t="s">
        <v>555</v>
      </c>
      <c r="AM6" s="35" t="s">
        <v>556</v>
      </c>
      <c r="AN6" s="35" t="s">
        <v>557</v>
      </c>
      <c r="AO6" s="35" t="s">
        <v>558</v>
      </c>
      <c r="AP6" s="35" t="s">
        <v>559</v>
      </c>
      <c r="AQ6" s="35" t="s">
        <v>560</v>
      </c>
      <c r="AR6" s="35" t="s">
        <v>561</v>
      </c>
      <c r="AS6" s="35" t="s">
        <v>558</v>
      </c>
      <c r="AT6" s="35" t="s">
        <v>559</v>
      </c>
      <c r="AU6" s="35" t="s">
        <v>560</v>
      </c>
      <c r="AV6" s="35" t="s">
        <v>561</v>
      </c>
      <c r="AW6" s="35" t="s">
        <v>558</v>
      </c>
      <c r="AX6" s="35" t="s">
        <v>559</v>
      </c>
      <c r="AY6" s="35" t="s">
        <v>560</v>
      </c>
      <c r="AZ6" s="35" t="s">
        <v>561</v>
      </c>
      <c r="BA6" s="35" t="s">
        <v>558</v>
      </c>
      <c r="BB6" s="35" t="s">
        <v>559</v>
      </c>
      <c r="BC6" s="35" t="s">
        <v>560</v>
      </c>
      <c r="BD6" s="35" t="s">
        <v>561</v>
      </c>
      <c r="BE6" s="35" t="s">
        <v>558</v>
      </c>
      <c r="BF6" s="35" t="s">
        <v>559</v>
      </c>
      <c r="BG6" s="35" t="s">
        <v>560</v>
      </c>
      <c r="BH6" s="35" t="s">
        <v>561</v>
      </c>
      <c r="BI6" s="35" t="s">
        <v>558</v>
      </c>
      <c r="BJ6" s="35" t="s">
        <v>559</v>
      </c>
      <c r="BK6" s="35" t="s">
        <v>560</v>
      </c>
      <c r="BL6" s="35" t="s">
        <v>561</v>
      </c>
      <c r="BM6" s="35" t="s">
        <v>558</v>
      </c>
      <c r="BN6" s="35" t="s">
        <v>559</v>
      </c>
      <c r="BO6" s="35" t="s">
        <v>560</v>
      </c>
      <c r="BP6" s="35" t="s">
        <v>561</v>
      </c>
      <c r="BQ6" s="35" t="s">
        <v>558</v>
      </c>
      <c r="BR6" s="35" t="s">
        <v>559</v>
      </c>
      <c r="BS6" s="35" t="s">
        <v>560</v>
      </c>
      <c r="BT6" s="35" t="s">
        <v>561</v>
      </c>
      <c r="BU6" s="35" t="s">
        <v>558</v>
      </c>
      <c r="BV6" s="35" t="s">
        <v>559</v>
      </c>
      <c r="BW6" s="35" t="s">
        <v>560</v>
      </c>
      <c r="BX6" s="35" t="s">
        <v>561</v>
      </c>
      <c r="BY6" s="35" t="s">
        <v>558</v>
      </c>
      <c r="BZ6" s="35" t="s">
        <v>559</v>
      </c>
      <c r="CA6" s="35" t="s">
        <v>560</v>
      </c>
      <c r="CB6" s="35" t="s">
        <v>561</v>
      </c>
      <c r="CC6" s="35" t="s">
        <v>558</v>
      </c>
      <c r="CD6" s="35" t="s">
        <v>559</v>
      </c>
      <c r="CE6" s="35" t="s">
        <v>560</v>
      </c>
      <c r="CF6" s="35" t="s">
        <v>561</v>
      </c>
      <c r="CG6" s="35" t="s">
        <v>558</v>
      </c>
      <c r="CH6" s="35" t="s">
        <v>559</v>
      </c>
      <c r="CI6" s="35" t="s">
        <v>560</v>
      </c>
      <c r="CJ6" s="35" t="s">
        <v>561</v>
      </c>
      <c r="CK6" s="35" t="s">
        <v>558</v>
      </c>
      <c r="CL6" s="35" t="s">
        <v>559</v>
      </c>
      <c r="CM6" s="35" t="s">
        <v>560</v>
      </c>
      <c r="CN6" s="35" t="s">
        <v>561</v>
      </c>
      <c r="CO6" s="35" t="s">
        <v>558</v>
      </c>
      <c r="CP6" s="35" t="s">
        <v>559</v>
      </c>
      <c r="CQ6" s="35" t="s">
        <v>560</v>
      </c>
      <c r="CR6" s="35" t="s">
        <v>561</v>
      </c>
      <c r="CS6" s="35" t="s">
        <v>558</v>
      </c>
      <c r="CT6" s="35" t="s">
        <v>559</v>
      </c>
      <c r="CU6" s="35" t="s">
        <v>560</v>
      </c>
      <c r="CV6" s="35" t="s">
        <v>561</v>
      </c>
      <c r="CW6" s="35" t="s">
        <v>558</v>
      </c>
      <c r="CX6" s="35" t="s">
        <v>559</v>
      </c>
      <c r="CY6" s="35" t="s">
        <v>560</v>
      </c>
      <c r="CZ6" s="35" t="s">
        <v>561</v>
      </c>
      <c r="DA6" s="35" t="s">
        <v>558</v>
      </c>
      <c r="DB6" s="35" t="s">
        <v>559</v>
      </c>
      <c r="DC6" s="35" t="s">
        <v>560</v>
      </c>
      <c r="DD6" s="35" t="s">
        <v>561</v>
      </c>
      <c r="DE6" s="35" t="s">
        <v>558</v>
      </c>
      <c r="DF6" s="35" t="s">
        <v>559</v>
      </c>
      <c r="DG6" s="35" t="s">
        <v>560</v>
      </c>
      <c r="DH6" s="35" t="s">
        <v>561</v>
      </c>
      <c r="DI6" s="35" t="s">
        <v>558</v>
      </c>
      <c r="DJ6" s="35" t="s">
        <v>559</v>
      </c>
      <c r="DK6" s="35" t="s">
        <v>560</v>
      </c>
      <c r="DL6" s="35" t="s">
        <v>561</v>
      </c>
      <c r="DM6" s="35" t="s">
        <v>558</v>
      </c>
      <c r="DN6" s="35" t="s">
        <v>559</v>
      </c>
      <c r="DO6" s="35" t="s">
        <v>560</v>
      </c>
      <c r="DP6" s="35" t="s">
        <v>561</v>
      </c>
      <c r="DQ6" s="35" t="s">
        <v>558</v>
      </c>
      <c r="DR6" s="35" t="s">
        <v>559</v>
      </c>
      <c r="DS6" s="35" t="s">
        <v>560</v>
      </c>
      <c r="DT6" s="35" t="s">
        <v>561</v>
      </c>
      <c r="DU6" s="35" t="s">
        <v>558</v>
      </c>
      <c r="DV6" s="35" t="s">
        <v>559</v>
      </c>
      <c r="DW6" s="35" t="s">
        <v>560</v>
      </c>
      <c r="DX6" s="35" t="s">
        <v>561</v>
      </c>
      <c r="DY6" s="35" t="s">
        <v>558</v>
      </c>
      <c r="DZ6" s="35" t="s">
        <v>559</v>
      </c>
      <c r="EA6" s="35" t="s">
        <v>560</v>
      </c>
      <c r="EB6" s="35" t="s">
        <v>561</v>
      </c>
      <c r="EC6" s="35" t="s">
        <v>558</v>
      </c>
      <c r="ED6" s="35" t="s">
        <v>559</v>
      </c>
      <c r="EE6" s="35" t="s">
        <v>560</v>
      </c>
      <c r="EF6" s="35" t="s">
        <v>561</v>
      </c>
      <c r="EG6" s="35" t="s">
        <v>558</v>
      </c>
      <c r="EH6" s="35" t="s">
        <v>559</v>
      </c>
      <c r="EI6" s="35" t="s">
        <v>560</v>
      </c>
      <c r="EJ6" s="35" t="s">
        <v>561</v>
      </c>
      <c r="EK6" s="35" t="s">
        <v>558</v>
      </c>
      <c r="EL6" s="35" t="s">
        <v>559</v>
      </c>
      <c r="EM6" s="35" t="s">
        <v>560</v>
      </c>
      <c r="EN6" s="35" t="s">
        <v>561</v>
      </c>
      <c r="EO6" s="35" t="s">
        <v>558</v>
      </c>
      <c r="EP6" s="35" t="s">
        <v>559</v>
      </c>
      <c r="EQ6" s="35" t="s">
        <v>560</v>
      </c>
      <c r="ER6" s="35" t="s">
        <v>561</v>
      </c>
      <c r="ES6" s="35" t="s">
        <v>558</v>
      </c>
      <c r="ET6" s="35" t="s">
        <v>559</v>
      </c>
      <c r="EU6" s="35" t="s">
        <v>560</v>
      </c>
      <c r="EV6" s="35" t="s">
        <v>561</v>
      </c>
      <c r="EW6" s="35" t="s">
        <v>558</v>
      </c>
      <c r="EX6" s="35" t="s">
        <v>559</v>
      </c>
      <c r="EY6" s="35" t="s">
        <v>560</v>
      </c>
      <c r="EZ6" s="35" t="s">
        <v>561</v>
      </c>
      <c r="FA6" s="35" t="s">
        <v>558</v>
      </c>
      <c r="FB6" s="35" t="s">
        <v>559</v>
      </c>
      <c r="FC6" s="35" t="s">
        <v>560</v>
      </c>
      <c r="FD6" s="35" t="s">
        <v>561</v>
      </c>
      <c r="FE6" s="35" t="s">
        <v>558</v>
      </c>
      <c r="FF6" s="35" t="s">
        <v>559</v>
      </c>
      <c r="FG6" s="35" t="s">
        <v>560</v>
      </c>
      <c r="FH6" s="35" t="s">
        <v>561</v>
      </c>
      <c r="FI6" s="35" t="s">
        <v>558</v>
      </c>
      <c r="FJ6" s="35" t="s">
        <v>559</v>
      </c>
      <c r="FK6" s="35" t="s">
        <v>560</v>
      </c>
      <c r="FL6" s="35" t="s">
        <v>561</v>
      </c>
      <c r="FM6" s="35" t="s">
        <v>558</v>
      </c>
      <c r="FN6" s="35" t="s">
        <v>559</v>
      </c>
      <c r="FO6" s="35" t="s">
        <v>560</v>
      </c>
      <c r="FP6" s="35" t="s">
        <v>561</v>
      </c>
      <c r="FQ6" s="35" t="s">
        <v>558</v>
      </c>
      <c r="FR6" s="35" t="s">
        <v>559</v>
      </c>
      <c r="FS6" s="35" t="s">
        <v>560</v>
      </c>
      <c r="FT6" s="35" t="s">
        <v>561</v>
      </c>
      <c r="FU6" s="35" t="s">
        <v>558</v>
      </c>
      <c r="FV6" s="35" t="s">
        <v>559</v>
      </c>
      <c r="FW6" s="35" t="s">
        <v>560</v>
      </c>
      <c r="FX6" s="35" t="s">
        <v>561</v>
      </c>
      <c r="FY6" s="35" t="s">
        <v>558</v>
      </c>
      <c r="FZ6" s="35" t="s">
        <v>559</v>
      </c>
      <c r="GA6" s="35" t="s">
        <v>560</v>
      </c>
      <c r="GB6" s="35" t="s">
        <v>561</v>
      </c>
      <c r="GC6" s="35" t="s">
        <v>558</v>
      </c>
      <c r="GD6" s="35" t="s">
        <v>559</v>
      </c>
      <c r="GE6" s="35" t="s">
        <v>560</v>
      </c>
      <c r="GF6" s="35" t="s">
        <v>561</v>
      </c>
      <c r="GG6" s="35" t="s">
        <v>558</v>
      </c>
      <c r="GH6" s="35" t="s">
        <v>559</v>
      </c>
      <c r="GI6" s="35" t="s">
        <v>560</v>
      </c>
      <c r="GJ6" s="35" t="s">
        <v>561</v>
      </c>
      <c r="GK6" s="35" t="s">
        <v>558</v>
      </c>
      <c r="GL6" s="35" t="s">
        <v>559</v>
      </c>
      <c r="GM6" s="35" t="s">
        <v>560</v>
      </c>
      <c r="GN6" s="35" t="s">
        <v>561</v>
      </c>
      <c r="GO6" s="35" t="s">
        <v>558</v>
      </c>
      <c r="GP6" s="35" t="s">
        <v>559</v>
      </c>
      <c r="GQ6" s="35" t="s">
        <v>560</v>
      </c>
      <c r="GR6" s="35" t="s">
        <v>561</v>
      </c>
      <c r="GS6" s="35" t="s">
        <v>562</v>
      </c>
      <c r="GT6" s="35" t="s">
        <v>563</v>
      </c>
      <c r="GU6" s="35" t="s">
        <v>564</v>
      </c>
      <c r="GV6" s="35" t="s">
        <v>565</v>
      </c>
      <c r="GW6" s="35" t="s">
        <v>564</v>
      </c>
      <c r="GX6" s="35" t="s">
        <v>565</v>
      </c>
      <c r="GY6" s="35" t="s">
        <v>564</v>
      </c>
      <c r="GZ6" s="35" t="s">
        <v>565</v>
      </c>
      <c r="HA6" s="35" t="s">
        <v>564</v>
      </c>
      <c r="HB6" s="35" t="s">
        <v>565</v>
      </c>
      <c r="HC6" s="35" t="s">
        <v>564</v>
      </c>
      <c r="HD6" s="35" t="s">
        <v>565</v>
      </c>
      <c r="HE6" s="35" t="s">
        <v>566</v>
      </c>
      <c r="HF6" s="35" t="s">
        <v>566</v>
      </c>
      <c r="HG6" s="35" t="s">
        <v>566</v>
      </c>
      <c r="HH6" s="35" t="s">
        <v>566</v>
      </c>
      <c r="HI6" s="35" t="s">
        <v>566</v>
      </c>
      <c r="HJ6" s="35" t="s">
        <v>566</v>
      </c>
      <c r="HK6" s="35" t="s">
        <v>566</v>
      </c>
      <c r="HL6" s="35" t="s">
        <v>566</v>
      </c>
      <c r="HM6" s="35" t="s">
        <v>566</v>
      </c>
      <c r="HN6" s="35" t="s">
        <v>566</v>
      </c>
      <c r="HO6" s="35" t="s">
        <v>566</v>
      </c>
      <c r="HP6" s="35" t="s">
        <v>566</v>
      </c>
      <c r="HQ6" s="35" t="s">
        <v>566</v>
      </c>
      <c r="HR6" s="35" t="s">
        <v>566</v>
      </c>
      <c r="HS6" s="35" t="s">
        <v>566</v>
      </c>
      <c r="HT6" s="35" t="s">
        <v>566</v>
      </c>
      <c r="HU6" s="35" t="s">
        <v>566</v>
      </c>
      <c r="HV6" s="35" t="s">
        <v>566</v>
      </c>
      <c r="HW6" s="35" t="s">
        <v>566</v>
      </c>
      <c r="HX6" s="35" t="s">
        <v>566</v>
      </c>
      <c r="HY6" s="35" t="s">
        <v>566</v>
      </c>
      <c r="HZ6" s="35" t="s">
        <v>566</v>
      </c>
      <c r="IA6" s="35" t="s">
        <v>566</v>
      </c>
      <c r="IB6" s="35" t="s">
        <v>566</v>
      </c>
      <c r="IC6" s="35" t="s">
        <v>566</v>
      </c>
      <c r="ID6" s="35" t="s">
        <v>566</v>
      </c>
      <c r="IE6" s="35" t="s">
        <v>566</v>
      </c>
      <c r="IF6" s="35" t="s">
        <v>566</v>
      </c>
      <c r="IG6" s="35" t="s">
        <v>566</v>
      </c>
      <c r="IH6" s="35" t="s">
        <v>566</v>
      </c>
      <c r="II6" s="35" t="s">
        <v>567</v>
      </c>
      <c r="IJ6" s="35" t="s">
        <v>567</v>
      </c>
      <c r="IK6" s="35" t="s">
        <v>568</v>
      </c>
      <c r="IL6" s="35" t="s">
        <v>569</v>
      </c>
      <c r="IM6" s="35" t="s">
        <v>570</v>
      </c>
      <c r="IN6" s="35" t="s">
        <v>571</v>
      </c>
      <c r="IO6" s="35" t="s">
        <v>568</v>
      </c>
      <c r="IP6" s="35" t="s">
        <v>569</v>
      </c>
      <c r="IQ6" s="35" t="s">
        <v>570</v>
      </c>
      <c r="IR6" s="35" t="s">
        <v>571</v>
      </c>
      <c r="IS6" s="35" t="s">
        <v>568</v>
      </c>
      <c r="IT6" s="35" t="s">
        <v>569</v>
      </c>
      <c r="IU6" s="35" t="s">
        <v>570</v>
      </c>
      <c r="IV6" s="35" t="s">
        <v>571</v>
      </c>
      <c r="IW6" s="35" t="s">
        <v>568</v>
      </c>
      <c r="IX6" s="35" t="s">
        <v>569</v>
      </c>
      <c r="IY6" s="35" t="s">
        <v>570</v>
      </c>
      <c r="IZ6" s="35" t="s">
        <v>571</v>
      </c>
      <c r="JA6" s="35" t="s">
        <v>568</v>
      </c>
      <c r="JB6" s="35" t="s">
        <v>569</v>
      </c>
      <c r="JC6" s="35" t="s">
        <v>570</v>
      </c>
      <c r="JD6" s="35" t="s">
        <v>571</v>
      </c>
      <c r="JE6" s="35" t="s">
        <v>568</v>
      </c>
      <c r="JF6" s="35" t="s">
        <v>569</v>
      </c>
      <c r="JG6" s="35" t="s">
        <v>570</v>
      </c>
      <c r="JH6" s="35" t="s">
        <v>571</v>
      </c>
      <c r="JI6" s="35" t="s">
        <v>568</v>
      </c>
      <c r="JJ6" s="35" t="s">
        <v>569</v>
      </c>
      <c r="JK6" s="35" t="s">
        <v>570</v>
      </c>
      <c r="JL6" s="35" t="s">
        <v>571</v>
      </c>
      <c r="JM6" s="35" t="s">
        <v>568</v>
      </c>
      <c r="JN6" s="35" t="s">
        <v>569</v>
      </c>
      <c r="JO6" s="35" t="s">
        <v>570</v>
      </c>
      <c r="JP6" s="35" t="s">
        <v>571</v>
      </c>
      <c r="JQ6" s="35" t="s">
        <v>568</v>
      </c>
      <c r="JR6" s="35" t="s">
        <v>569</v>
      </c>
      <c r="JS6" s="35" t="s">
        <v>570</v>
      </c>
      <c r="JT6" s="35" t="s">
        <v>571</v>
      </c>
      <c r="JU6" s="35" t="s">
        <v>568</v>
      </c>
      <c r="JV6" s="35" t="s">
        <v>569</v>
      </c>
      <c r="JW6" s="35" t="s">
        <v>570</v>
      </c>
      <c r="JX6" s="35" t="s">
        <v>571</v>
      </c>
      <c r="JY6" s="35" t="s">
        <v>572</v>
      </c>
      <c r="JZ6" s="35" t="s">
        <v>648</v>
      </c>
      <c r="KA6" s="35" t="s">
        <v>649</v>
      </c>
      <c r="KB6" s="35" t="s">
        <v>575</v>
      </c>
      <c r="KC6" s="35" t="s">
        <v>650</v>
      </c>
      <c r="KD6" s="35" t="s">
        <v>585</v>
      </c>
      <c r="KE6" s="35" t="s">
        <v>589</v>
      </c>
      <c r="KF6" s="35" t="s">
        <v>588</v>
      </c>
      <c r="KG6" s="35" t="s">
        <v>651</v>
      </c>
      <c r="KH6" s="35" t="s">
        <v>652</v>
      </c>
      <c r="KI6" s="35" t="s">
        <v>653</v>
      </c>
      <c r="KJ6" s="35" t="s">
        <v>654</v>
      </c>
      <c r="KK6" s="35" t="s">
        <v>655</v>
      </c>
      <c r="KL6" s="35" t="s">
        <v>656</v>
      </c>
      <c r="KM6" s="35" t="s">
        <v>657</v>
      </c>
      <c r="KN6" s="35" t="s">
        <v>583</v>
      </c>
      <c r="KO6" s="35" t="s">
        <v>590</v>
      </c>
      <c r="KP6" s="35" t="s">
        <v>658</v>
      </c>
      <c r="KQ6" s="35" t="s">
        <v>659</v>
      </c>
      <c r="KR6" s="35" t="s">
        <v>580</v>
      </c>
      <c r="KS6" s="35" t="s">
        <v>581</v>
      </c>
      <c r="KT6" s="35" t="s">
        <v>660</v>
      </c>
      <c r="KU6" s="35" t="s">
        <v>592</v>
      </c>
      <c r="KV6" s="35" t="s">
        <v>661</v>
      </c>
      <c r="KW6" s="35" t="s">
        <v>593</v>
      </c>
      <c r="KX6" s="35" t="s">
        <v>594</v>
      </c>
      <c r="KY6" s="35" t="s">
        <v>595</v>
      </c>
      <c r="KZ6" s="35" t="s">
        <v>596</v>
      </c>
      <c r="LA6" s="35" t="s">
        <v>597</v>
      </c>
      <c r="LB6" s="35" t="s">
        <v>598</v>
      </c>
      <c r="LC6" s="35" t="s">
        <v>600</v>
      </c>
    </row>
    <row r="7" spans="1:315" ht="50" customHeight="1">
      <c r="A7" s="35" t="s">
        <v>601</v>
      </c>
      <c r="B7" s="35" t="s">
        <v>67</v>
      </c>
      <c r="C7" s="35" t="s">
        <v>67</v>
      </c>
      <c r="D7" s="35" t="s">
        <v>67</v>
      </c>
      <c r="E7" s="35" t="s">
        <v>67</v>
      </c>
      <c r="F7" s="36" t="s">
        <v>602</v>
      </c>
      <c r="G7" s="35" t="s">
        <v>67</v>
      </c>
      <c r="H7" s="36" t="s">
        <v>602</v>
      </c>
      <c r="I7" s="35" t="s">
        <v>67</v>
      </c>
      <c r="J7" s="36" t="s">
        <v>602</v>
      </c>
      <c r="K7" s="35" t="s">
        <v>67</v>
      </c>
      <c r="L7" s="36" t="s">
        <v>602</v>
      </c>
      <c r="M7" s="35" t="s">
        <v>67</v>
      </c>
      <c r="N7" s="36" t="s">
        <v>602</v>
      </c>
      <c r="O7" s="35" t="s">
        <v>67</v>
      </c>
      <c r="P7" s="35" t="s">
        <v>603</v>
      </c>
      <c r="Q7" s="35" t="s">
        <v>603</v>
      </c>
      <c r="R7" s="35" t="s">
        <v>603</v>
      </c>
      <c r="S7" s="35" t="s">
        <v>603</v>
      </c>
      <c r="T7" s="35" t="s">
        <v>67</v>
      </c>
      <c r="U7" s="35" t="s">
        <v>67</v>
      </c>
      <c r="V7" s="35" t="s">
        <v>67</v>
      </c>
      <c r="W7" s="35" t="s">
        <v>67</v>
      </c>
      <c r="X7" s="35" t="s">
        <v>67</v>
      </c>
      <c r="Y7" s="35" t="s">
        <v>67</v>
      </c>
      <c r="Z7" s="35" t="s">
        <v>67</v>
      </c>
      <c r="AA7" s="35" t="s">
        <v>67</v>
      </c>
      <c r="AB7" s="35" t="s">
        <v>67</v>
      </c>
      <c r="AC7" s="35" t="s">
        <v>67</v>
      </c>
      <c r="AD7" s="35" t="s">
        <v>604</v>
      </c>
      <c r="AE7" s="35" t="s">
        <v>604</v>
      </c>
      <c r="AF7" s="35" t="s">
        <v>604</v>
      </c>
      <c r="AG7" s="35" t="s">
        <v>603</v>
      </c>
      <c r="AH7" s="36" t="s">
        <v>602</v>
      </c>
      <c r="AI7" s="36" t="s">
        <v>602</v>
      </c>
      <c r="AJ7" s="36" t="s">
        <v>602</v>
      </c>
      <c r="AK7" s="36" t="s">
        <v>602</v>
      </c>
      <c r="AL7" s="35" t="s">
        <v>67</v>
      </c>
      <c r="AM7" s="35" t="s">
        <v>72</v>
      </c>
      <c r="AN7" s="35" t="s">
        <v>72</v>
      </c>
      <c r="AO7" s="35" t="s">
        <v>603</v>
      </c>
      <c r="AP7" s="35" t="s">
        <v>603</v>
      </c>
      <c r="AQ7" s="35" t="s">
        <v>603</v>
      </c>
      <c r="AR7" s="35" t="s">
        <v>603</v>
      </c>
      <c r="AS7" s="35" t="s">
        <v>603</v>
      </c>
      <c r="AT7" s="35" t="s">
        <v>603</v>
      </c>
      <c r="AU7" s="35" t="s">
        <v>603</v>
      </c>
      <c r="AV7" s="35" t="s">
        <v>603</v>
      </c>
      <c r="AW7" s="35" t="s">
        <v>603</v>
      </c>
      <c r="AX7" s="35" t="s">
        <v>603</v>
      </c>
      <c r="AY7" s="35" t="s">
        <v>603</v>
      </c>
      <c r="AZ7" s="35" t="s">
        <v>603</v>
      </c>
      <c r="BA7" s="35" t="s">
        <v>603</v>
      </c>
      <c r="BB7" s="35" t="s">
        <v>603</v>
      </c>
      <c r="BC7" s="35" t="s">
        <v>603</v>
      </c>
      <c r="BD7" s="35" t="s">
        <v>603</v>
      </c>
      <c r="BE7" s="35" t="s">
        <v>603</v>
      </c>
      <c r="BF7" s="35" t="s">
        <v>603</v>
      </c>
      <c r="BG7" s="35" t="s">
        <v>603</v>
      </c>
      <c r="BH7" s="35" t="s">
        <v>603</v>
      </c>
      <c r="BI7" s="35" t="s">
        <v>603</v>
      </c>
      <c r="BJ7" s="35" t="s">
        <v>603</v>
      </c>
      <c r="BK7" s="35" t="s">
        <v>603</v>
      </c>
      <c r="BL7" s="35" t="s">
        <v>603</v>
      </c>
      <c r="BM7" s="35" t="s">
        <v>603</v>
      </c>
      <c r="BN7" s="35" t="s">
        <v>603</v>
      </c>
      <c r="BO7" s="35" t="s">
        <v>603</v>
      </c>
      <c r="BP7" s="35" t="s">
        <v>603</v>
      </c>
      <c r="BQ7" s="35" t="s">
        <v>603</v>
      </c>
      <c r="BR7" s="35" t="s">
        <v>603</v>
      </c>
      <c r="BS7" s="35" t="s">
        <v>603</v>
      </c>
      <c r="BT7" s="35" t="s">
        <v>603</v>
      </c>
      <c r="BU7" s="35" t="s">
        <v>603</v>
      </c>
      <c r="BV7" s="35" t="s">
        <v>603</v>
      </c>
      <c r="BW7" s="35" t="s">
        <v>603</v>
      </c>
      <c r="BX7" s="35" t="s">
        <v>603</v>
      </c>
      <c r="BY7" s="35" t="s">
        <v>603</v>
      </c>
      <c r="BZ7" s="35" t="s">
        <v>603</v>
      </c>
      <c r="CA7" s="35" t="s">
        <v>603</v>
      </c>
      <c r="CB7" s="35" t="s">
        <v>603</v>
      </c>
      <c r="CC7" s="35" t="s">
        <v>603</v>
      </c>
      <c r="CD7" s="35" t="s">
        <v>603</v>
      </c>
      <c r="CE7" s="35" t="s">
        <v>603</v>
      </c>
      <c r="CF7" s="35" t="s">
        <v>603</v>
      </c>
      <c r="CG7" s="35" t="s">
        <v>603</v>
      </c>
      <c r="CH7" s="35" t="s">
        <v>603</v>
      </c>
      <c r="CI7" s="35" t="s">
        <v>603</v>
      </c>
      <c r="CJ7" s="35" t="s">
        <v>603</v>
      </c>
      <c r="CK7" s="35" t="s">
        <v>603</v>
      </c>
      <c r="CL7" s="35" t="s">
        <v>603</v>
      </c>
      <c r="CM7" s="35" t="s">
        <v>603</v>
      </c>
      <c r="CN7" s="35" t="s">
        <v>603</v>
      </c>
      <c r="CO7" s="35" t="s">
        <v>603</v>
      </c>
      <c r="CP7" s="35" t="s">
        <v>603</v>
      </c>
      <c r="CQ7" s="35" t="s">
        <v>603</v>
      </c>
      <c r="CR7" s="35" t="s">
        <v>603</v>
      </c>
      <c r="CS7" s="35" t="s">
        <v>603</v>
      </c>
      <c r="CT7" s="35" t="s">
        <v>603</v>
      </c>
      <c r="CU7" s="35" t="s">
        <v>603</v>
      </c>
      <c r="CV7" s="35" t="s">
        <v>603</v>
      </c>
      <c r="CW7" s="35" t="s">
        <v>603</v>
      </c>
      <c r="CX7" s="35" t="s">
        <v>603</v>
      </c>
      <c r="CY7" s="35" t="s">
        <v>603</v>
      </c>
      <c r="CZ7" s="35" t="s">
        <v>603</v>
      </c>
      <c r="DA7" s="35" t="s">
        <v>603</v>
      </c>
      <c r="DB7" s="35" t="s">
        <v>603</v>
      </c>
      <c r="DC7" s="35" t="s">
        <v>603</v>
      </c>
      <c r="DD7" s="35" t="s">
        <v>603</v>
      </c>
      <c r="DE7" s="35" t="s">
        <v>603</v>
      </c>
      <c r="DF7" s="35" t="s">
        <v>603</v>
      </c>
      <c r="DG7" s="35" t="s">
        <v>603</v>
      </c>
      <c r="DH7" s="35" t="s">
        <v>603</v>
      </c>
      <c r="DI7" s="35" t="s">
        <v>603</v>
      </c>
      <c r="DJ7" s="35" t="s">
        <v>603</v>
      </c>
      <c r="DK7" s="35" t="s">
        <v>603</v>
      </c>
      <c r="DL7" s="35" t="s">
        <v>603</v>
      </c>
      <c r="DM7" s="35" t="s">
        <v>603</v>
      </c>
      <c r="DN7" s="35" t="s">
        <v>603</v>
      </c>
      <c r="DO7" s="35" t="s">
        <v>603</v>
      </c>
      <c r="DP7" s="35" t="s">
        <v>603</v>
      </c>
      <c r="DQ7" s="35" t="s">
        <v>603</v>
      </c>
      <c r="DR7" s="35" t="s">
        <v>603</v>
      </c>
      <c r="DS7" s="35" t="s">
        <v>603</v>
      </c>
      <c r="DT7" s="35" t="s">
        <v>603</v>
      </c>
      <c r="DU7" s="35" t="s">
        <v>603</v>
      </c>
      <c r="DV7" s="35" t="s">
        <v>603</v>
      </c>
      <c r="DW7" s="35" t="s">
        <v>603</v>
      </c>
      <c r="DX7" s="35" t="s">
        <v>603</v>
      </c>
      <c r="DY7" s="35" t="s">
        <v>603</v>
      </c>
      <c r="DZ7" s="35" t="s">
        <v>603</v>
      </c>
      <c r="EA7" s="35" t="s">
        <v>603</v>
      </c>
      <c r="EB7" s="35" t="s">
        <v>603</v>
      </c>
      <c r="EC7" s="35" t="s">
        <v>603</v>
      </c>
      <c r="ED7" s="35" t="s">
        <v>603</v>
      </c>
      <c r="EE7" s="35" t="s">
        <v>603</v>
      </c>
      <c r="EF7" s="35" t="s">
        <v>603</v>
      </c>
      <c r="EG7" s="35" t="s">
        <v>603</v>
      </c>
      <c r="EH7" s="35" t="s">
        <v>603</v>
      </c>
      <c r="EI7" s="35" t="s">
        <v>603</v>
      </c>
      <c r="EJ7" s="35" t="s">
        <v>603</v>
      </c>
      <c r="EK7" s="35" t="s">
        <v>603</v>
      </c>
      <c r="EL7" s="35" t="s">
        <v>603</v>
      </c>
      <c r="EM7" s="35" t="s">
        <v>603</v>
      </c>
      <c r="EN7" s="35" t="s">
        <v>603</v>
      </c>
      <c r="EO7" s="35" t="s">
        <v>603</v>
      </c>
      <c r="EP7" s="35" t="s">
        <v>603</v>
      </c>
      <c r="EQ7" s="35" t="s">
        <v>603</v>
      </c>
      <c r="ER7" s="35" t="s">
        <v>603</v>
      </c>
      <c r="ES7" s="35" t="s">
        <v>603</v>
      </c>
      <c r="ET7" s="35" t="s">
        <v>603</v>
      </c>
      <c r="EU7" s="35" t="s">
        <v>603</v>
      </c>
      <c r="EV7" s="35" t="s">
        <v>603</v>
      </c>
      <c r="EW7" s="35" t="s">
        <v>603</v>
      </c>
      <c r="EX7" s="35" t="s">
        <v>603</v>
      </c>
      <c r="EY7" s="35" t="s">
        <v>603</v>
      </c>
      <c r="EZ7" s="35" t="s">
        <v>603</v>
      </c>
      <c r="FA7" s="35" t="s">
        <v>603</v>
      </c>
      <c r="FB7" s="35" t="s">
        <v>603</v>
      </c>
      <c r="FC7" s="35" t="s">
        <v>603</v>
      </c>
      <c r="FD7" s="35" t="s">
        <v>603</v>
      </c>
      <c r="FE7" s="35" t="s">
        <v>603</v>
      </c>
      <c r="FF7" s="35" t="s">
        <v>603</v>
      </c>
      <c r="FG7" s="35" t="s">
        <v>603</v>
      </c>
      <c r="FH7" s="35" t="s">
        <v>603</v>
      </c>
      <c r="FI7" s="35" t="s">
        <v>603</v>
      </c>
      <c r="FJ7" s="35" t="s">
        <v>603</v>
      </c>
      <c r="FK7" s="35" t="s">
        <v>603</v>
      </c>
      <c r="FL7" s="35" t="s">
        <v>603</v>
      </c>
      <c r="FM7" s="35" t="s">
        <v>603</v>
      </c>
      <c r="FN7" s="35" t="s">
        <v>603</v>
      </c>
      <c r="FO7" s="35" t="s">
        <v>603</v>
      </c>
      <c r="FP7" s="35" t="s">
        <v>603</v>
      </c>
      <c r="FQ7" s="35" t="s">
        <v>603</v>
      </c>
      <c r="FR7" s="35" t="s">
        <v>603</v>
      </c>
      <c r="FS7" s="35" t="s">
        <v>603</v>
      </c>
      <c r="FT7" s="35" t="s">
        <v>603</v>
      </c>
      <c r="FU7" s="35" t="s">
        <v>603</v>
      </c>
      <c r="FV7" s="35" t="s">
        <v>603</v>
      </c>
      <c r="FW7" s="35" t="s">
        <v>603</v>
      </c>
      <c r="FX7" s="35" t="s">
        <v>603</v>
      </c>
      <c r="FY7" s="35" t="s">
        <v>603</v>
      </c>
      <c r="FZ7" s="35" t="s">
        <v>603</v>
      </c>
      <c r="GA7" s="35" t="s">
        <v>603</v>
      </c>
      <c r="GB7" s="35" t="s">
        <v>603</v>
      </c>
      <c r="GC7" s="35" t="s">
        <v>603</v>
      </c>
      <c r="GD7" s="35" t="s">
        <v>603</v>
      </c>
      <c r="GE7" s="35" t="s">
        <v>603</v>
      </c>
      <c r="GF7" s="35" t="s">
        <v>603</v>
      </c>
      <c r="GG7" s="35" t="s">
        <v>603</v>
      </c>
      <c r="GH7" s="35" t="s">
        <v>603</v>
      </c>
      <c r="GI7" s="35" t="s">
        <v>603</v>
      </c>
      <c r="GJ7" s="35" t="s">
        <v>603</v>
      </c>
      <c r="GK7" s="35" t="s">
        <v>603</v>
      </c>
      <c r="GL7" s="35" t="s">
        <v>603</v>
      </c>
      <c r="GM7" s="35" t="s">
        <v>603</v>
      </c>
      <c r="GN7" s="35" t="s">
        <v>603</v>
      </c>
      <c r="GO7" s="35" t="s">
        <v>603</v>
      </c>
      <c r="GP7" s="35" t="s">
        <v>603</v>
      </c>
      <c r="GQ7" s="35" t="s">
        <v>603</v>
      </c>
      <c r="GR7" s="35" t="s">
        <v>603</v>
      </c>
      <c r="GS7" s="36" t="s">
        <v>602</v>
      </c>
      <c r="GT7" s="35" t="s">
        <v>72</v>
      </c>
      <c r="GU7" s="36" t="s">
        <v>602</v>
      </c>
      <c r="GV7" s="36" t="s">
        <v>602</v>
      </c>
      <c r="GW7" s="36" t="s">
        <v>602</v>
      </c>
      <c r="GX7" s="36" t="s">
        <v>602</v>
      </c>
      <c r="GY7" s="36" t="s">
        <v>602</v>
      </c>
      <c r="GZ7" s="36" t="s">
        <v>602</v>
      </c>
      <c r="HA7" s="36" t="s">
        <v>602</v>
      </c>
      <c r="HB7" s="36" t="s">
        <v>602</v>
      </c>
      <c r="HC7" s="36" t="s">
        <v>602</v>
      </c>
      <c r="HD7" s="36" t="s">
        <v>602</v>
      </c>
      <c r="HE7" s="35" t="s">
        <v>67</v>
      </c>
      <c r="HF7" s="35" t="s">
        <v>67</v>
      </c>
      <c r="HG7" s="35" t="s">
        <v>67</v>
      </c>
      <c r="HH7" s="35" t="s">
        <v>67</v>
      </c>
      <c r="HI7" s="35" t="s">
        <v>67</v>
      </c>
      <c r="HJ7" s="35" t="s">
        <v>67</v>
      </c>
      <c r="HK7" s="35" t="s">
        <v>67</v>
      </c>
      <c r="HL7" s="35" t="s">
        <v>67</v>
      </c>
      <c r="HM7" s="35" t="s">
        <v>67</v>
      </c>
      <c r="HN7" s="35" t="s">
        <v>67</v>
      </c>
      <c r="HO7" s="35" t="s">
        <v>67</v>
      </c>
      <c r="HP7" s="35" t="s">
        <v>67</v>
      </c>
      <c r="HQ7" s="35" t="s">
        <v>67</v>
      </c>
      <c r="HR7" s="35" t="s">
        <v>67</v>
      </c>
      <c r="HS7" s="35" t="s">
        <v>67</v>
      </c>
      <c r="HT7" s="35" t="s">
        <v>67</v>
      </c>
      <c r="HU7" s="35" t="s">
        <v>67</v>
      </c>
      <c r="HV7" s="35" t="s">
        <v>67</v>
      </c>
      <c r="HW7" s="35" t="s">
        <v>67</v>
      </c>
      <c r="HX7" s="35" t="s">
        <v>67</v>
      </c>
      <c r="HY7" s="35" t="s">
        <v>67</v>
      </c>
      <c r="HZ7" s="35" t="s">
        <v>67</v>
      </c>
      <c r="IA7" s="35" t="s">
        <v>67</v>
      </c>
      <c r="IB7" s="35" t="s">
        <v>67</v>
      </c>
      <c r="IC7" s="35" t="s">
        <v>67</v>
      </c>
      <c r="ID7" s="35" t="s">
        <v>67</v>
      </c>
      <c r="IE7" s="35" t="s">
        <v>67</v>
      </c>
      <c r="IF7" s="35" t="s">
        <v>67</v>
      </c>
      <c r="IG7" s="35" t="s">
        <v>67</v>
      </c>
      <c r="IH7" s="35" t="s">
        <v>67</v>
      </c>
      <c r="II7" s="35" t="s">
        <v>67</v>
      </c>
      <c r="IJ7" s="35" t="s">
        <v>67</v>
      </c>
      <c r="IK7" s="35" t="s">
        <v>67</v>
      </c>
      <c r="IL7" s="36" t="s">
        <v>605</v>
      </c>
      <c r="IM7" s="36" t="s">
        <v>606</v>
      </c>
      <c r="IN7" s="36" t="s">
        <v>602</v>
      </c>
      <c r="IO7" s="35" t="s">
        <v>67</v>
      </c>
      <c r="IP7" s="36" t="s">
        <v>605</v>
      </c>
      <c r="IQ7" s="36" t="s">
        <v>606</v>
      </c>
      <c r="IR7" s="36" t="s">
        <v>602</v>
      </c>
      <c r="IS7" s="35" t="s">
        <v>67</v>
      </c>
      <c r="IT7" s="36" t="s">
        <v>605</v>
      </c>
      <c r="IU7" s="36" t="s">
        <v>606</v>
      </c>
      <c r="IV7" s="36" t="s">
        <v>602</v>
      </c>
      <c r="IW7" s="35" t="s">
        <v>67</v>
      </c>
      <c r="IX7" s="36" t="s">
        <v>605</v>
      </c>
      <c r="IY7" s="36" t="s">
        <v>606</v>
      </c>
      <c r="IZ7" s="36" t="s">
        <v>602</v>
      </c>
      <c r="JA7" s="35" t="s">
        <v>67</v>
      </c>
      <c r="JB7" s="36" t="s">
        <v>605</v>
      </c>
      <c r="JC7" s="36" t="s">
        <v>606</v>
      </c>
      <c r="JD7" s="36" t="s">
        <v>602</v>
      </c>
      <c r="JE7" s="35" t="s">
        <v>67</v>
      </c>
      <c r="JF7" s="36" t="s">
        <v>605</v>
      </c>
      <c r="JG7" s="36" t="s">
        <v>606</v>
      </c>
      <c r="JH7" s="36" t="s">
        <v>602</v>
      </c>
      <c r="JI7" s="35" t="s">
        <v>67</v>
      </c>
      <c r="JJ7" s="36" t="s">
        <v>605</v>
      </c>
      <c r="JK7" s="36" t="s">
        <v>606</v>
      </c>
      <c r="JL7" s="36" t="s">
        <v>602</v>
      </c>
      <c r="JM7" s="35" t="s">
        <v>67</v>
      </c>
      <c r="JN7" s="36" t="s">
        <v>605</v>
      </c>
      <c r="JO7" s="36" t="s">
        <v>606</v>
      </c>
      <c r="JP7" s="36" t="s">
        <v>602</v>
      </c>
      <c r="JQ7" s="35" t="s">
        <v>67</v>
      </c>
      <c r="JR7" s="36" t="s">
        <v>605</v>
      </c>
      <c r="JS7" s="36" t="s">
        <v>606</v>
      </c>
      <c r="JT7" s="36" t="s">
        <v>602</v>
      </c>
      <c r="JU7" s="35" t="s">
        <v>67</v>
      </c>
      <c r="JV7" s="36" t="s">
        <v>605</v>
      </c>
      <c r="JW7" s="36" t="s">
        <v>606</v>
      </c>
      <c r="JX7" s="36" t="s">
        <v>602</v>
      </c>
      <c r="JY7" s="36" t="s">
        <v>602</v>
      </c>
      <c r="JZ7" s="36" t="s">
        <v>602</v>
      </c>
      <c r="KA7" s="36" t="s">
        <v>662</v>
      </c>
      <c r="KB7" s="36" t="s">
        <v>663</v>
      </c>
      <c r="KC7" s="36" t="s">
        <v>664</v>
      </c>
      <c r="KD7" s="36" t="s">
        <v>665</v>
      </c>
      <c r="KE7" s="36" t="s">
        <v>666</v>
      </c>
      <c r="KF7" s="36" t="s">
        <v>616</v>
      </c>
      <c r="KG7" s="36" t="s">
        <v>667</v>
      </c>
      <c r="KH7" s="36" t="s">
        <v>668</v>
      </c>
      <c r="KI7" s="35" t="s">
        <v>603</v>
      </c>
      <c r="KJ7" s="35" t="s">
        <v>604</v>
      </c>
      <c r="KK7" s="36" t="s">
        <v>669</v>
      </c>
      <c r="KL7" s="36" t="s">
        <v>602</v>
      </c>
      <c r="KM7" s="36" t="s">
        <v>670</v>
      </c>
      <c r="KN7" s="36" t="s">
        <v>671</v>
      </c>
      <c r="KO7" s="36" t="s">
        <v>618</v>
      </c>
      <c r="KP7" s="36" t="s">
        <v>672</v>
      </c>
      <c r="KQ7" s="36" t="s">
        <v>673</v>
      </c>
      <c r="KR7" s="36" t="s">
        <v>611</v>
      </c>
      <c r="KS7" s="35" t="s">
        <v>72</v>
      </c>
      <c r="KT7" s="35" t="s">
        <v>603</v>
      </c>
      <c r="KU7" s="35" t="s">
        <v>603</v>
      </c>
      <c r="KV7" s="35" t="s">
        <v>603</v>
      </c>
      <c r="KW7" s="35" t="s">
        <v>603</v>
      </c>
      <c r="KX7" s="35" t="s">
        <v>72</v>
      </c>
      <c r="KY7" s="36" t="s">
        <v>602</v>
      </c>
      <c r="KZ7" s="36" t="s">
        <v>602</v>
      </c>
      <c r="LA7" s="36" t="s">
        <v>602</v>
      </c>
      <c r="LB7" s="35" t="s">
        <v>72</v>
      </c>
      <c r="LC7" s="35" t="s">
        <v>72</v>
      </c>
    </row>
    <row r="8" spans="1:315">
      <c r="B8" s="37" t="s">
        <v>619</v>
      </c>
      <c r="C8" s="37" t="s">
        <v>620</v>
      </c>
      <c r="D8" s="37" t="s">
        <v>620</v>
      </c>
      <c r="E8" s="37" t="s">
        <v>620</v>
      </c>
      <c r="F8" s="38"/>
      <c r="G8" s="38"/>
      <c r="H8" s="37" t="s">
        <v>620</v>
      </c>
      <c r="I8" s="37" t="s">
        <v>620</v>
      </c>
      <c r="J8" s="37" t="s">
        <v>620</v>
      </c>
      <c r="K8" s="37" t="s">
        <v>620</v>
      </c>
      <c r="L8" s="37" t="s">
        <v>620</v>
      </c>
      <c r="M8" s="37" t="s">
        <v>620</v>
      </c>
      <c r="N8" s="37" t="s">
        <v>620</v>
      </c>
      <c r="O8" s="37" t="s">
        <v>620</v>
      </c>
      <c r="P8" s="37" t="s">
        <v>620</v>
      </c>
      <c r="Q8" s="37" t="s">
        <v>620</v>
      </c>
      <c r="R8" s="37" t="s">
        <v>620</v>
      </c>
      <c r="S8" s="37" t="s">
        <v>620</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7" t="s">
        <v>620</v>
      </c>
      <c r="HF8" s="37" t="s">
        <v>620</v>
      </c>
      <c r="HG8" s="37" t="s">
        <v>620</v>
      </c>
      <c r="HH8" s="37" t="s">
        <v>620</v>
      </c>
      <c r="HI8" s="37" t="s">
        <v>620</v>
      </c>
      <c r="HJ8" s="37" t="s">
        <v>620</v>
      </c>
      <c r="HK8" s="37" t="s">
        <v>620</v>
      </c>
      <c r="HL8" s="37" t="s">
        <v>620</v>
      </c>
      <c r="HM8" s="37" t="s">
        <v>620</v>
      </c>
      <c r="HN8" s="37" t="s">
        <v>620</v>
      </c>
      <c r="HO8" s="37" t="s">
        <v>620</v>
      </c>
      <c r="HP8" s="37" t="s">
        <v>620</v>
      </c>
      <c r="HQ8" s="37" t="s">
        <v>620</v>
      </c>
      <c r="HR8" s="37" t="s">
        <v>620</v>
      </c>
      <c r="HS8" s="37" t="s">
        <v>620</v>
      </c>
      <c r="HT8" s="37" t="s">
        <v>620</v>
      </c>
      <c r="HU8" s="37" t="s">
        <v>620</v>
      </c>
      <c r="HV8" s="37" t="s">
        <v>620</v>
      </c>
      <c r="HW8" s="37" t="s">
        <v>620</v>
      </c>
      <c r="HX8" s="37" t="s">
        <v>620</v>
      </c>
      <c r="HY8" s="37" t="s">
        <v>620</v>
      </c>
      <c r="HZ8" s="37" t="s">
        <v>620</v>
      </c>
      <c r="IA8" s="37" t="s">
        <v>620</v>
      </c>
      <c r="IB8" s="37" t="s">
        <v>620</v>
      </c>
      <c r="IC8" s="37" t="s">
        <v>620</v>
      </c>
      <c r="ID8" s="37" t="s">
        <v>620</v>
      </c>
      <c r="IE8" s="37" t="s">
        <v>620</v>
      </c>
      <c r="IF8" s="37" t="s">
        <v>620</v>
      </c>
      <c r="IG8" s="37" t="s">
        <v>620</v>
      </c>
      <c r="IH8" s="37" t="s">
        <v>620</v>
      </c>
      <c r="II8" s="37" t="s">
        <v>620</v>
      </c>
      <c r="IJ8" s="37" t="s">
        <v>620</v>
      </c>
      <c r="IK8" s="37" t="s">
        <v>620</v>
      </c>
      <c r="IL8" s="37" t="s">
        <v>620</v>
      </c>
      <c r="IM8" s="37" t="s">
        <v>620</v>
      </c>
      <c r="IN8" s="37" t="s">
        <v>620</v>
      </c>
      <c r="IO8" s="37" t="s">
        <v>620</v>
      </c>
      <c r="IP8" s="37" t="s">
        <v>620</v>
      </c>
      <c r="IQ8" s="37" t="s">
        <v>620</v>
      </c>
      <c r="IR8" s="37" t="s">
        <v>620</v>
      </c>
      <c r="IS8" s="37" t="s">
        <v>620</v>
      </c>
      <c r="IT8" s="37" t="s">
        <v>620</v>
      </c>
      <c r="IU8" s="37" t="s">
        <v>620</v>
      </c>
      <c r="IV8" s="37" t="s">
        <v>620</v>
      </c>
      <c r="IW8" s="37" t="s">
        <v>620</v>
      </c>
      <c r="IX8" s="37" t="s">
        <v>620</v>
      </c>
      <c r="IY8" s="37" t="s">
        <v>620</v>
      </c>
      <c r="IZ8" s="37" t="s">
        <v>620</v>
      </c>
      <c r="JA8" s="37" t="s">
        <v>620</v>
      </c>
      <c r="JB8" s="37" t="s">
        <v>620</v>
      </c>
      <c r="JC8" s="37" t="s">
        <v>620</v>
      </c>
      <c r="JD8" s="37" t="s">
        <v>620</v>
      </c>
      <c r="JE8" s="37" t="s">
        <v>620</v>
      </c>
      <c r="JF8" s="37" t="s">
        <v>620</v>
      </c>
      <c r="JG8" s="37" t="s">
        <v>620</v>
      </c>
      <c r="JH8" s="37" t="s">
        <v>620</v>
      </c>
      <c r="JI8" s="37" t="s">
        <v>620</v>
      </c>
      <c r="JJ8" s="37" t="s">
        <v>620</v>
      </c>
      <c r="JK8" s="37" t="s">
        <v>620</v>
      </c>
      <c r="JL8" s="37" t="s">
        <v>620</v>
      </c>
      <c r="JM8" s="37" t="s">
        <v>620</v>
      </c>
      <c r="JN8" s="37" t="s">
        <v>620</v>
      </c>
      <c r="JO8" s="37" t="s">
        <v>620</v>
      </c>
      <c r="JP8" s="37" t="s">
        <v>620</v>
      </c>
      <c r="JQ8" s="37" t="s">
        <v>620</v>
      </c>
      <c r="JR8" s="37" t="s">
        <v>620</v>
      </c>
      <c r="JS8" s="37" t="s">
        <v>620</v>
      </c>
      <c r="JT8" s="37" t="s">
        <v>620</v>
      </c>
      <c r="JU8" s="37" t="s">
        <v>620</v>
      </c>
      <c r="JV8" s="37" t="s">
        <v>620</v>
      </c>
      <c r="JW8" s="37" t="s">
        <v>620</v>
      </c>
      <c r="JX8" s="37" t="s">
        <v>620</v>
      </c>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c r="LB8" s="38"/>
      <c r="LC8" s="38"/>
    </row>
    <row r="9" spans="1:315">
      <c r="A9" s="39">
        <f>IF('6161 - Wallpaper (S)'!B9 = "", "", IF('6161-S-WUO_ERR'!A9 = "", "Validated", HYPERLINK("#" &amp; ADDRESS(ROW('6161-S-WUO_TRK'!A9), '6161-S-WUO_TRK'!A9), _xlfn.TEXTAFTER('6161-S-WUO_ERR'!A9, ":"))))</f>
        <v>0</v>
      </c>
    </row>
    <row r="10" spans="1:315">
      <c r="A10" s="39">
        <f>IF('6161 - Wallpaper (S)'!B10 = "", "", IF('6161-S-WUO_ERR'!A10 = "", "Validated", HYPERLINK("#" &amp; ADDRESS(ROW('6161-S-WUO_TRK'!A10), '6161-S-WUO_TRK'!A10), _xlfn.TEXTAFTER('6161-S-WUO_ERR'!A10, ":"))))</f>
        <v>0</v>
      </c>
    </row>
    <row r="11" spans="1:315">
      <c r="A11" s="39">
        <f>IF('6161 - Wallpaper (S)'!B11 = "", "", IF('6161-S-WUO_ERR'!A11 = "", "Validated", HYPERLINK("#" &amp; ADDRESS(ROW('6161-S-WUO_TRK'!A11), '6161-S-WUO_TRK'!A11), _xlfn.TEXTAFTER('6161-S-WUO_ERR'!A11, ":"))))</f>
        <v>0</v>
      </c>
    </row>
    <row r="12" spans="1:315">
      <c r="A12" s="39">
        <f>IF('6161 - Wallpaper (S)'!B12 = "", "", IF('6161-S-WUO_ERR'!A12 = "", "Validated", HYPERLINK("#" &amp; ADDRESS(ROW('6161-S-WUO_TRK'!A12), '6161-S-WUO_TRK'!A12), _xlfn.TEXTAFTER('6161-S-WUO_ERR'!A12, ":"))))</f>
        <v>0</v>
      </c>
    </row>
    <row r="13" spans="1:315">
      <c r="A13" s="39">
        <f>IF('6161 - Wallpaper (S)'!B13 = "", "", IF('6161-S-WUO_ERR'!A13 = "", "Validated", HYPERLINK("#" &amp; ADDRESS(ROW('6161-S-WUO_TRK'!A13), '6161-S-WUO_TRK'!A13), _xlfn.TEXTAFTER('6161-S-WUO_ERR'!A13, ":"))))</f>
        <v>0</v>
      </c>
    </row>
    <row r="14" spans="1:315">
      <c r="A14" s="39">
        <f>IF('6161 - Wallpaper (S)'!B14 = "", "", IF('6161-S-WUO_ERR'!A14 = "", "Validated", HYPERLINK("#" &amp; ADDRESS(ROW('6161-S-WUO_TRK'!A14), '6161-S-WUO_TRK'!A14), _xlfn.TEXTAFTER('6161-S-WUO_ERR'!A14, ":"))))</f>
        <v>0</v>
      </c>
    </row>
    <row r="15" spans="1:315">
      <c r="A15" s="39">
        <f>IF('6161 - Wallpaper (S)'!B15 = "", "", IF('6161-S-WUO_ERR'!A15 = "", "Validated", HYPERLINK("#" &amp; ADDRESS(ROW('6161-S-WUO_TRK'!A15), '6161-S-WUO_TRK'!A15), _xlfn.TEXTAFTER('6161-S-WUO_ERR'!A15, ":"))))</f>
        <v>0</v>
      </c>
    </row>
    <row r="16" spans="1:315">
      <c r="A16" s="39">
        <f>IF('6161 - Wallpaper (S)'!B16 = "", "", IF('6161-S-WUO_ERR'!A16 = "", "Validated", HYPERLINK("#" &amp; ADDRESS(ROW('6161-S-WUO_TRK'!A16), '6161-S-WUO_TRK'!A16), _xlfn.TEXTAFTER('6161-S-WUO_ERR'!A16, ":"))))</f>
        <v>0</v>
      </c>
    </row>
    <row r="17" spans="1:1">
      <c r="A17" s="39">
        <f>IF('6161 - Wallpaper (S)'!B17 = "", "", IF('6161-S-WUO_ERR'!A17 = "", "Validated", HYPERLINK("#" &amp; ADDRESS(ROW('6161-S-WUO_TRK'!A17), '6161-S-WUO_TRK'!A17), _xlfn.TEXTAFTER('6161-S-WUO_ERR'!A17, ":"))))</f>
        <v>0</v>
      </c>
    </row>
    <row r="18" spans="1:1">
      <c r="A18" s="39">
        <f>IF('6161 - Wallpaper (S)'!B18 = "", "", IF('6161-S-WUO_ERR'!A18 = "", "Validated", HYPERLINK("#" &amp; ADDRESS(ROW('6161-S-WUO_TRK'!A18), '6161-S-WUO_TRK'!A18), _xlfn.TEXTAFTER('6161-S-WUO_ERR'!A18, ":"))))</f>
        <v>0</v>
      </c>
    </row>
    <row r="19" spans="1:1">
      <c r="A19" s="39">
        <f>IF('6161 - Wallpaper (S)'!B19 = "", "", IF('6161-S-WUO_ERR'!A19 = "", "Validated", HYPERLINK("#" &amp; ADDRESS(ROW('6161-S-WUO_TRK'!A19), '6161-S-WUO_TRK'!A19), _xlfn.TEXTAFTER('6161-S-WUO_ERR'!A19, ":"))))</f>
        <v>0</v>
      </c>
    </row>
    <row r="20" spans="1:1">
      <c r="A20" s="39">
        <f>IF('6161 - Wallpaper (S)'!B20 = "", "", IF('6161-S-WUO_ERR'!A20 = "", "Validated", HYPERLINK("#" &amp; ADDRESS(ROW('6161-S-WUO_TRK'!A20), '6161-S-WUO_TRK'!A20), _xlfn.TEXTAFTER('6161-S-WUO_ERR'!A20, ":"))))</f>
        <v>0</v>
      </c>
    </row>
    <row r="21" spans="1:1">
      <c r="A21" s="39">
        <f>IF('6161 - Wallpaper (S)'!B21 = "", "", IF('6161-S-WUO_ERR'!A21 = "", "Validated", HYPERLINK("#" &amp; ADDRESS(ROW('6161-S-WUO_TRK'!A21), '6161-S-WUO_TRK'!A21), _xlfn.TEXTAFTER('6161-S-WUO_ERR'!A21, ":"))))</f>
        <v>0</v>
      </c>
    </row>
    <row r="22" spans="1:1">
      <c r="A22" s="39">
        <f>IF('6161 - Wallpaper (S)'!B22 = "", "", IF('6161-S-WUO_ERR'!A22 = "", "Validated", HYPERLINK("#" &amp; ADDRESS(ROW('6161-S-WUO_TRK'!A22), '6161-S-WUO_TRK'!A22), _xlfn.TEXTAFTER('6161-S-WUO_ERR'!A22, ":"))))</f>
        <v>0</v>
      </c>
    </row>
    <row r="23" spans="1:1">
      <c r="A23" s="39">
        <f>IF('6161 - Wallpaper (S)'!B23 = "", "", IF('6161-S-WUO_ERR'!A23 = "", "Validated", HYPERLINK("#" &amp; ADDRESS(ROW('6161-S-WUO_TRK'!A23), '6161-S-WUO_TRK'!A23), _xlfn.TEXTAFTER('6161-S-WUO_ERR'!A23, ":"))))</f>
        <v>0</v>
      </c>
    </row>
    <row r="24" spans="1:1">
      <c r="A24" s="39">
        <f>IF('6161 - Wallpaper (S)'!B24 = "", "", IF('6161-S-WUO_ERR'!A24 = "", "Validated", HYPERLINK("#" &amp; ADDRESS(ROW('6161-S-WUO_TRK'!A24), '6161-S-WUO_TRK'!A24), _xlfn.TEXTAFTER('6161-S-WUO_ERR'!A24, ":"))))</f>
        <v>0</v>
      </c>
    </row>
    <row r="25" spans="1:1">
      <c r="A25" s="39">
        <f>IF('6161 - Wallpaper (S)'!B25 = "", "", IF('6161-S-WUO_ERR'!A25 = "", "Validated", HYPERLINK("#" &amp; ADDRESS(ROW('6161-S-WUO_TRK'!A25), '6161-S-WUO_TRK'!A25), _xlfn.TEXTAFTER('6161-S-WUO_ERR'!A25, ":"))))</f>
        <v>0</v>
      </c>
    </row>
    <row r="26" spans="1:1">
      <c r="A26" s="39">
        <f>IF('6161 - Wallpaper (S)'!B26 = "", "", IF('6161-S-WUO_ERR'!A26 = "", "Validated", HYPERLINK("#" &amp; ADDRESS(ROW('6161-S-WUO_TRK'!A26), '6161-S-WUO_TRK'!A26), _xlfn.TEXTAFTER('6161-S-WUO_ERR'!A26, ":"))))</f>
        <v>0</v>
      </c>
    </row>
    <row r="27" spans="1:1">
      <c r="A27" s="39">
        <f>IF('6161 - Wallpaper (S)'!B27 = "", "", IF('6161-S-WUO_ERR'!A27 = "", "Validated", HYPERLINK("#" &amp; ADDRESS(ROW('6161-S-WUO_TRK'!A27), '6161-S-WUO_TRK'!A27), _xlfn.TEXTAFTER('6161-S-WUO_ERR'!A27, ":"))))</f>
        <v>0</v>
      </c>
    </row>
    <row r="28" spans="1:1">
      <c r="A28" s="39">
        <f>IF('6161 - Wallpaper (S)'!B28 = "", "", IF('6161-S-WUO_ERR'!A28 = "", "Validated", HYPERLINK("#" &amp; ADDRESS(ROW('6161-S-WUO_TRK'!A28), '6161-S-WUO_TRK'!A28), _xlfn.TEXTAFTER('6161-S-WUO_ERR'!A28, ":"))))</f>
        <v>0</v>
      </c>
    </row>
    <row r="29" spans="1:1">
      <c r="A29" s="39">
        <f>IF('6161 - Wallpaper (S)'!B29 = "", "", IF('6161-S-WUO_ERR'!A29 = "", "Validated", HYPERLINK("#" &amp; ADDRESS(ROW('6161-S-WUO_TRK'!A29), '6161-S-WUO_TRK'!A29), _xlfn.TEXTAFTER('6161-S-WUO_ERR'!A29, ":"))))</f>
        <v>0</v>
      </c>
    </row>
    <row r="30" spans="1:1">
      <c r="A30" s="39">
        <f>IF('6161 - Wallpaper (S)'!B30 = "", "", IF('6161-S-WUO_ERR'!A30 = "", "Validated", HYPERLINK("#" &amp; ADDRESS(ROW('6161-S-WUO_TRK'!A30), '6161-S-WUO_TRK'!A30), _xlfn.TEXTAFTER('6161-S-WUO_ERR'!A30, ":"))))</f>
        <v>0</v>
      </c>
    </row>
    <row r="31" spans="1:1">
      <c r="A31" s="39">
        <f>IF('6161 - Wallpaper (S)'!B31 = "", "", IF('6161-S-WUO_ERR'!A31 = "", "Validated", HYPERLINK("#" &amp; ADDRESS(ROW('6161-S-WUO_TRK'!A31), '6161-S-WUO_TRK'!A31), _xlfn.TEXTAFTER('6161-S-WUO_ERR'!A31, ":"))))</f>
        <v>0</v>
      </c>
    </row>
    <row r="32" spans="1:1">
      <c r="A32" s="39">
        <f>IF('6161 - Wallpaper (S)'!B32 = "", "", IF('6161-S-WUO_ERR'!A32 = "", "Validated", HYPERLINK("#" &amp; ADDRESS(ROW('6161-S-WUO_TRK'!A32), '6161-S-WUO_TRK'!A32), _xlfn.TEXTAFTER('6161-S-WUO_ERR'!A32, ":"))))</f>
        <v>0</v>
      </c>
    </row>
    <row r="33" spans="1:1">
      <c r="A33" s="39">
        <f>IF('6161 - Wallpaper (S)'!B33 = "", "", IF('6161-S-WUO_ERR'!A33 = "", "Validated", HYPERLINK("#" &amp; ADDRESS(ROW('6161-S-WUO_TRK'!A33), '6161-S-WUO_TRK'!A33), _xlfn.TEXTAFTER('6161-S-WUO_ERR'!A33, ":"))))</f>
        <v>0</v>
      </c>
    </row>
    <row r="34" spans="1:1">
      <c r="A34" s="39">
        <f>IF('6161 - Wallpaper (S)'!B34 = "", "", IF('6161-S-WUO_ERR'!A34 = "", "Validated", HYPERLINK("#" &amp; ADDRESS(ROW('6161-S-WUO_TRK'!A34), '6161-S-WUO_TRK'!A34), _xlfn.TEXTAFTER('6161-S-WUO_ERR'!A34, ":"))))</f>
        <v>0</v>
      </c>
    </row>
    <row r="35" spans="1:1">
      <c r="A35" s="39">
        <f>IF('6161 - Wallpaper (S)'!B35 = "", "", IF('6161-S-WUO_ERR'!A35 = "", "Validated", HYPERLINK("#" &amp; ADDRESS(ROW('6161-S-WUO_TRK'!A35), '6161-S-WUO_TRK'!A35), _xlfn.TEXTAFTER('6161-S-WUO_ERR'!A35, ":"))))</f>
        <v>0</v>
      </c>
    </row>
    <row r="36" spans="1:1">
      <c r="A36" s="39">
        <f>IF('6161 - Wallpaper (S)'!B36 = "", "", IF('6161-S-WUO_ERR'!A36 = "", "Validated", HYPERLINK("#" &amp; ADDRESS(ROW('6161-S-WUO_TRK'!A36), '6161-S-WUO_TRK'!A36), _xlfn.TEXTAFTER('6161-S-WUO_ERR'!A36, ":"))))</f>
        <v>0</v>
      </c>
    </row>
    <row r="37" spans="1:1">
      <c r="A37" s="39">
        <f>IF('6161 - Wallpaper (S)'!B37 = "", "", IF('6161-S-WUO_ERR'!A37 = "", "Validated", HYPERLINK("#" &amp; ADDRESS(ROW('6161-S-WUO_TRK'!A37), '6161-S-WUO_TRK'!A37), _xlfn.TEXTAFTER('6161-S-WUO_ERR'!A37, ":"))))</f>
        <v>0</v>
      </c>
    </row>
    <row r="38" spans="1:1">
      <c r="A38" s="39">
        <f>IF('6161 - Wallpaper (S)'!B38 = "", "", IF('6161-S-WUO_ERR'!A38 = "", "Validated", HYPERLINK("#" &amp; ADDRESS(ROW('6161-S-WUO_TRK'!A38), '6161-S-WUO_TRK'!A38), _xlfn.TEXTAFTER('6161-S-WUO_ERR'!A38, ":"))))</f>
        <v>0</v>
      </c>
    </row>
    <row r="39" spans="1:1">
      <c r="A39" s="39">
        <f>IF('6161 - Wallpaper (S)'!B39 = "", "", IF('6161-S-WUO_ERR'!A39 = "", "Validated", HYPERLINK("#" &amp; ADDRESS(ROW('6161-S-WUO_TRK'!A39), '6161-S-WUO_TRK'!A39), _xlfn.TEXTAFTER('6161-S-WUO_ERR'!A39, ":"))))</f>
        <v>0</v>
      </c>
    </row>
    <row r="40" spans="1:1">
      <c r="A40" s="39">
        <f>IF('6161 - Wallpaper (S)'!B40 = "", "", IF('6161-S-WUO_ERR'!A40 = "", "Validated", HYPERLINK("#" &amp; ADDRESS(ROW('6161-S-WUO_TRK'!A40), '6161-S-WUO_TRK'!A40), _xlfn.TEXTAFTER('6161-S-WUO_ERR'!A40, ":"))))</f>
        <v>0</v>
      </c>
    </row>
    <row r="41" spans="1:1">
      <c r="A41" s="39">
        <f>IF('6161 - Wallpaper (S)'!B41 = "", "", IF('6161-S-WUO_ERR'!A41 = "", "Validated", HYPERLINK("#" &amp; ADDRESS(ROW('6161-S-WUO_TRK'!A41), '6161-S-WUO_TRK'!A41), _xlfn.TEXTAFTER('6161-S-WUO_ERR'!A41, ":"))))</f>
        <v>0</v>
      </c>
    </row>
    <row r="42" spans="1:1">
      <c r="A42" s="39">
        <f>IF('6161 - Wallpaper (S)'!B42 = "", "", IF('6161-S-WUO_ERR'!A42 = "", "Validated", HYPERLINK("#" &amp; ADDRESS(ROW('6161-S-WUO_TRK'!A42), '6161-S-WUO_TRK'!A42), _xlfn.TEXTAFTER('6161-S-WUO_ERR'!A42, ":"))))</f>
        <v>0</v>
      </c>
    </row>
    <row r="43" spans="1:1">
      <c r="A43" s="39">
        <f>IF('6161 - Wallpaper (S)'!B43 = "", "", IF('6161-S-WUO_ERR'!A43 = "", "Validated", HYPERLINK("#" &amp; ADDRESS(ROW('6161-S-WUO_TRK'!A43), '6161-S-WUO_TRK'!A43), _xlfn.TEXTAFTER('6161-S-WUO_ERR'!A43, ":"))))</f>
        <v>0</v>
      </c>
    </row>
    <row r="44" spans="1:1">
      <c r="A44" s="39">
        <f>IF('6161 - Wallpaper (S)'!B44 = "", "", IF('6161-S-WUO_ERR'!A44 = "", "Validated", HYPERLINK("#" &amp; ADDRESS(ROW('6161-S-WUO_TRK'!A44), '6161-S-WUO_TRK'!A44), _xlfn.TEXTAFTER('6161-S-WUO_ERR'!A44, ":"))))</f>
        <v>0</v>
      </c>
    </row>
    <row r="45" spans="1:1">
      <c r="A45" s="39">
        <f>IF('6161 - Wallpaper (S)'!B45 = "", "", IF('6161-S-WUO_ERR'!A45 = "", "Validated", HYPERLINK("#" &amp; ADDRESS(ROW('6161-S-WUO_TRK'!A45), '6161-S-WUO_TRK'!A45), _xlfn.TEXTAFTER('6161-S-WUO_ERR'!A45, ":"))))</f>
        <v>0</v>
      </c>
    </row>
    <row r="46" spans="1:1">
      <c r="A46" s="39">
        <f>IF('6161 - Wallpaper (S)'!B46 = "", "", IF('6161-S-WUO_ERR'!A46 = "", "Validated", HYPERLINK("#" &amp; ADDRESS(ROW('6161-S-WUO_TRK'!A46), '6161-S-WUO_TRK'!A46), _xlfn.TEXTAFTER('6161-S-WUO_ERR'!A46, ":"))))</f>
        <v>0</v>
      </c>
    </row>
    <row r="47" spans="1:1">
      <c r="A47" s="39">
        <f>IF('6161 - Wallpaper (S)'!B47 = "", "", IF('6161-S-WUO_ERR'!A47 = "", "Validated", HYPERLINK("#" &amp; ADDRESS(ROW('6161-S-WUO_TRK'!A47), '6161-S-WUO_TRK'!A47), _xlfn.TEXTAFTER('6161-S-WUO_ERR'!A47, ":"))))</f>
        <v>0</v>
      </c>
    </row>
    <row r="48" spans="1:1">
      <c r="A48" s="39">
        <f>IF('6161 - Wallpaper (S)'!B48 = "", "", IF('6161-S-WUO_ERR'!A48 = "", "Validated", HYPERLINK("#" &amp; ADDRESS(ROW('6161-S-WUO_TRK'!A48), '6161-S-WUO_TRK'!A48), _xlfn.TEXTAFTER('6161-S-WUO_ERR'!A48, ":"))))</f>
        <v>0</v>
      </c>
    </row>
    <row r="49" spans="1:1">
      <c r="A49" s="39">
        <f>IF('6161 - Wallpaper (S)'!B49 = "", "", IF('6161-S-WUO_ERR'!A49 = "", "Validated", HYPERLINK("#" &amp; ADDRESS(ROW('6161-S-WUO_TRK'!A49), '6161-S-WUO_TRK'!A49), _xlfn.TEXTAFTER('6161-S-WUO_ERR'!A49, ":"))))</f>
        <v>0</v>
      </c>
    </row>
    <row r="50" spans="1:1">
      <c r="A50" s="39">
        <f>IF('6161 - Wallpaper (S)'!B50 = "", "", IF('6161-S-WUO_ERR'!A50 = "", "Validated", HYPERLINK("#" &amp; ADDRESS(ROW('6161-S-WUO_TRK'!A50), '6161-S-WUO_TRK'!A50), _xlfn.TEXTAFTER('6161-S-WUO_ERR'!A50, ":"))))</f>
        <v>0</v>
      </c>
    </row>
    <row r="51" spans="1:1">
      <c r="A51" s="39">
        <f>IF('6161 - Wallpaper (S)'!B51 = "", "", IF('6161-S-WUO_ERR'!A51 = "", "Validated", HYPERLINK("#" &amp; ADDRESS(ROW('6161-S-WUO_TRK'!A51), '6161-S-WUO_TRK'!A51), _xlfn.TEXTAFTER('6161-S-WUO_ERR'!A51, ":"))))</f>
        <v>0</v>
      </c>
    </row>
    <row r="52" spans="1:1">
      <c r="A52" s="39">
        <f>IF('6161 - Wallpaper (S)'!B52 = "", "", IF('6161-S-WUO_ERR'!A52 = "", "Validated", HYPERLINK("#" &amp; ADDRESS(ROW('6161-S-WUO_TRK'!A52), '6161-S-WUO_TRK'!A52), _xlfn.TEXTAFTER('6161-S-WUO_ERR'!A52, ":"))))</f>
        <v>0</v>
      </c>
    </row>
    <row r="53" spans="1:1">
      <c r="A53" s="39">
        <f>IF('6161 - Wallpaper (S)'!B53 = "", "", IF('6161-S-WUO_ERR'!A53 = "", "Validated", HYPERLINK("#" &amp; ADDRESS(ROW('6161-S-WUO_TRK'!A53), '6161-S-WUO_TRK'!A53), _xlfn.TEXTAFTER('6161-S-WUO_ERR'!A53, ":"))))</f>
        <v>0</v>
      </c>
    </row>
    <row r="54" spans="1:1">
      <c r="A54" s="39">
        <f>IF('6161 - Wallpaper (S)'!B54 = "", "", IF('6161-S-WUO_ERR'!A54 = "", "Validated", HYPERLINK("#" &amp; ADDRESS(ROW('6161-S-WUO_TRK'!A54), '6161-S-WUO_TRK'!A54), _xlfn.TEXTAFTER('6161-S-WUO_ERR'!A54, ":"))))</f>
        <v>0</v>
      </c>
    </row>
    <row r="55" spans="1:1">
      <c r="A55" s="39">
        <f>IF('6161 - Wallpaper (S)'!B55 = "", "", IF('6161-S-WUO_ERR'!A55 = "", "Validated", HYPERLINK("#" &amp; ADDRESS(ROW('6161-S-WUO_TRK'!A55), '6161-S-WUO_TRK'!A55), _xlfn.TEXTAFTER('6161-S-WUO_ERR'!A55, ":"))))</f>
        <v>0</v>
      </c>
    </row>
    <row r="56" spans="1:1">
      <c r="A56" s="39">
        <f>IF('6161 - Wallpaper (S)'!B56 = "", "", IF('6161-S-WUO_ERR'!A56 = "", "Validated", HYPERLINK("#" &amp; ADDRESS(ROW('6161-S-WUO_TRK'!A56), '6161-S-WUO_TRK'!A56), _xlfn.TEXTAFTER('6161-S-WUO_ERR'!A56, ":"))))</f>
        <v>0</v>
      </c>
    </row>
    <row r="57" spans="1:1">
      <c r="A57" s="39">
        <f>IF('6161 - Wallpaper (S)'!B57 = "", "", IF('6161-S-WUO_ERR'!A57 = "", "Validated", HYPERLINK("#" &amp; ADDRESS(ROW('6161-S-WUO_TRK'!A57), '6161-S-WUO_TRK'!A57), _xlfn.TEXTAFTER('6161-S-WUO_ERR'!A57, ":"))))</f>
        <v>0</v>
      </c>
    </row>
    <row r="58" spans="1:1">
      <c r="A58" s="39">
        <f>IF('6161 - Wallpaper (S)'!B58 = "", "", IF('6161-S-WUO_ERR'!A58 = "", "Validated", HYPERLINK("#" &amp; ADDRESS(ROW('6161-S-WUO_TRK'!A58), '6161-S-WUO_TRK'!A58), _xlfn.TEXTAFTER('6161-S-WUO_ERR'!A58, ":"))))</f>
        <v>0</v>
      </c>
    </row>
    <row r="59" spans="1:1">
      <c r="A59" s="39">
        <f>IF('6161 - Wallpaper (S)'!B59 = "", "", IF('6161-S-WUO_ERR'!A59 = "", "Validated", HYPERLINK("#" &amp; ADDRESS(ROW('6161-S-WUO_TRK'!A59), '6161-S-WUO_TRK'!A59), _xlfn.TEXTAFTER('6161-S-WUO_ERR'!A59, ":"))))</f>
        <v>0</v>
      </c>
    </row>
    <row r="60" spans="1:1">
      <c r="A60" s="39">
        <f>IF('6161 - Wallpaper (S)'!B60 = "", "", IF('6161-S-WUO_ERR'!A60 = "", "Validated", HYPERLINK("#" &amp; ADDRESS(ROW('6161-S-WUO_TRK'!A60), '6161-S-WUO_TRK'!A60), _xlfn.TEXTAFTER('6161-S-WUO_ERR'!A60, ":"))))</f>
        <v>0</v>
      </c>
    </row>
    <row r="61" spans="1:1">
      <c r="A61" s="39">
        <f>IF('6161 - Wallpaper (S)'!B61 = "", "", IF('6161-S-WUO_ERR'!A61 = "", "Validated", HYPERLINK("#" &amp; ADDRESS(ROW('6161-S-WUO_TRK'!A61), '6161-S-WUO_TRK'!A61), _xlfn.TEXTAFTER('6161-S-WUO_ERR'!A61, ":"))))</f>
        <v>0</v>
      </c>
    </row>
    <row r="62" spans="1:1">
      <c r="A62" s="39">
        <f>IF('6161 - Wallpaper (S)'!B62 = "", "", IF('6161-S-WUO_ERR'!A62 = "", "Validated", HYPERLINK("#" &amp; ADDRESS(ROW('6161-S-WUO_TRK'!A62), '6161-S-WUO_TRK'!A62), _xlfn.TEXTAFTER('6161-S-WUO_ERR'!A62, ":"))))</f>
        <v>0</v>
      </c>
    </row>
    <row r="63" spans="1:1">
      <c r="A63" s="39">
        <f>IF('6161 - Wallpaper (S)'!B63 = "", "", IF('6161-S-WUO_ERR'!A63 = "", "Validated", HYPERLINK("#" &amp; ADDRESS(ROW('6161-S-WUO_TRK'!A63), '6161-S-WUO_TRK'!A63), _xlfn.TEXTAFTER('6161-S-WUO_ERR'!A63, ":"))))</f>
        <v>0</v>
      </c>
    </row>
    <row r="64" spans="1:1">
      <c r="A64" s="39">
        <f>IF('6161 - Wallpaper (S)'!B64 = "", "", IF('6161-S-WUO_ERR'!A64 = "", "Validated", HYPERLINK("#" &amp; ADDRESS(ROW('6161-S-WUO_TRK'!A64), '6161-S-WUO_TRK'!A64), _xlfn.TEXTAFTER('6161-S-WUO_ERR'!A64, ":"))))</f>
        <v>0</v>
      </c>
    </row>
    <row r="65" spans="1:1">
      <c r="A65" s="39">
        <f>IF('6161 - Wallpaper (S)'!B65 = "", "", IF('6161-S-WUO_ERR'!A65 = "", "Validated", HYPERLINK("#" &amp; ADDRESS(ROW('6161-S-WUO_TRK'!A65), '6161-S-WUO_TRK'!A65), _xlfn.TEXTAFTER('6161-S-WUO_ERR'!A65, ":"))))</f>
        <v>0</v>
      </c>
    </row>
    <row r="66" spans="1:1">
      <c r="A66" s="39">
        <f>IF('6161 - Wallpaper (S)'!B66 = "", "", IF('6161-S-WUO_ERR'!A66 = "", "Validated", HYPERLINK("#" &amp; ADDRESS(ROW('6161-S-WUO_TRK'!A66), '6161-S-WUO_TRK'!A66), _xlfn.TEXTAFTER('6161-S-WUO_ERR'!A66, ":"))))</f>
        <v>0</v>
      </c>
    </row>
    <row r="67" spans="1:1">
      <c r="A67" s="39">
        <f>IF('6161 - Wallpaper (S)'!B67 = "", "", IF('6161-S-WUO_ERR'!A67 = "", "Validated", HYPERLINK("#" &amp; ADDRESS(ROW('6161-S-WUO_TRK'!A67), '6161-S-WUO_TRK'!A67), _xlfn.TEXTAFTER('6161-S-WUO_ERR'!A67, ":"))))</f>
        <v>0</v>
      </c>
    </row>
    <row r="68" spans="1:1">
      <c r="A68" s="39">
        <f>IF('6161 - Wallpaper (S)'!B68 = "", "", IF('6161-S-WUO_ERR'!A68 = "", "Validated", HYPERLINK("#" &amp; ADDRESS(ROW('6161-S-WUO_TRK'!A68), '6161-S-WUO_TRK'!A68), _xlfn.TEXTAFTER('6161-S-WUO_ERR'!A68, ":"))))</f>
        <v>0</v>
      </c>
    </row>
    <row r="69" spans="1:1">
      <c r="A69" s="39">
        <f>IF('6161 - Wallpaper (S)'!B69 = "", "", IF('6161-S-WUO_ERR'!A69 = "", "Validated", HYPERLINK("#" &amp; ADDRESS(ROW('6161-S-WUO_TRK'!A69), '6161-S-WUO_TRK'!A69), _xlfn.TEXTAFTER('6161-S-WUO_ERR'!A69, ":"))))</f>
        <v>0</v>
      </c>
    </row>
    <row r="70" spans="1:1">
      <c r="A70" s="39">
        <f>IF('6161 - Wallpaper (S)'!B70 = "", "", IF('6161-S-WUO_ERR'!A70 = "", "Validated", HYPERLINK("#" &amp; ADDRESS(ROW('6161-S-WUO_TRK'!A70), '6161-S-WUO_TRK'!A70), _xlfn.TEXTAFTER('6161-S-WUO_ERR'!A70, ":"))))</f>
        <v>0</v>
      </c>
    </row>
    <row r="71" spans="1:1">
      <c r="A71" s="39">
        <f>IF('6161 - Wallpaper (S)'!B71 = "", "", IF('6161-S-WUO_ERR'!A71 = "", "Validated", HYPERLINK("#" &amp; ADDRESS(ROW('6161-S-WUO_TRK'!A71), '6161-S-WUO_TRK'!A71), _xlfn.TEXTAFTER('6161-S-WUO_ERR'!A71, ":"))))</f>
        <v>0</v>
      </c>
    </row>
    <row r="72" spans="1:1">
      <c r="A72" s="39">
        <f>IF('6161 - Wallpaper (S)'!B72 = "", "", IF('6161-S-WUO_ERR'!A72 = "", "Validated", HYPERLINK("#" &amp; ADDRESS(ROW('6161-S-WUO_TRK'!A72), '6161-S-WUO_TRK'!A72), _xlfn.TEXTAFTER('6161-S-WUO_ERR'!A72, ":"))))</f>
        <v>0</v>
      </c>
    </row>
    <row r="73" spans="1:1">
      <c r="A73" s="39">
        <f>IF('6161 - Wallpaper (S)'!B73 = "", "", IF('6161-S-WUO_ERR'!A73 = "", "Validated", HYPERLINK("#" &amp; ADDRESS(ROW('6161-S-WUO_TRK'!A73), '6161-S-WUO_TRK'!A73), _xlfn.TEXTAFTER('6161-S-WUO_ERR'!A73, ":"))))</f>
        <v>0</v>
      </c>
    </row>
    <row r="74" spans="1:1">
      <c r="A74" s="39">
        <f>IF('6161 - Wallpaper (S)'!B74 = "", "", IF('6161-S-WUO_ERR'!A74 = "", "Validated", HYPERLINK("#" &amp; ADDRESS(ROW('6161-S-WUO_TRK'!A74), '6161-S-WUO_TRK'!A74), _xlfn.TEXTAFTER('6161-S-WUO_ERR'!A74, ":"))))</f>
        <v>0</v>
      </c>
    </row>
    <row r="75" spans="1:1">
      <c r="A75" s="39">
        <f>IF('6161 - Wallpaper (S)'!B75 = "", "", IF('6161-S-WUO_ERR'!A75 = "", "Validated", HYPERLINK("#" &amp; ADDRESS(ROW('6161-S-WUO_TRK'!A75), '6161-S-WUO_TRK'!A75), _xlfn.TEXTAFTER('6161-S-WUO_ERR'!A75, ":"))))</f>
        <v>0</v>
      </c>
    </row>
    <row r="76" spans="1:1">
      <c r="A76" s="39">
        <f>IF('6161 - Wallpaper (S)'!B76 = "", "", IF('6161-S-WUO_ERR'!A76 = "", "Validated", HYPERLINK("#" &amp; ADDRESS(ROW('6161-S-WUO_TRK'!A76), '6161-S-WUO_TRK'!A76), _xlfn.TEXTAFTER('6161-S-WUO_ERR'!A76, ":"))))</f>
        <v>0</v>
      </c>
    </row>
    <row r="77" spans="1:1">
      <c r="A77" s="39">
        <f>IF('6161 - Wallpaper (S)'!B77 = "", "", IF('6161-S-WUO_ERR'!A77 = "", "Validated", HYPERLINK("#" &amp; ADDRESS(ROW('6161-S-WUO_TRK'!A77), '6161-S-WUO_TRK'!A77), _xlfn.TEXTAFTER('6161-S-WUO_ERR'!A77, ":"))))</f>
        <v>0</v>
      </c>
    </row>
    <row r="78" spans="1:1">
      <c r="A78" s="39">
        <f>IF('6161 - Wallpaper (S)'!B78 = "", "", IF('6161-S-WUO_ERR'!A78 = "", "Validated", HYPERLINK("#" &amp; ADDRESS(ROW('6161-S-WUO_TRK'!A78), '6161-S-WUO_TRK'!A78), _xlfn.TEXTAFTER('6161-S-WUO_ERR'!A78, ":"))))</f>
        <v>0</v>
      </c>
    </row>
    <row r="79" spans="1:1">
      <c r="A79" s="39">
        <f>IF('6161 - Wallpaper (S)'!B79 = "", "", IF('6161-S-WUO_ERR'!A79 = "", "Validated", HYPERLINK("#" &amp; ADDRESS(ROW('6161-S-WUO_TRK'!A79), '6161-S-WUO_TRK'!A79), _xlfn.TEXTAFTER('6161-S-WUO_ERR'!A79, ":"))))</f>
        <v>0</v>
      </c>
    </row>
    <row r="80" spans="1:1">
      <c r="A80" s="39">
        <f>IF('6161 - Wallpaper (S)'!B80 = "", "", IF('6161-S-WUO_ERR'!A80 = "", "Validated", HYPERLINK("#" &amp; ADDRESS(ROW('6161-S-WUO_TRK'!A80), '6161-S-WUO_TRK'!A80), _xlfn.TEXTAFTER('6161-S-WUO_ERR'!A80, ":"))))</f>
        <v>0</v>
      </c>
    </row>
    <row r="81" spans="1:1">
      <c r="A81" s="39">
        <f>IF('6161 - Wallpaper (S)'!B81 = "", "", IF('6161-S-WUO_ERR'!A81 = "", "Validated", HYPERLINK("#" &amp; ADDRESS(ROW('6161-S-WUO_TRK'!A81), '6161-S-WUO_TRK'!A81), _xlfn.TEXTAFTER('6161-S-WUO_ERR'!A81, ":"))))</f>
        <v>0</v>
      </c>
    </row>
    <row r="82" spans="1:1">
      <c r="A82" s="39">
        <f>IF('6161 - Wallpaper (S)'!B82 = "", "", IF('6161-S-WUO_ERR'!A82 = "", "Validated", HYPERLINK("#" &amp; ADDRESS(ROW('6161-S-WUO_TRK'!A82), '6161-S-WUO_TRK'!A82), _xlfn.TEXTAFTER('6161-S-WUO_ERR'!A82, ":"))))</f>
        <v>0</v>
      </c>
    </row>
    <row r="83" spans="1:1">
      <c r="A83" s="39">
        <f>IF('6161 - Wallpaper (S)'!B83 = "", "", IF('6161-S-WUO_ERR'!A83 = "", "Validated", HYPERLINK("#" &amp; ADDRESS(ROW('6161-S-WUO_TRK'!A83), '6161-S-WUO_TRK'!A83), _xlfn.TEXTAFTER('6161-S-WUO_ERR'!A83, ":"))))</f>
        <v>0</v>
      </c>
    </row>
    <row r="84" spans="1:1">
      <c r="A84" s="39">
        <f>IF('6161 - Wallpaper (S)'!B84 = "", "", IF('6161-S-WUO_ERR'!A84 = "", "Validated", HYPERLINK("#" &amp; ADDRESS(ROW('6161-S-WUO_TRK'!A84), '6161-S-WUO_TRK'!A84), _xlfn.TEXTAFTER('6161-S-WUO_ERR'!A84, ":"))))</f>
        <v>0</v>
      </c>
    </row>
    <row r="85" spans="1:1">
      <c r="A85" s="39">
        <f>IF('6161 - Wallpaper (S)'!B85 = "", "", IF('6161-S-WUO_ERR'!A85 = "", "Validated", HYPERLINK("#" &amp; ADDRESS(ROW('6161-S-WUO_TRK'!A85), '6161-S-WUO_TRK'!A85), _xlfn.TEXTAFTER('6161-S-WUO_ERR'!A85, ":"))))</f>
        <v>0</v>
      </c>
    </row>
    <row r="86" spans="1:1">
      <c r="A86" s="39">
        <f>IF('6161 - Wallpaper (S)'!B86 = "", "", IF('6161-S-WUO_ERR'!A86 = "", "Validated", HYPERLINK("#" &amp; ADDRESS(ROW('6161-S-WUO_TRK'!A86), '6161-S-WUO_TRK'!A86), _xlfn.TEXTAFTER('6161-S-WUO_ERR'!A86, ":"))))</f>
        <v>0</v>
      </c>
    </row>
    <row r="87" spans="1:1">
      <c r="A87" s="39">
        <f>IF('6161 - Wallpaper (S)'!B87 = "", "", IF('6161-S-WUO_ERR'!A87 = "", "Validated", HYPERLINK("#" &amp; ADDRESS(ROW('6161-S-WUO_TRK'!A87), '6161-S-WUO_TRK'!A87), _xlfn.TEXTAFTER('6161-S-WUO_ERR'!A87, ":"))))</f>
        <v>0</v>
      </c>
    </row>
    <row r="88" spans="1:1">
      <c r="A88" s="39">
        <f>IF('6161 - Wallpaper (S)'!B88 = "", "", IF('6161-S-WUO_ERR'!A88 = "", "Validated", HYPERLINK("#" &amp; ADDRESS(ROW('6161-S-WUO_TRK'!A88), '6161-S-WUO_TRK'!A88), _xlfn.TEXTAFTER('6161-S-WUO_ERR'!A88, ":"))))</f>
        <v>0</v>
      </c>
    </row>
    <row r="89" spans="1:1">
      <c r="A89" s="39">
        <f>IF('6161 - Wallpaper (S)'!B89 = "", "", IF('6161-S-WUO_ERR'!A89 = "", "Validated", HYPERLINK("#" &amp; ADDRESS(ROW('6161-S-WUO_TRK'!A89), '6161-S-WUO_TRK'!A89), _xlfn.TEXTAFTER('6161-S-WUO_ERR'!A89, ":"))))</f>
        <v>0</v>
      </c>
    </row>
    <row r="90" spans="1:1">
      <c r="A90" s="39">
        <f>IF('6161 - Wallpaper (S)'!B90 = "", "", IF('6161-S-WUO_ERR'!A90 = "", "Validated", HYPERLINK("#" &amp; ADDRESS(ROW('6161-S-WUO_TRK'!A90), '6161-S-WUO_TRK'!A90), _xlfn.TEXTAFTER('6161-S-WUO_ERR'!A90, ":"))))</f>
        <v>0</v>
      </c>
    </row>
    <row r="91" spans="1:1">
      <c r="A91" s="39">
        <f>IF('6161 - Wallpaper (S)'!B91 = "", "", IF('6161-S-WUO_ERR'!A91 = "", "Validated", HYPERLINK("#" &amp; ADDRESS(ROW('6161-S-WUO_TRK'!A91), '6161-S-WUO_TRK'!A91), _xlfn.TEXTAFTER('6161-S-WUO_ERR'!A91, ":"))))</f>
        <v>0</v>
      </c>
    </row>
    <row r="92" spans="1:1">
      <c r="A92" s="39">
        <f>IF('6161 - Wallpaper (S)'!B92 = "", "", IF('6161-S-WUO_ERR'!A92 = "", "Validated", HYPERLINK("#" &amp; ADDRESS(ROW('6161-S-WUO_TRK'!A92), '6161-S-WUO_TRK'!A92), _xlfn.TEXTAFTER('6161-S-WUO_ERR'!A92, ":"))))</f>
        <v>0</v>
      </c>
    </row>
    <row r="93" spans="1:1">
      <c r="A93" s="39">
        <f>IF('6161 - Wallpaper (S)'!B93 = "", "", IF('6161-S-WUO_ERR'!A93 = "", "Validated", HYPERLINK("#" &amp; ADDRESS(ROW('6161-S-WUO_TRK'!A93), '6161-S-WUO_TRK'!A93), _xlfn.TEXTAFTER('6161-S-WUO_ERR'!A93, ":"))))</f>
        <v>0</v>
      </c>
    </row>
    <row r="94" spans="1:1">
      <c r="A94" s="39">
        <f>IF('6161 - Wallpaper (S)'!B94 = "", "", IF('6161-S-WUO_ERR'!A94 = "", "Validated", HYPERLINK("#" &amp; ADDRESS(ROW('6161-S-WUO_TRK'!A94), '6161-S-WUO_TRK'!A94), _xlfn.TEXTAFTER('6161-S-WUO_ERR'!A94, ":"))))</f>
        <v>0</v>
      </c>
    </row>
    <row r="95" spans="1:1">
      <c r="A95" s="39">
        <f>IF('6161 - Wallpaper (S)'!B95 = "", "", IF('6161-S-WUO_ERR'!A95 = "", "Validated", HYPERLINK("#" &amp; ADDRESS(ROW('6161-S-WUO_TRK'!A95), '6161-S-WUO_TRK'!A95), _xlfn.TEXTAFTER('6161-S-WUO_ERR'!A95, ":"))))</f>
        <v>0</v>
      </c>
    </row>
    <row r="96" spans="1:1">
      <c r="A96" s="39">
        <f>IF('6161 - Wallpaper (S)'!B96 = "", "", IF('6161-S-WUO_ERR'!A96 = "", "Validated", HYPERLINK("#" &amp; ADDRESS(ROW('6161-S-WUO_TRK'!A96), '6161-S-WUO_TRK'!A96), _xlfn.TEXTAFTER('6161-S-WUO_ERR'!A96, ":"))))</f>
        <v>0</v>
      </c>
    </row>
    <row r="97" spans="1:1">
      <c r="A97" s="39">
        <f>IF('6161 - Wallpaper (S)'!B97 = "", "", IF('6161-S-WUO_ERR'!A97 = "", "Validated", HYPERLINK("#" &amp; ADDRESS(ROW('6161-S-WUO_TRK'!A97), '6161-S-WUO_TRK'!A97), _xlfn.TEXTAFTER('6161-S-WUO_ERR'!A97, ":"))))</f>
        <v>0</v>
      </c>
    </row>
    <row r="98" spans="1:1">
      <c r="A98" s="39">
        <f>IF('6161 - Wallpaper (S)'!B98 = "", "", IF('6161-S-WUO_ERR'!A98 = "", "Validated", HYPERLINK("#" &amp; ADDRESS(ROW('6161-S-WUO_TRK'!A98), '6161-S-WUO_TRK'!A98), _xlfn.TEXTAFTER('6161-S-WUO_ERR'!A98, ":"))))</f>
        <v>0</v>
      </c>
    </row>
    <row r="99" spans="1:1">
      <c r="A99" s="39">
        <f>IF('6161 - Wallpaper (S)'!B99 = "", "", IF('6161-S-WUO_ERR'!A99 = "", "Validated", HYPERLINK("#" &amp; ADDRESS(ROW('6161-S-WUO_TRK'!A99), '6161-S-WUO_TRK'!A99), _xlfn.TEXTAFTER('6161-S-WUO_ERR'!A99, ":"))))</f>
        <v>0</v>
      </c>
    </row>
    <row r="100" spans="1:1">
      <c r="A100" s="39">
        <f>IF('6161 - Wallpaper (S)'!B100 = "", "", IF('6161-S-WUO_ERR'!A100 = "", "Validated", HYPERLINK("#" &amp; ADDRESS(ROW('6161-S-WUO_TRK'!A100), '6161-S-WUO_TRK'!A100), _xlfn.TEXTAFTER('6161-S-WUO_ERR'!A100, ":"))))</f>
        <v>0</v>
      </c>
    </row>
    <row r="101" spans="1:1">
      <c r="A101" s="39">
        <f>IF('6161 - Wallpaper (S)'!B101 = "", "", IF('6161-S-WUO_ERR'!A101 = "", "Validated", HYPERLINK("#" &amp; ADDRESS(ROW('6161-S-WUO_TRK'!A101), '6161-S-WUO_TRK'!A101), _xlfn.TEXTAFTER('6161-S-WUO_ERR'!A101, ":"))))</f>
        <v>0</v>
      </c>
    </row>
    <row r="102" spans="1:1">
      <c r="A102" s="39">
        <f>IF('6161 - Wallpaper (S)'!B102 = "", "", IF('6161-S-WUO_ERR'!A102 = "", "Validated", HYPERLINK("#" &amp; ADDRESS(ROW('6161-S-WUO_TRK'!A102), '6161-S-WUO_TRK'!A102), _xlfn.TEXTAFTER('6161-S-WUO_ERR'!A102, ":"))))</f>
        <v>0</v>
      </c>
    </row>
    <row r="103" spans="1:1">
      <c r="A103" s="39">
        <f>IF('6161 - Wallpaper (S)'!B103 = "", "", IF('6161-S-WUO_ERR'!A103 = "", "Validated", HYPERLINK("#" &amp; ADDRESS(ROW('6161-S-WUO_TRK'!A103), '6161-S-WUO_TRK'!A103), _xlfn.TEXTAFTER('6161-S-WUO_ERR'!A103, ":"))))</f>
        <v>0</v>
      </c>
    </row>
    <row r="104" spans="1:1">
      <c r="A104" s="39">
        <f>IF('6161 - Wallpaper (S)'!B104 = "", "", IF('6161-S-WUO_ERR'!A104 = "", "Validated", HYPERLINK("#" &amp; ADDRESS(ROW('6161-S-WUO_TRK'!A104), '6161-S-WUO_TRK'!A104), _xlfn.TEXTAFTER('6161-S-WUO_ERR'!A104, ":"))))</f>
        <v>0</v>
      </c>
    </row>
    <row r="105" spans="1:1">
      <c r="A105" s="39">
        <f>IF('6161 - Wallpaper (S)'!B105 = "", "", IF('6161-S-WUO_ERR'!A105 = "", "Validated", HYPERLINK("#" &amp; ADDRESS(ROW('6161-S-WUO_TRK'!A105), '6161-S-WUO_TRK'!A105), _xlfn.TEXTAFTER('6161-S-WUO_ERR'!A105, ":"))))</f>
        <v>0</v>
      </c>
    </row>
    <row r="106" spans="1:1">
      <c r="A106" s="39">
        <f>IF('6161 - Wallpaper (S)'!B106 = "", "", IF('6161-S-WUO_ERR'!A106 = "", "Validated", HYPERLINK("#" &amp; ADDRESS(ROW('6161-S-WUO_TRK'!A106), '6161-S-WUO_TRK'!A106), _xlfn.TEXTAFTER('6161-S-WUO_ERR'!A106, ":"))))</f>
        <v>0</v>
      </c>
    </row>
    <row r="107" spans="1:1">
      <c r="A107" s="39">
        <f>IF('6161 - Wallpaper (S)'!B107 = "", "", IF('6161-S-WUO_ERR'!A107 = "", "Validated", HYPERLINK("#" &amp; ADDRESS(ROW('6161-S-WUO_TRK'!A107), '6161-S-WUO_TRK'!A107), _xlfn.TEXTAFTER('6161-S-WUO_ERR'!A107, ":"))))</f>
        <v>0</v>
      </c>
    </row>
    <row r="108" spans="1:1">
      <c r="A108" s="39">
        <f>IF('6161 - Wallpaper (S)'!B108 = "", "", IF('6161-S-WUO_ERR'!A108 = "", "Validated", HYPERLINK("#" &amp; ADDRESS(ROW('6161-S-WUO_TRK'!A108), '6161-S-WUO_TRK'!A108), _xlfn.TEXTAFTER('6161-S-WUO_ERR'!A108, ":"))))</f>
        <v>0</v>
      </c>
    </row>
    <row r="109" spans="1:1">
      <c r="A109" s="39">
        <f>IF('6161 - Wallpaper (S)'!B109 = "", "", IF('6161-S-WUO_ERR'!A109 = "", "Validated", HYPERLINK("#" &amp; ADDRESS(ROW('6161-S-WUO_TRK'!A109), '6161-S-WUO_TRK'!A109), _xlfn.TEXTAFTER('6161-S-WUO_ERR'!A109, ":"))))</f>
        <v>0</v>
      </c>
    </row>
    <row r="110" spans="1:1">
      <c r="A110" s="39">
        <f>IF('6161 - Wallpaper (S)'!B110 = "", "", IF('6161-S-WUO_ERR'!A110 = "", "Validated", HYPERLINK("#" &amp; ADDRESS(ROW('6161-S-WUO_TRK'!A110), '6161-S-WUO_TRK'!A110), _xlfn.TEXTAFTER('6161-S-WUO_ERR'!A110, ":"))))</f>
        <v>0</v>
      </c>
    </row>
    <row r="111" spans="1:1">
      <c r="A111" s="39">
        <f>IF('6161 - Wallpaper (S)'!B111 = "", "", IF('6161-S-WUO_ERR'!A111 = "", "Validated", HYPERLINK("#" &amp; ADDRESS(ROW('6161-S-WUO_TRK'!A111), '6161-S-WUO_TRK'!A111), _xlfn.TEXTAFTER('6161-S-WUO_ERR'!A111, ":"))))</f>
        <v>0</v>
      </c>
    </row>
    <row r="112" spans="1:1">
      <c r="A112" s="39">
        <f>IF('6161 - Wallpaper (S)'!B112 = "", "", IF('6161-S-WUO_ERR'!A112 = "", "Validated", HYPERLINK("#" &amp; ADDRESS(ROW('6161-S-WUO_TRK'!A112), '6161-S-WUO_TRK'!A112), _xlfn.TEXTAFTER('6161-S-WUO_ERR'!A112, ":"))))</f>
        <v>0</v>
      </c>
    </row>
    <row r="113" spans="1:1">
      <c r="A113" s="39">
        <f>IF('6161 - Wallpaper (S)'!B113 = "", "", IF('6161-S-WUO_ERR'!A113 = "", "Validated", HYPERLINK("#" &amp; ADDRESS(ROW('6161-S-WUO_TRK'!A113), '6161-S-WUO_TRK'!A113), _xlfn.TEXTAFTER('6161-S-WUO_ERR'!A113, ":"))))</f>
        <v>0</v>
      </c>
    </row>
    <row r="114" spans="1:1">
      <c r="A114" s="39">
        <f>IF('6161 - Wallpaper (S)'!B114 = "", "", IF('6161-S-WUO_ERR'!A114 = "", "Validated", HYPERLINK("#" &amp; ADDRESS(ROW('6161-S-WUO_TRK'!A114), '6161-S-WUO_TRK'!A114), _xlfn.TEXTAFTER('6161-S-WUO_ERR'!A114, ":"))))</f>
        <v>0</v>
      </c>
    </row>
    <row r="115" spans="1:1">
      <c r="A115" s="39">
        <f>IF('6161 - Wallpaper (S)'!B115 = "", "", IF('6161-S-WUO_ERR'!A115 = "", "Validated", HYPERLINK("#" &amp; ADDRESS(ROW('6161-S-WUO_TRK'!A115), '6161-S-WUO_TRK'!A115), _xlfn.TEXTAFTER('6161-S-WUO_ERR'!A115, ":"))))</f>
        <v>0</v>
      </c>
    </row>
    <row r="116" spans="1:1">
      <c r="A116" s="39">
        <f>IF('6161 - Wallpaper (S)'!B116 = "", "", IF('6161-S-WUO_ERR'!A116 = "", "Validated", HYPERLINK("#" &amp; ADDRESS(ROW('6161-S-WUO_TRK'!A116), '6161-S-WUO_TRK'!A116), _xlfn.TEXTAFTER('6161-S-WUO_ERR'!A116, ":"))))</f>
        <v>0</v>
      </c>
    </row>
    <row r="117" spans="1:1">
      <c r="A117" s="39">
        <f>IF('6161 - Wallpaper (S)'!B117 = "", "", IF('6161-S-WUO_ERR'!A117 = "", "Validated", HYPERLINK("#" &amp; ADDRESS(ROW('6161-S-WUO_TRK'!A117), '6161-S-WUO_TRK'!A117), _xlfn.TEXTAFTER('6161-S-WUO_ERR'!A117, ":"))))</f>
        <v>0</v>
      </c>
    </row>
    <row r="118" spans="1:1">
      <c r="A118" s="39">
        <f>IF('6161 - Wallpaper (S)'!B118 = "", "", IF('6161-S-WUO_ERR'!A118 = "", "Validated", HYPERLINK("#" &amp; ADDRESS(ROW('6161-S-WUO_TRK'!A118), '6161-S-WUO_TRK'!A118), _xlfn.TEXTAFTER('6161-S-WUO_ERR'!A118, ":"))))</f>
        <v>0</v>
      </c>
    </row>
    <row r="119" spans="1:1">
      <c r="A119" s="39">
        <f>IF('6161 - Wallpaper (S)'!B119 = "", "", IF('6161-S-WUO_ERR'!A119 = "", "Validated", HYPERLINK("#" &amp; ADDRESS(ROW('6161-S-WUO_TRK'!A119), '6161-S-WUO_TRK'!A119), _xlfn.TEXTAFTER('6161-S-WUO_ERR'!A119, ":"))))</f>
        <v>0</v>
      </c>
    </row>
    <row r="120" spans="1:1">
      <c r="A120" s="39">
        <f>IF('6161 - Wallpaper (S)'!B120 = "", "", IF('6161-S-WUO_ERR'!A120 = "", "Validated", HYPERLINK("#" &amp; ADDRESS(ROW('6161-S-WUO_TRK'!A120), '6161-S-WUO_TRK'!A120), _xlfn.TEXTAFTER('6161-S-WUO_ERR'!A120, ":"))))</f>
        <v>0</v>
      </c>
    </row>
    <row r="121" spans="1:1">
      <c r="A121" s="39">
        <f>IF('6161 - Wallpaper (S)'!B121 = "", "", IF('6161-S-WUO_ERR'!A121 = "", "Validated", HYPERLINK("#" &amp; ADDRESS(ROW('6161-S-WUO_TRK'!A121), '6161-S-WUO_TRK'!A121), _xlfn.TEXTAFTER('6161-S-WUO_ERR'!A121, ":"))))</f>
        <v>0</v>
      </c>
    </row>
    <row r="122" spans="1:1">
      <c r="A122" s="39">
        <f>IF('6161 - Wallpaper (S)'!B122 = "", "", IF('6161-S-WUO_ERR'!A122 = "", "Validated", HYPERLINK("#" &amp; ADDRESS(ROW('6161-S-WUO_TRK'!A122), '6161-S-WUO_TRK'!A122), _xlfn.TEXTAFTER('6161-S-WUO_ERR'!A122, ":"))))</f>
        <v>0</v>
      </c>
    </row>
    <row r="123" spans="1:1">
      <c r="A123" s="39">
        <f>IF('6161 - Wallpaper (S)'!B123 = "", "", IF('6161-S-WUO_ERR'!A123 = "", "Validated", HYPERLINK("#" &amp; ADDRESS(ROW('6161-S-WUO_TRK'!A123), '6161-S-WUO_TRK'!A123), _xlfn.TEXTAFTER('6161-S-WUO_ERR'!A123, ":"))))</f>
        <v>0</v>
      </c>
    </row>
    <row r="124" spans="1:1">
      <c r="A124" s="39">
        <f>IF('6161 - Wallpaper (S)'!B124 = "", "", IF('6161-S-WUO_ERR'!A124 = "", "Validated", HYPERLINK("#" &amp; ADDRESS(ROW('6161-S-WUO_TRK'!A124), '6161-S-WUO_TRK'!A124), _xlfn.TEXTAFTER('6161-S-WUO_ERR'!A124, ":"))))</f>
        <v>0</v>
      </c>
    </row>
    <row r="125" spans="1:1">
      <c r="A125" s="39">
        <f>IF('6161 - Wallpaper (S)'!B125 = "", "", IF('6161-S-WUO_ERR'!A125 = "", "Validated", HYPERLINK("#" &amp; ADDRESS(ROW('6161-S-WUO_TRK'!A125), '6161-S-WUO_TRK'!A125), _xlfn.TEXTAFTER('6161-S-WUO_ERR'!A125, ":"))))</f>
        <v>0</v>
      </c>
    </row>
    <row r="126" spans="1:1">
      <c r="A126" s="39">
        <f>IF('6161 - Wallpaper (S)'!B126 = "", "", IF('6161-S-WUO_ERR'!A126 = "", "Validated", HYPERLINK("#" &amp; ADDRESS(ROW('6161-S-WUO_TRK'!A126), '6161-S-WUO_TRK'!A126), _xlfn.TEXTAFTER('6161-S-WUO_ERR'!A126, ":"))))</f>
        <v>0</v>
      </c>
    </row>
    <row r="127" spans="1:1">
      <c r="A127" s="39">
        <f>IF('6161 - Wallpaper (S)'!B127 = "", "", IF('6161-S-WUO_ERR'!A127 = "", "Validated", HYPERLINK("#" &amp; ADDRESS(ROW('6161-S-WUO_TRK'!A127), '6161-S-WUO_TRK'!A127), _xlfn.TEXTAFTER('6161-S-WUO_ERR'!A127, ":"))))</f>
        <v>0</v>
      </c>
    </row>
    <row r="128" spans="1:1">
      <c r="A128" s="39">
        <f>IF('6161 - Wallpaper (S)'!B128 = "", "", IF('6161-S-WUO_ERR'!A128 = "", "Validated", HYPERLINK("#" &amp; ADDRESS(ROW('6161-S-WUO_TRK'!A128), '6161-S-WUO_TRK'!A128), _xlfn.TEXTAFTER('6161-S-WUO_ERR'!A128, ":"))))</f>
        <v>0</v>
      </c>
    </row>
    <row r="129" spans="1:1">
      <c r="A129" s="39">
        <f>IF('6161 - Wallpaper (S)'!B129 = "", "", IF('6161-S-WUO_ERR'!A129 = "", "Validated", HYPERLINK("#" &amp; ADDRESS(ROW('6161-S-WUO_TRK'!A129), '6161-S-WUO_TRK'!A129), _xlfn.TEXTAFTER('6161-S-WUO_ERR'!A129, ":"))))</f>
        <v>0</v>
      </c>
    </row>
    <row r="130" spans="1:1">
      <c r="A130" s="39">
        <f>IF('6161 - Wallpaper (S)'!B130 = "", "", IF('6161-S-WUO_ERR'!A130 = "", "Validated", HYPERLINK("#" &amp; ADDRESS(ROW('6161-S-WUO_TRK'!A130), '6161-S-WUO_TRK'!A130), _xlfn.TEXTAFTER('6161-S-WUO_ERR'!A130, ":"))))</f>
        <v>0</v>
      </c>
    </row>
    <row r="131" spans="1:1">
      <c r="A131" s="39">
        <f>IF('6161 - Wallpaper (S)'!B131 = "", "", IF('6161-S-WUO_ERR'!A131 = "", "Validated", HYPERLINK("#" &amp; ADDRESS(ROW('6161-S-WUO_TRK'!A131), '6161-S-WUO_TRK'!A131), _xlfn.TEXTAFTER('6161-S-WUO_ERR'!A131, ":"))))</f>
        <v>0</v>
      </c>
    </row>
    <row r="132" spans="1:1">
      <c r="A132" s="39">
        <f>IF('6161 - Wallpaper (S)'!B132 = "", "", IF('6161-S-WUO_ERR'!A132 = "", "Validated", HYPERLINK("#" &amp; ADDRESS(ROW('6161-S-WUO_TRK'!A132), '6161-S-WUO_TRK'!A132), _xlfn.TEXTAFTER('6161-S-WUO_ERR'!A132, ":"))))</f>
        <v>0</v>
      </c>
    </row>
    <row r="133" spans="1:1">
      <c r="A133" s="39">
        <f>IF('6161 - Wallpaper (S)'!B133 = "", "", IF('6161-S-WUO_ERR'!A133 = "", "Validated", HYPERLINK("#" &amp; ADDRESS(ROW('6161-S-WUO_TRK'!A133), '6161-S-WUO_TRK'!A133), _xlfn.TEXTAFTER('6161-S-WUO_ERR'!A133, ":"))))</f>
        <v>0</v>
      </c>
    </row>
    <row r="134" spans="1:1">
      <c r="A134" s="39">
        <f>IF('6161 - Wallpaper (S)'!B134 = "", "", IF('6161-S-WUO_ERR'!A134 = "", "Validated", HYPERLINK("#" &amp; ADDRESS(ROW('6161-S-WUO_TRK'!A134), '6161-S-WUO_TRK'!A134), _xlfn.TEXTAFTER('6161-S-WUO_ERR'!A134, ":"))))</f>
        <v>0</v>
      </c>
    </row>
    <row r="135" spans="1:1">
      <c r="A135" s="39">
        <f>IF('6161 - Wallpaper (S)'!B135 = "", "", IF('6161-S-WUO_ERR'!A135 = "", "Validated", HYPERLINK("#" &amp; ADDRESS(ROW('6161-S-WUO_TRK'!A135), '6161-S-WUO_TRK'!A135), _xlfn.TEXTAFTER('6161-S-WUO_ERR'!A135, ":"))))</f>
        <v>0</v>
      </c>
    </row>
    <row r="136" spans="1:1">
      <c r="A136" s="39">
        <f>IF('6161 - Wallpaper (S)'!B136 = "", "", IF('6161-S-WUO_ERR'!A136 = "", "Validated", HYPERLINK("#" &amp; ADDRESS(ROW('6161-S-WUO_TRK'!A136), '6161-S-WUO_TRK'!A136), _xlfn.TEXTAFTER('6161-S-WUO_ERR'!A136, ":"))))</f>
        <v>0</v>
      </c>
    </row>
    <row r="137" spans="1:1">
      <c r="A137" s="39">
        <f>IF('6161 - Wallpaper (S)'!B137 = "", "", IF('6161-S-WUO_ERR'!A137 = "", "Validated", HYPERLINK("#" &amp; ADDRESS(ROW('6161-S-WUO_TRK'!A137), '6161-S-WUO_TRK'!A137), _xlfn.TEXTAFTER('6161-S-WUO_ERR'!A137, ":"))))</f>
        <v>0</v>
      </c>
    </row>
    <row r="138" spans="1:1">
      <c r="A138" s="39">
        <f>IF('6161 - Wallpaper (S)'!B138 = "", "", IF('6161-S-WUO_ERR'!A138 = "", "Validated", HYPERLINK("#" &amp; ADDRESS(ROW('6161-S-WUO_TRK'!A138), '6161-S-WUO_TRK'!A138), _xlfn.TEXTAFTER('6161-S-WUO_ERR'!A138, ":"))))</f>
        <v>0</v>
      </c>
    </row>
    <row r="139" spans="1:1">
      <c r="A139" s="39">
        <f>IF('6161 - Wallpaper (S)'!B139 = "", "", IF('6161-S-WUO_ERR'!A139 = "", "Validated", HYPERLINK("#" &amp; ADDRESS(ROW('6161-S-WUO_TRK'!A139), '6161-S-WUO_TRK'!A139), _xlfn.TEXTAFTER('6161-S-WUO_ERR'!A139, ":"))))</f>
        <v>0</v>
      </c>
    </row>
    <row r="140" spans="1:1">
      <c r="A140" s="39">
        <f>IF('6161 - Wallpaper (S)'!B140 = "", "", IF('6161-S-WUO_ERR'!A140 = "", "Validated", HYPERLINK("#" &amp; ADDRESS(ROW('6161-S-WUO_TRK'!A140), '6161-S-WUO_TRK'!A140), _xlfn.TEXTAFTER('6161-S-WUO_ERR'!A140, ":"))))</f>
        <v>0</v>
      </c>
    </row>
    <row r="141" spans="1:1">
      <c r="A141" s="39">
        <f>IF('6161 - Wallpaper (S)'!B141 = "", "", IF('6161-S-WUO_ERR'!A141 = "", "Validated", HYPERLINK("#" &amp; ADDRESS(ROW('6161-S-WUO_TRK'!A141), '6161-S-WUO_TRK'!A141), _xlfn.TEXTAFTER('6161-S-WUO_ERR'!A141, ":"))))</f>
        <v>0</v>
      </c>
    </row>
    <row r="142" spans="1:1">
      <c r="A142" s="39">
        <f>IF('6161 - Wallpaper (S)'!B142 = "", "", IF('6161-S-WUO_ERR'!A142 = "", "Validated", HYPERLINK("#" &amp; ADDRESS(ROW('6161-S-WUO_TRK'!A142), '6161-S-WUO_TRK'!A142), _xlfn.TEXTAFTER('6161-S-WUO_ERR'!A142, ":"))))</f>
        <v>0</v>
      </c>
    </row>
    <row r="143" spans="1:1">
      <c r="A143" s="39">
        <f>IF('6161 - Wallpaper (S)'!B143 = "", "", IF('6161-S-WUO_ERR'!A143 = "", "Validated", HYPERLINK("#" &amp; ADDRESS(ROW('6161-S-WUO_TRK'!A143), '6161-S-WUO_TRK'!A143), _xlfn.TEXTAFTER('6161-S-WUO_ERR'!A143, ":"))))</f>
        <v>0</v>
      </c>
    </row>
    <row r="144" spans="1:1">
      <c r="A144" s="39">
        <f>IF('6161 - Wallpaper (S)'!B144 = "", "", IF('6161-S-WUO_ERR'!A144 = "", "Validated", HYPERLINK("#" &amp; ADDRESS(ROW('6161-S-WUO_TRK'!A144), '6161-S-WUO_TRK'!A144), _xlfn.TEXTAFTER('6161-S-WUO_ERR'!A144, ":"))))</f>
        <v>0</v>
      </c>
    </row>
    <row r="145" spans="1:1">
      <c r="A145" s="39">
        <f>IF('6161 - Wallpaper (S)'!B145 = "", "", IF('6161-S-WUO_ERR'!A145 = "", "Validated", HYPERLINK("#" &amp; ADDRESS(ROW('6161-S-WUO_TRK'!A145), '6161-S-WUO_TRK'!A145), _xlfn.TEXTAFTER('6161-S-WUO_ERR'!A145, ":"))))</f>
        <v>0</v>
      </c>
    </row>
    <row r="146" spans="1:1">
      <c r="A146" s="39">
        <f>IF('6161 - Wallpaper (S)'!B146 = "", "", IF('6161-S-WUO_ERR'!A146 = "", "Validated", HYPERLINK("#" &amp; ADDRESS(ROW('6161-S-WUO_TRK'!A146), '6161-S-WUO_TRK'!A146), _xlfn.TEXTAFTER('6161-S-WUO_ERR'!A146, ":"))))</f>
        <v>0</v>
      </c>
    </row>
    <row r="147" spans="1:1">
      <c r="A147" s="39">
        <f>IF('6161 - Wallpaper (S)'!B147 = "", "", IF('6161-S-WUO_ERR'!A147 = "", "Validated", HYPERLINK("#" &amp; ADDRESS(ROW('6161-S-WUO_TRK'!A147), '6161-S-WUO_TRK'!A147), _xlfn.TEXTAFTER('6161-S-WUO_ERR'!A147, ":"))))</f>
        <v>0</v>
      </c>
    </row>
    <row r="148" spans="1:1">
      <c r="A148" s="39">
        <f>IF('6161 - Wallpaper (S)'!B148 = "", "", IF('6161-S-WUO_ERR'!A148 = "", "Validated", HYPERLINK("#" &amp; ADDRESS(ROW('6161-S-WUO_TRK'!A148), '6161-S-WUO_TRK'!A148), _xlfn.TEXTAFTER('6161-S-WUO_ERR'!A148, ":"))))</f>
        <v>0</v>
      </c>
    </row>
    <row r="149" spans="1:1">
      <c r="A149" s="39">
        <f>IF('6161 - Wallpaper (S)'!B149 = "", "", IF('6161-S-WUO_ERR'!A149 = "", "Validated", HYPERLINK("#" &amp; ADDRESS(ROW('6161-S-WUO_TRK'!A149), '6161-S-WUO_TRK'!A149), _xlfn.TEXTAFTER('6161-S-WUO_ERR'!A149, ":"))))</f>
        <v>0</v>
      </c>
    </row>
    <row r="150" spans="1:1">
      <c r="A150" s="39">
        <f>IF('6161 - Wallpaper (S)'!B150 = "", "", IF('6161-S-WUO_ERR'!A150 = "", "Validated", HYPERLINK("#" &amp; ADDRESS(ROW('6161-S-WUO_TRK'!A150), '6161-S-WUO_TRK'!A150), _xlfn.TEXTAFTER('6161-S-WUO_ERR'!A150, ":"))))</f>
        <v>0</v>
      </c>
    </row>
    <row r="151" spans="1:1">
      <c r="A151" s="39">
        <f>IF('6161 - Wallpaper (S)'!B151 = "", "", IF('6161-S-WUO_ERR'!A151 = "", "Validated", HYPERLINK("#" &amp; ADDRESS(ROW('6161-S-WUO_TRK'!A151), '6161-S-WUO_TRK'!A151), _xlfn.TEXTAFTER('6161-S-WUO_ERR'!A151, ":"))))</f>
        <v>0</v>
      </c>
    </row>
    <row r="152" spans="1:1">
      <c r="A152" s="39">
        <f>IF('6161 - Wallpaper (S)'!B152 = "", "", IF('6161-S-WUO_ERR'!A152 = "", "Validated", HYPERLINK("#" &amp; ADDRESS(ROW('6161-S-WUO_TRK'!A152), '6161-S-WUO_TRK'!A152), _xlfn.TEXTAFTER('6161-S-WUO_ERR'!A152, ":"))))</f>
        <v>0</v>
      </c>
    </row>
    <row r="153" spans="1:1">
      <c r="A153" s="39">
        <f>IF('6161 - Wallpaper (S)'!B153 = "", "", IF('6161-S-WUO_ERR'!A153 = "", "Validated", HYPERLINK("#" &amp; ADDRESS(ROW('6161-S-WUO_TRK'!A153), '6161-S-WUO_TRK'!A153), _xlfn.TEXTAFTER('6161-S-WUO_ERR'!A153, ":"))))</f>
        <v>0</v>
      </c>
    </row>
    <row r="154" spans="1:1">
      <c r="A154" s="39">
        <f>IF('6161 - Wallpaper (S)'!B154 = "", "", IF('6161-S-WUO_ERR'!A154 = "", "Validated", HYPERLINK("#" &amp; ADDRESS(ROW('6161-S-WUO_TRK'!A154), '6161-S-WUO_TRK'!A154), _xlfn.TEXTAFTER('6161-S-WUO_ERR'!A154, ":"))))</f>
        <v>0</v>
      </c>
    </row>
    <row r="155" spans="1:1">
      <c r="A155" s="39">
        <f>IF('6161 - Wallpaper (S)'!B155 = "", "", IF('6161-S-WUO_ERR'!A155 = "", "Validated", HYPERLINK("#" &amp; ADDRESS(ROW('6161-S-WUO_TRK'!A155), '6161-S-WUO_TRK'!A155), _xlfn.TEXTAFTER('6161-S-WUO_ERR'!A155, ":"))))</f>
        <v>0</v>
      </c>
    </row>
    <row r="156" spans="1:1">
      <c r="A156" s="39">
        <f>IF('6161 - Wallpaper (S)'!B156 = "", "", IF('6161-S-WUO_ERR'!A156 = "", "Validated", HYPERLINK("#" &amp; ADDRESS(ROW('6161-S-WUO_TRK'!A156), '6161-S-WUO_TRK'!A156), _xlfn.TEXTAFTER('6161-S-WUO_ERR'!A156, ":"))))</f>
        <v>0</v>
      </c>
    </row>
    <row r="157" spans="1:1">
      <c r="A157" s="39">
        <f>IF('6161 - Wallpaper (S)'!B157 = "", "", IF('6161-S-WUO_ERR'!A157 = "", "Validated", HYPERLINK("#" &amp; ADDRESS(ROW('6161-S-WUO_TRK'!A157), '6161-S-WUO_TRK'!A157), _xlfn.TEXTAFTER('6161-S-WUO_ERR'!A157, ":"))))</f>
        <v>0</v>
      </c>
    </row>
    <row r="158" spans="1:1">
      <c r="A158" s="39">
        <f>IF('6161 - Wallpaper (S)'!B158 = "", "", IF('6161-S-WUO_ERR'!A158 = "", "Validated", HYPERLINK("#" &amp; ADDRESS(ROW('6161-S-WUO_TRK'!A158), '6161-S-WUO_TRK'!A158), _xlfn.TEXTAFTER('6161-S-WUO_ERR'!A158, ":"))))</f>
        <v>0</v>
      </c>
    </row>
    <row r="159" spans="1:1">
      <c r="A159" s="39">
        <f>IF('6161 - Wallpaper (S)'!B159 = "", "", IF('6161-S-WUO_ERR'!A159 = "", "Validated", HYPERLINK("#" &amp; ADDRESS(ROW('6161-S-WUO_TRK'!A159), '6161-S-WUO_TRK'!A159), _xlfn.TEXTAFTER('6161-S-WUO_ERR'!A159, ":"))))</f>
        <v>0</v>
      </c>
    </row>
    <row r="160" spans="1:1">
      <c r="A160" s="39">
        <f>IF('6161 - Wallpaper (S)'!B160 = "", "", IF('6161-S-WUO_ERR'!A160 = "", "Validated", HYPERLINK("#" &amp; ADDRESS(ROW('6161-S-WUO_TRK'!A160), '6161-S-WUO_TRK'!A160), _xlfn.TEXTAFTER('6161-S-WUO_ERR'!A160, ":"))))</f>
        <v>0</v>
      </c>
    </row>
    <row r="161" spans="1:1">
      <c r="A161" s="39">
        <f>IF('6161 - Wallpaper (S)'!B161 = "", "", IF('6161-S-WUO_ERR'!A161 = "", "Validated", HYPERLINK("#" &amp; ADDRESS(ROW('6161-S-WUO_TRK'!A161), '6161-S-WUO_TRK'!A161), _xlfn.TEXTAFTER('6161-S-WUO_ERR'!A161, ":"))))</f>
        <v>0</v>
      </c>
    </row>
    <row r="162" spans="1:1">
      <c r="A162" s="39">
        <f>IF('6161 - Wallpaper (S)'!B162 = "", "", IF('6161-S-WUO_ERR'!A162 = "", "Validated", HYPERLINK("#" &amp; ADDRESS(ROW('6161-S-WUO_TRK'!A162), '6161-S-WUO_TRK'!A162), _xlfn.TEXTAFTER('6161-S-WUO_ERR'!A162, ":"))))</f>
        <v>0</v>
      </c>
    </row>
    <row r="163" spans="1:1">
      <c r="A163" s="39">
        <f>IF('6161 - Wallpaper (S)'!B163 = "", "", IF('6161-S-WUO_ERR'!A163 = "", "Validated", HYPERLINK("#" &amp; ADDRESS(ROW('6161-S-WUO_TRK'!A163), '6161-S-WUO_TRK'!A163), _xlfn.TEXTAFTER('6161-S-WUO_ERR'!A163, ":"))))</f>
        <v>0</v>
      </c>
    </row>
    <row r="164" spans="1:1">
      <c r="A164" s="39">
        <f>IF('6161 - Wallpaper (S)'!B164 = "", "", IF('6161-S-WUO_ERR'!A164 = "", "Validated", HYPERLINK("#" &amp; ADDRESS(ROW('6161-S-WUO_TRK'!A164), '6161-S-WUO_TRK'!A164), _xlfn.TEXTAFTER('6161-S-WUO_ERR'!A164, ":"))))</f>
        <v>0</v>
      </c>
    </row>
    <row r="165" spans="1:1">
      <c r="A165" s="39">
        <f>IF('6161 - Wallpaper (S)'!B165 = "", "", IF('6161-S-WUO_ERR'!A165 = "", "Validated", HYPERLINK("#" &amp; ADDRESS(ROW('6161-S-WUO_TRK'!A165), '6161-S-WUO_TRK'!A165), _xlfn.TEXTAFTER('6161-S-WUO_ERR'!A165, ":"))))</f>
        <v>0</v>
      </c>
    </row>
    <row r="166" spans="1:1">
      <c r="A166" s="39">
        <f>IF('6161 - Wallpaper (S)'!B166 = "", "", IF('6161-S-WUO_ERR'!A166 = "", "Validated", HYPERLINK("#" &amp; ADDRESS(ROW('6161-S-WUO_TRK'!A166), '6161-S-WUO_TRK'!A166), _xlfn.TEXTAFTER('6161-S-WUO_ERR'!A166, ":"))))</f>
        <v>0</v>
      </c>
    </row>
    <row r="167" spans="1:1">
      <c r="A167" s="39">
        <f>IF('6161 - Wallpaper (S)'!B167 = "", "", IF('6161-S-WUO_ERR'!A167 = "", "Validated", HYPERLINK("#" &amp; ADDRESS(ROW('6161-S-WUO_TRK'!A167), '6161-S-WUO_TRK'!A167), _xlfn.TEXTAFTER('6161-S-WUO_ERR'!A167, ":"))))</f>
        <v>0</v>
      </c>
    </row>
    <row r="168" spans="1:1">
      <c r="A168" s="39">
        <f>IF('6161 - Wallpaper (S)'!B168 = "", "", IF('6161-S-WUO_ERR'!A168 = "", "Validated", HYPERLINK("#" &amp; ADDRESS(ROW('6161-S-WUO_TRK'!A168), '6161-S-WUO_TRK'!A168), _xlfn.TEXTAFTER('6161-S-WUO_ERR'!A168, ":"))))</f>
        <v>0</v>
      </c>
    </row>
    <row r="169" spans="1:1">
      <c r="A169" s="39">
        <f>IF('6161 - Wallpaper (S)'!B169 = "", "", IF('6161-S-WUO_ERR'!A169 = "", "Validated", HYPERLINK("#" &amp; ADDRESS(ROW('6161-S-WUO_TRK'!A169), '6161-S-WUO_TRK'!A169), _xlfn.TEXTAFTER('6161-S-WUO_ERR'!A169, ":"))))</f>
        <v>0</v>
      </c>
    </row>
    <row r="170" spans="1:1">
      <c r="A170" s="39">
        <f>IF('6161 - Wallpaper (S)'!B170 = "", "", IF('6161-S-WUO_ERR'!A170 = "", "Validated", HYPERLINK("#" &amp; ADDRESS(ROW('6161-S-WUO_TRK'!A170), '6161-S-WUO_TRK'!A170), _xlfn.TEXTAFTER('6161-S-WUO_ERR'!A170, ":"))))</f>
        <v>0</v>
      </c>
    </row>
    <row r="171" spans="1:1">
      <c r="A171" s="39">
        <f>IF('6161 - Wallpaper (S)'!B171 = "", "", IF('6161-S-WUO_ERR'!A171 = "", "Validated", HYPERLINK("#" &amp; ADDRESS(ROW('6161-S-WUO_TRK'!A171), '6161-S-WUO_TRK'!A171), _xlfn.TEXTAFTER('6161-S-WUO_ERR'!A171, ":"))))</f>
        <v>0</v>
      </c>
    </row>
    <row r="172" spans="1:1">
      <c r="A172" s="39">
        <f>IF('6161 - Wallpaper (S)'!B172 = "", "", IF('6161-S-WUO_ERR'!A172 = "", "Validated", HYPERLINK("#" &amp; ADDRESS(ROW('6161-S-WUO_TRK'!A172), '6161-S-WUO_TRK'!A172), _xlfn.TEXTAFTER('6161-S-WUO_ERR'!A172, ":"))))</f>
        <v>0</v>
      </c>
    </row>
    <row r="173" spans="1:1">
      <c r="A173" s="39">
        <f>IF('6161 - Wallpaper (S)'!B173 = "", "", IF('6161-S-WUO_ERR'!A173 = "", "Validated", HYPERLINK("#" &amp; ADDRESS(ROW('6161-S-WUO_TRK'!A173), '6161-S-WUO_TRK'!A173), _xlfn.TEXTAFTER('6161-S-WUO_ERR'!A173, ":"))))</f>
        <v>0</v>
      </c>
    </row>
    <row r="174" spans="1:1">
      <c r="A174" s="39">
        <f>IF('6161 - Wallpaper (S)'!B174 = "", "", IF('6161-S-WUO_ERR'!A174 = "", "Validated", HYPERLINK("#" &amp; ADDRESS(ROW('6161-S-WUO_TRK'!A174), '6161-S-WUO_TRK'!A174), _xlfn.TEXTAFTER('6161-S-WUO_ERR'!A174, ":"))))</f>
        <v>0</v>
      </c>
    </row>
    <row r="175" spans="1:1">
      <c r="A175" s="39">
        <f>IF('6161 - Wallpaper (S)'!B175 = "", "", IF('6161-S-WUO_ERR'!A175 = "", "Validated", HYPERLINK("#" &amp; ADDRESS(ROW('6161-S-WUO_TRK'!A175), '6161-S-WUO_TRK'!A175), _xlfn.TEXTAFTER('6161-S-WUO_ERR'!A175, ":"))))</f>
        <v>0</v>
      </c>
    </row>
    <row r="176" spans="1:1">
      <c r="A176" s="39">
        <f>IF('6161 - Wallpaper (S)'!B176 = "", "", IF('6161-S-WUO_ERR'!A176 = "", "Validated", HYPERLINK("#" &amp; ADDRESS(ROW('6161-S-WUO_TRK'!A176), '6161-S-WUO_TRK'!A176), _xlfn.TEXTAFTER('6161-S-WUO_ERR'!A176, ":"))))</f>
        <v>0</v>
      </c>
    </row>
    <row r="177" spans="1:1">
      <c r="A177" s="39">
        <f>IF('6161 - Wallpaper (S)'!B177 = "", "", IF('6161-S-WUO_ERR'!A177 = "", "Validated", HYPERLINK("#" &amp; ADDRESS(ROW('6161-S-WUO_TRK'!A177), '6161-S-WUO_TRK'!A177), _xlfn.TEXTAFTER('6161-S-WUO_ERR'!A177, ":"))))</f>
        <v>0</v>
      </c>
    </row>
    <row r="178" spans="1:1">
      <c r="A178" s="39">
        <f>IF('6161 - Wallpaper (S)'!B178 = "", "", IF('6161-S-WUO_ERR'!A178 = "", "Validated", HYPERLINK("#" &amp; ADDRESS(ROW('6161-S-WUO_TRK'!A178), '6161-S-WUO_TRK'!A178), _xlfn.TEXTAFTER('6161-S-WUO_ERR'!A178, ":"))))</f>
        <v>0</v>
      </c>
    </row>
    <row r="179" spans="1:1">
      <c r="A179" s="39">
        <f>IF('6161 - Wallpaper (S)'!B179 = "", "", IF('6161-S-WUO_ERR'!A179 = "", "Validated", HYPERLINK("#" &amp; ADDRESS(ROW('6161-S-WUO_TRK'!A179), '6161-S-WUO_TRK'!A179), _xlfn.TEXTAFTER('6161-S-WUO_ERR'!A179, ":"))))</f>
        <v>0</v>
      </c>
    </row>
    <row r="180" spans="1:1">
      <c r="A180" s="39">
        <f>IF('6161 - Wallpaper (S)'!B180 = "", "", IF('6161-S-WUO_ERR'!A180 = "", "Validated", HYPERLINK("#" &amp; ADDRESS(ROW('6161-S-WUO_TRK'!A180), '6161-S-WUO_TRK'!A180), _xlfn.TEXTAFTER('6161-S-WUO_ERR'!A180, ":"))))</f>
        <v>0</v>
      </c>
    </row>
    <row r="181" spans="1:1">
      <c r="A181" s="39">
        <f>IF('6161 - Wallpaper (S)'!B181 = "", "", IF('6161-S-WUO_ERR'!A181 = "", "Validated", HYPERLINK("#" &amp; ADDRESS(ROW('6161-S-WUO_TRK'!A181), '6161-S-WUO_TRK'!A181), _xlfn.TEXTAFTER('6161-S-WUO_ERR'!A181, ":"))))</f>
        <v>0</v>
      </c>
    </row>
    <row r="182" spans="1:1">
      <c r="A182" s="39">
        <f>IF('6161 - Wallpaper (S)'!B182 = "", "", IF('6161-S-WUO_ERR'!A182 = "", "Validated", HYPERLINK("#" &amp; ADDRESS(ROW('6161-S-WUO_TRK'!A182), '6161-S-WUO_TRK'!A182), _xlfn.TEXTAFTER('6161-S-WUO_ERR'!A182, ":"))))</f>
        <v>0</v>
      </c>
    </row>
    <row r="183" spans="1:1">
      <c r="A183" s="39">
        <f>IF('6161 - Wallpaper (S)'!B183 = "", "", IF('6161-S-WUO_ERR'!A183 = "", "Validated", HYPERLINK("#" &amp; ADDRESS(ROW('6161-S-WUO_TRK'!A183), '6161-S-WUO_TRK'!A183), _xlfn.TEXTAFTER('6161-S-WUO_ERR'!A183, ":"))))</f>
        <v>0</v>
      </c>
    </row>
    <row r="184" spans="1:1">
      <c r="A184" s="39">
        <f>IF('6161 - Wallpaper (S)'!B184 = "", "", IF('6161-S-WUO_ERR'!A184 = "", "Validated", HYPERLINK("#" &amp; ADDRESS(ROW('6161-S-WUO_TRK'!A184), '6161-S-WUO_TRK'!A184), _xlfn.TEXTAFTER('6161-S-WUO_ERR'!A184, ":"))))</f>
        <v>0</v>
      </c>
    </row>
    <row r="185" spans="1:1">
      <c r="A185" s="39">
        <f>IF('6161 - Wallpaper (S)'!B185 = "", "", IF('6161-S-WUO_ERR'!A185 = "", "Validated", HYPERLINK("#" &amp; ADDRESS(ROW('6161-S-WUO_TRK'!A185), '6161-S-WUO_TRK'!A185), _xlfn.TEXTAFTER('6161-S-WUO_ERR'!A185, ":"))))</f>
        <v>0</v>
      </c>
    </row>
    <row r="186" spans="1:1">
      <c r="A186" s="39">
        <f>IF('6161 - Wallpaper (S)'!B186 = "", "", IF('6161-S-WUO_ERR'!A186 = "", "Validated", HYPERLINK("#" &amp; ADDRESS(ROW('6161-S-WUO_TRK'!A186), '6161-S-WUO_TRK'!A186), _xlfn.TEXTAFTER('6161-S-WUO_ERR'!A186, ":"))))</f>
        <v>0</v>
      </c>
    </row>
    <row r="187" spans="1:1">
      <c r="A187" s="39">
        <f>IF('6161 - Wallpaper (S)'!B187 = "", "", IF('6161-S-WUO_ERR'!A187 = "", "Validated", HYPERLINK("#" &amp; ADDRESS(ROW('6161-S-WUO_TRK'!A187), '6161-S-WUO_TRK'!A187), _xlfn.TEXTAFTER('6161-S-WUO_ERR'!A187, ":"))))</f>
        <v>0</v>
      </c>
    </row>
    <row r="188" spans="1:1">
      <c r="A188" s="39">
        <f>IF('6161 - Wallpaper (S)'!B188 = "", "", IF('6161-S-WUO_ERR'!A188 = "", "Validated", HYPERLINK("#" &amp; ADDRESS(ROW('6161-S-WUO_TRK'!A188), '6161-S-WUO_TRK'!A188), _xlfn.TEXTAFTER('6161-S-WUO_ERR'!A188, ":"))))</f>
        <v>0</v>
      </c>
    </row>
    <row r="189" spans="1:1">
      <c r="A189" s="39">
        <f>IF('6161 - Wallpaper (S)'!B189 = "", "", IF('6161-S-WUO_ERR'!A189 = "", "Validated", HYPERLINK("#" &amp; ADDRESS(ROW('6161-S-WUO_TRK'!A189), '6161-S-WUO_TRK'!A189), _xlfn.TEXTAFTER('6161-S-WUO_ERR'!A189, ":"))))</f>
        <v>0</v>
      </c>
    </row>
    <row r="190" spans="1:1">
      <c r="A190" s="39">
        <f>IF('6161 - Wallpaper (S)'!B190 = "", "", IF('6161-S-WUO_ERR'!A190 = "", "Validated", HYPERLINK("#" &amp; ADDRESS(ROW('6161-S-WUO_TRK'!A190), '6161-S-WUO_TRK'!A190), _xlfn.TEXTAFTER('6161-S-WUO_ERR'!A190, ":"))))</f>
        <v>0</v>
      </c>
    </row>
    <row r="191" spans="1:1">
      <c r="A191" s="39">
        <f>IF('6161 - Wallpaper (S)'!B191 = "", "", IF('6161-S-WUO_ERR'!A191 = "", "Validated", HYPERLINK("#" &amp; ADDRESS(ROW('6161-S-WUO_TRK'!A191), '6161-S-WUO_TRK'!A191), _xlfn.TEXTAFTER('6161-S-WUO_ERR'!A191, ":"))))</f>
        <v>0</v>
      </c>
    </row>
    <row r="192" spans="1:1">
      <c r="A192" s="39">
        <f>IF('6161 - Wallpaper (S)'!B192 = "", "", IF('6161-S-WUO_ERR'!A192 = "", "Validated", HYPERLINK("#" &amp; ADDRESS(ROW('6161-S-WUO_TRK'!A192), '6161-S-WUO_TRK'!A192), _xlfn.TEXTAFTER('6161-S-WUO_ERR'!A192, ":"))))</f>
        <v>0</v>
      </c>
    </row>
    <row r="193" spans="1:1">
      <c r="A193" s="39">
        <f>IF('6161 - Wallpaper (S)'!B193 = "", "", IF('6161-S-WUO_ERR'!A193 = "", "Validated", HYPERLINK("#" &amp; ADDRESS(ROW('6161-S-WUO_TRK'!A193), '6161-S-WUO_TRK'!A193), _xlfn.TEXTAFTER('6161-S-WUO_ERR'!A193, ":"))))</f>
        <v>0</v>
      </c>
    </row>
    <row r="194" spans="1:1">
      <c r="A194" s="39">
        <f>IF('6161 - Wallpaper (S)'!B194 = "", "", IF('6161-S-WUO_ERR'!A194 = "", "Validated", HYPERLINK("#" &amp; ADDRESS(ROW('6161-S-WUO_TRK'!A194), '6161-S-WUO_TRK'!A194), _xlfn.TEXTAFTER('6161-S-WUO_ERR'!A194, ":"))))</f>
        <v>0</v>
      </c>
    </row>
    <row r="195" spans="1:1">
      <c r="A195" s="39">
        <f>IF('6161 - Wallpaper (S)'!B195 = "", "", IF('6161-S-WUO_ERR'!A195 = "", "Validated", HYPERLINK("#" &amp; ADDRESS(ROW('6161-S-WUO_TRK'!A195), '6161-S-WUO_TRK'!A195), _xlfn.TEXTAFTER('6161-S-WUO_ERR'!A195, ":"))))</f>
        <v>0</v>
      </c>
    </row>
    <row r="196" spans="1:1">
      <c r="A196" s="39">
        <f>IF('6161 - Wallpaper (S)'!B196 = "", "", IF('6161-S-WUO_ERR'!A196 = "", "Validated", HYPERLINK("#" &amp; ADDRESS(ROW('6161-S-WUO_TRK'!A196), '6161-S-WUO_TRK'!A196), _xlfn.TEXTAFTER('6161-S-WUO_ERR'!A196, ":"))))</f>
        <v>0</v>
      </c>
    </row>
    <row r="197" spans="1:1">
      <c r="A197" s="39">
        <f>IF('6161 - Wallpaper (S)'!B197 = "", "", IF('6161-S-WUO_ERR'!A197 = "", "Validated", HYPERLINK("#" &amp; ADDRESS(ROW('6161-S-WUO_TRK'!A197), '6161-S-WUO_TRK'!A197), _xlfn.TEXTAFTER('6161-S-WUO_ERR'!A197, ":"))))</f>
        <v>0</v>
      </c>
    </row>
    <row r="198" spans="1:1">
      <c r="A198" s="39">
        <f>IF('6161 - Wallpaper (S)'!B198 = "", "", IF('6161-S-WUO_ERR'!A198 = "", "Validated", HYPERLINK("#" &amp; ADDRESS(ROW('6161-S-WUO_TRK'!A198), '6161-S-WUO_TRK'!A198), _xlfn.TEXTAFTER('6161-S-WUO_ERR'!A198, ":"))))</f>
        <v>0</v>
      </c>
    </row>
    <row r="199" spans="1:1">
      <c r="A199" s="39">
        <f>IF('6161 - Wallpaper (S)'!B199 = "", "", IF('6161-S-WUO_ERR'!A199 = "", "Validated", HYPERLINK("#" &amp; ADDRESS(ROW('6161-S-WUO_TRK'!A199), '6161-S-WUO_TRK'!A199), _xlfn.TEXTAFTER('6161-S-WUO_ERR'!A199, ":"))))</f>
        <v>0</v>
      </c>
    </row>
    <row r="200" spans="1:1">
      <c r="A200" s="39">
        <f>IF('6161 - Wallpaper (S)'!B200 = "", "", IF('6161-S-WUO_ERR'!A200 = "", "Validated", HYPERLINK("#" &amp; ADDRESS(ROW('6161-S-WUO_TRK'!A200), '6161-S-WUO_TRK'!A200), _xlfn.TEXTAFTER('6161-S-WUO_ERR'!A200, ":"))))</f>
        <v>0</v>
      </c>
    </row>
    <row r="201" spans="1:1">
      <c r="A201" s="39">
        <f>IF('6161 - Wallpaper (S)'!B201 = "", "", IF('6161-S-WUO_ERR'!A201 = "", "Validated", HYPERLINK("#" &amp; ADDRESS(ROW('6161-S-WUO_TRK'!A201), '6161-S-WUO_TRK'!A201), _xlfn.TEXTAFTER('6161-S-WUO_ERR'!A201, ":"))))</f>
        <v>0</v>
      </c>
    </row>
    <row r="202" spans="1:1">
      <c r="A202" s="39">
        <f>IF('6161 - Wallpaper (S)'!B202 = "", "", IF('6161-S-WUO_ERR'!A202 = "", "Validated", HYPERLINK("#" &amp; ADDRESS(ROW('6161-S-WUO_TRK'!A202), '6161-S-WUO_TRK'!A202), _xlfn.TEXTAFTER('6161-S-WUO_ERR'!A202, ":"))))</f>
        <v>0</v>
      </c>
    </row>
    <row r="203" spans="1:1">
      <c r="A203" s="39">
        <f>IF('6161 - Wallpaper (S)'!B203 = "", "", IF('6161-S-WUO_ERR'!A203 = "", "Validated", HYPERLINK("#" &amp; ADDRESS(ROW('6161-S-WUO_TRK'!A203), '6161-S-WUO_TRK'!A203), _xlfn.TEXTAFTER('6161-S-WUO_ERR'!A203, ":"))))</f>
        <v>0</v>
      </c>
    </row>
    <row r="204" spans="1:1">
      <c r="A204" s="39">
        <f>IF('6161 - Wallpaper (S)'!B204 = "", "", IF('6161-S-WUO_ERR'!A204 = "", "Validated", HYPERLINK("#" &amp; ADDRESS(ROW('6161-S-WUO_TRK'!A204), '6161-S-WUO_TRK'!A204), _xlfn.TEXTAFTER('6161-S-WUO_ERR'!A204, ":"))))</f>
        <v>0</v>
      </c>
    </row>
    <row r="205" spans="1:1">
      <c r="A205" s="39">
        <f>IF('6161 - Wallpaper (S)'!B205 = "", "", IF('6161-S-WUO_ERR'!A205 = "", "Validated", HYPERLINK("#" &amp; ADDRESS(ROW('6161-S-WUO_TRK'!A205), '6161-S-WUO_TRK'!A205), _xlfn.TEXTAFTER('6161-S-WUO_ERR'!A205, ":"))))</f>
        <v>0</v>
      </c>
    </row>
    <row r="206" spans="1:1">
      <c r="A206" s="39">
        <f>IF('6161 - Wallpaper (S)'!B206 = "", "", IF('6161-S-WUO_ERR'!A206 = "", "Validated", HYPERLINK("#" &amp; ADDRESS(ROW('6161-S-WUO_TRK'!A206), '6161-S-WUO_TRK'!A206), _xlfn.TEXTAFTER('6161-S-WUO_ERR'!A206, ":"))))</f>
        <v>0</v>
      </c>
    </row>
    <row r="207" spans="1:1">
      <c r="A207" s="39">
        <f>IF('6161 - Wallpaper (S)'!B207 = "", "", IF('6161-S-WUO_ERR'!A207 = "", "Validated", HYPERLINK("#" &amp; ADDRESS(ROW('6161-S-WUO_TRK'!A207), '6161-S-WUO_TRK'!A207), _xlfn.TEXTAFTER('6161-S-WUO_ERR'!A207, ":"))))</f>
        <v>0</v>
      </c>
    </row>
    <row r="208" spans="1:1">
      <c r="A208" s="39">
        <f>IF('6161 - Wallpaper (S)'!B208 = "", "", IF('6161-S-WUO_ERR'!A208 = "", "Validated", HYPERLINK("#" &amp; ADDRESS(ROW('6161-S-WUO_TRK'!A208), '6161-S-WUO_TRK'!A208), _xlfn.TEXTAFTER('6161-S-WUO_ERR'!A208, ":"))))</f>
        <v>0</v>
      </c>
    </row>
    <row r="209" spans="1:1">
      <c r="A209" s="39">
        <f>IF('6161 - Wallpaper (S)'!B209 = "", "", IF('6161-S-WUO_ERR'!A209 = "", "Validated", HYPERLINK("#" &amp; ADDRESS(ROW('6161-S-WUO_TRK'!A209), '6161-S-WUO_TRK'!A209), _xlfn.TEXTAFTER('6161-S-WUO_ERR'!A209, ":"))))</f>
        <v>0</v>
      </c>
    </row>
    <row r="210" spans="1:1">
      <c r="A210" s="39">
        <f>IF('6161 - Wallpaper (S)'!B210 = "", "", IF('6161-S-WUO_ERR'!A210 = "", "Validated", HYPERLINK("#" &amp; ADDRESS(ROW('6161-S-WUO_TRK'!A210), '6161-S-WUO_TRK'!A210), _xlfn.TEXTAFTER('6161-S-WUO_ERR'!A210, ":"))))</f>
        <v>0</v>
      </c>
    </row>
    <row r="211" spans="1:1">
      <c r="A211" s="39">
        <f>IF('6161 - Wallpaper (S)'!B211 = "", "", IF('6161-S-WUO_ERR'!A211 = "", "Validated", HYPERLINK("#" &amp; ADDRESS(ROW('6161-S-WUO_TRK'!A211), '6161-S-WUO_TRK'!A211), _xlfn.TEXTAFTER('6161-S-WUO_ERR'!A211, ":"))))</f>
        <v>0</v>
      </c>
    </row>
    <row r="212" spans="1:1">
      <c r="A212" s="39">
        <f>IF('6161 - Wallpaper (S)'!B212 = "", "", IF('6161-S-WUO_ERR'!A212 = "", "Validated", HYPERLINK("#" &amp; ADDRESS(ROW('6161-S-WUO_TRK'!A212), '6161-S-WUO_TRK'!A212), _xlfn.TEXTAFTER('6161-S-WUO_ERR'!A212, ":"))))</f>
        <v>0</v>
      </c>
    </row>
    <row r="213" spans="1:1">
      <c r="A213" s="39">
        <f>IF('6161 - Wallpaper (S)'!B213 = "", "", IF('6161-S-WUO_ERR'!A213 = "", "Validated", HYPERLINK("#" &amp; ADDRESS(ROW('6161-S-WUO_TRK'!A213), '6161-S-WUO_TRK'!A213), _xlfn.TEXTAFTER('6161-S-WUO_ERR'!A213, ":"))))</f>
        <v>0</v>
      </c>
    </row>
    <row r="214" spans="1:1">
      <c r="A214" s="39">
        <f>IF('6161 - Wallpaper (S)'!B214 = "", "", IF('6161-S-WUO_ERR'!A214 = "", "Validated", HYPERLINK("#" &amp; ADDRESS(ROW('6161-S-WUO_TRK'!A214), '6161-S-WUO_TRK'!A214), _xlfn.TEXTAFTER('6161-S-WUO_ERR'!A214, ":"))))</f>
        <v>0</v>
      </c>
    </row>
    <row r="215" spans="1:1">
      <c r="A215" s="39">
        <f>IF('6161 - Wallpaper (S)'!B215 = "", "", IF('6161-S-WUO_ERR'!A215 = "", "Validated", HYPERLINK("#" &amp; ADDRESS(ROW('6161-S-WUO_TRK'!A215), '6161-S-WUO_TRK'!A215), _xlfn.TEXTAFTER('6161-S-WUO_ERR'!A215, ":"))))</f>
        <v>0</v>
      </c>
    </row>
    <row r="216" spans="1:1">
      <c r="A216" s="39">
        <f>IF('6161 - Wallpaper (S)'!B216 = "", "", IF('6161-S-WUO_ERR'!A216 = "", "Validated", HYPERLINK("#" &amp; ADDRESS(ROW('6161-S-WUO_TRK'!A216), '6161-S-WUO_TRK'!A216), _xlfn.TEXTAFTER('6161-S-WUO_ERR'!A216, ":"))))</f>
        <v>0</v>
      </c>
    </row>
    <row r="217" spans="1:1">
      <c r="A217" s="39">
        <f>IF('6161 - Wallpaper (S)'!B217 = "", "", IF('6161-S-WUO_ERR'!A217 = "", "Validated", HYPERLINK("#" &amp; ADDRESS(ROW('6161-S-WUO_TRK'!A217), '6161-S-WUO_TRK'!A217), _xlfn.TEXTAFTER('6161-S-WUO_ERR'!A217, ":"))))</f>
        <v>0</v>
      </c>
    </row>
    <row r="218" spans="1:1">
      <c r="A218" s="39">
        <f>IF('6161 - Wallpaper (S)'!B218 = "", "", IF('6161-S-WUO_ERR'!A218 = "", "Validated", HYPERLINK("#" &amp; ADDRESS(ROW('6161-S-WUO_TRK'!A218), '6161-S-WUO_TRK'!A218), _xlfn.TEXTAFTER('6161-S-WUO_ERR'!A218, ":"))))</f>
        <v>0</v>
      </c>
    </row>
    <row r="219" spans="1:1">
      <c r="A219" s="39">
        <f>IF('6161 - Wallpaper (S)'!B219 = "", "", IF('6161-S-WUO_ERR'!A219 = "", "Validated", HYPERLINK("#" &amp; ADDRESS(ROW('6161-S-WUO_TRK'!A219), '6161-S-WUO_TRK'!A219), _xlfn.TEXTAFTER('6161-S-WUO_ERR'!A219, ":"))))</f>
        <v>0</v>
      </c>
    </row>
    <row r="220" spans="1:1">
      <c r="A220" s="39">
        <f>IF('6161 - Wallpaper (S)'!B220 = "", "", IF('6161-S-WUO_ERR'!A220 = "", "Validated", HYPERLINK("#" &amp; ADDRESS(ROW('6161-S-WUO_TRK'!A220), '6161-S-WUO_TRK'!A220), _xlfn.TEXTAFTER('6161-S-WUO_ERR'!A220, ":"))))</f>
        <v>0</v>
      </c>
    </row>
    <row r="221" spans="1:1">
      <c r="A221" s="39">
        <f>IF('6161 - Wallpaper (S)'!B221 = "", "", IF('6161-S-WUO_ERR'!A221 = "", "Validated", HYPERLINK("#" &amp; ADDRESS(ROW('6161-S-WUO_TRK'!A221), '6161-S-WUO_TRK'!A221), _xlfn.TEXTAFTER('6161-S-WUO_ERR'!A221, ":"))))</f>
        <v>0</v>
      </c>
    </row>
    <row r="222" spans="1:1">
      <c r="A222" s="39">
        <f>IF('6161 - Wallpaper (S)'!B222 = "", "", IF('6161-S-WUO_ERR'!A222 = "", "Validated", HYPERLINK("#" &amp; ADDRESS(ROW('6161-S-WUO_TRK'!A222), '6161-S-WUO_TRK'!A222), _xlfn.TEXTAFTER('6161-S-WUO_ERR'!A222, ":"))))</f>
        <v>0</v>
      </c>
    </row>
    <row r="223" spans="1:1">
      <c r="A223" s="39">
        <f>IF('6161 - Wallpaper (S)'!B223 = "", "", IF('6161-S-WUO_ERR'!A223 = "", "Validated", HYPERLINK("#" &amp; ADDRESS(ROW('6161-S-WUO_TRK'!A223), '6161-S-WUO_TRK'!A223), _xlfn.TEXTAFTER('6161-S-WUO_ERR'!A223, ":"))))</f>
        <v>0</v>
      </c>
    </row>
    <row r="224" spans="1:1">
      <c r="A224" s="39">
        <f>IF('6161 - Wallpaper (S)'!B224 = "", "", IF('6161-S-WUO_ERR'!A224 = "", "Validated", HYPERLINK("#" &amp; ADDRESS(ROW('6161-S-WUO_TRK'!A224), '6161-S-WUO_TRK'!A224), _xlfn.TEXTAFTER('6161-S-WUO_ERR'!A224, ":"))))</f>
        <v>0</v>
      </c>
    </row>
    <row r="225" spans="1:1">
      <c r="A225" s="39">
        <f>IF('6161 - Wallpaper (S)'!B225 = "", "", IF('6161-S-WUO_ERR'!A225 = "", "Validated", HYPERLINK("#" &amp; ADDRESS(ROW('6161-S-WUO_TRK'!A225), '6161-S-WUO_TRK'!A225), _xlfn.TEXTAFTER('6161-S-WUO_ERR'!A225, ":"))))</f>
        <v>0</v>
      </c>
    </row>
    <row r="226" spans="1:1">
      <c r="A226" s="39">
        <f>IF('6161 - Wallpaper (S)'!B226 = "", "", IF('6161-S-WUO_ERR'!A226 = "", "Validated", HYPERLINK("#" &amp; ADDRESS(ROW('6161-S-WUO_TRK'!A226), '6161-S-WUO_TRK'!A226), _xlfn.TEXTAFTER('6161-S-WUO_ERR'!A226, ":"))))</f>
        <v>0</v>
      </c>
    </row>
    <row r="227" spans="1:1">
      <c r="A227" s="39">
        <f>IF('6161 - Wallpaper (S)'!B227 = "", "", IF('6161-S-WUO_ERR'!A227 = "", "Validated", HYPERLINK("#" &amp; ADDRESS(ROW('6161-S-WUO_TRK'!A227), '6161-S-WUO_TRK'!A227), _xlfn.TEXTAFTER('6161-S-WUO_ERR'!A227, ":"))))</f>
        <v>0</v>
      </c>
    </row>
    <row r="228" spans="1:1">
      <c r="A228" s="39">
        <f>IF('6161 - Wallpaper (S)'!B228 = "", "", IF('6161-S-WUO_ERR'!A228 = "", "Validated", HYPERLINK("#" &amp; ADDRESS(ROW('6161-S-WUO_TRK'!A228), '6161-S-WUO_TRK'!A228), _xlfn.TEXTAFTER('6161-S-WUO_ERR'!A228, ":"))))</f>
        <v>0</v>
      </c>
    </row>
    <row r="229" spans="1:1">
      <c r="A229" s="39">
        <f>IF('6161 - Wallpaper (S)'!B229 = "", "", IF('6161-S-WUO_ERR'!A229 = "", "Validated", HYPERLINK("#" &amp; ADDRESS(ROW('6161-S-WUO_TRK'!A229), '6161-S-WUO_TRK'!A229), _xlfn.TEXTAFTER('6161-S-WUO_ERR'!A229, ":"))))</f>
        <v>0</v>
      </c>
    </row>
    <row r="230" spans="1:1">
      <c r="A230" s="39">
        <f>IF('6161 - Wallpaper (S)'!B230 = "", "", IF('6161-S-WUO_ERR'!A230 = "", "Validated", HYPERLINK("#" &amp; ADDRESS(ROW('6161-S-WUO_TRK'!A230), '6161-S-WUO_TRK'!A230), _xlfn.TEXTAFTER('6161-S-WUO_ERR'!A230, ":"))))</f>
        <v>0</v>
      </c>
    </row>
    <row r="231" spans="1:1">
      <c r="A231" s="39">
        <f>IF('6161 - Wallpaper (S)'!B231 = "", "", IF('6161-S-WUO_ERR'!A231 = "", "Validated", HYPERLINK("#" &amp; ADDRESS(ROW('6161-S-WUO_TRK'!A231), '6161-S-WUO_TRK'!A231), _xlfn.TEXTAFTER('6161-S-WUO_ERR'!A231, ":"))))</f>
        <v>0</v>
      </c>
    </row>
    <row r="232" spans="1:1">
      <c r="A232" s="39">
        <f>IF('6161 - Wallpaper (S)'!B232 = "", "", IF('6161-S-WUO_ERR'!A232 = "", "Validated", HYPERLINK("#" &amp; ADDRESS(ROW('6161-S-WUO_TRK'!A232), '6161-S-WUO_TRK'!A232), _xlfn.TEXTAFTER('6161-S-WUO_ERR'!A232, ":"))))</f>
        <v>0</v>
      </c>
    </row>
    <row r="233" spans="1:1">
      <c r="A233" s="39">
        <f>IF('6161 - Wallpaper (S)'!B233 = "", "", IF('6161-S-WUO_ERR'!A233 = "", "Validated", HYPERLINK("#" &amp; ADDRESS(ROW('6161-S-WUO_TRK'!A233), '6161-S-WUO_TRK'!A233), _xlfn.TEXTAFTER('6161-S-WUO_ERR'!A233, ":"))))</f>
        <v>0</v>
      </c>
    </row>
    <row r="234" spans="1:1">
      <c r="A234" s="39">
        <f>IF('6161 - Wallpaper (S)'!B234 = "", "", IF('6161-S-WUO_ERR'!A234 = "", "Validated", HYPERLINK("#" &amp; ADDRESS(ROW('6161-S-WUO_TRK'!A234), '6161-S-WUO_TRK'!A234), _xlfn.TEXTAFTER('6161-S-WUO_ERR'!A234, ":"))))</f>
        <v>0</v>
      </c>
    </row>
    <row r="235" spans="1:1">
      <c r="A235" s="39">
        <f>IF('6161 - Wallpaper (S)'!B235 = "", "", IF('6161-S-WUO_ERR'!A235 = "", "Validated", HYPERLINK("#" &amp; ADDRESS(ROW('6161-S-WUO_TRK'!A235), '6161-S-WUO_TRK'!A235), _xlfn.TEXTAFTER('6161-S-WUO_ERR'!A235, ":"))))</f>
        <v>0</v>
      </c>
    </row>
    <row r="236" spans="1:1">
      <c r="A236" s="39">
        <f>IF('6161 - Wallpaper (S)'!B236 = "", "", IF('6161-S-WUO_ERR'!A236 = "", "Validated", HYPERLINK("#" &amp; ADDRESS(ROW('6161-S-WUO_TRK'!A236), '6161-S-WUO_TRK'!A236), _xlfn.TEXTAFTER('6161-S-WUO_ERR'!A236, ":"))))</f>
        <v>0</v>
      </c>
    </row>
    <row r="237" spans="1:1">
      <c r="A237" s="39">
        <f>IF('6161 - Wallpaper (S)'!B237 = "", "", IF('6161-S-WUO_ERR'!A237 = "", "Validated", HYPERLINK("#" &amp; ADDRESS(ROW('6161-S-WUO_TRK'!A237), '6161-S-WUO_TRK'!A237), _xlfn.TEXTAFTER('6161-S-WUO_ERR'!A237, ":"))))</f>
        <v>0</v>
      </c>
    </row>
    <row r="238" spans="1:1">
      <c r="A238" s="39">
        <f>IF('6161 - Wallpaper (S)'!B238 = "", "", IF('6161-S-WUO_ERR'!A238 = "", "Validated", HYPERLINK("#" &amp; ADDRESS(ROW('6161-S-WUO_TRK'!A238), '6161-S-WUO_TRK'!A238), _xlfn.TEXTAFTER('6161-S-WUO_ERR'!A238, ":"))))</f>
        <v>0</v>
      </c>
    </row>
    <row r="239" spans="1:1">
      <c r="A239" s="39">
        <f>IF('6161 - Wallpaper (S)'!B239 = "", "", IF('6161-S-WUO_ERR'!A239 = "", "Validated", HYPERLINK("#" &amp; ADDRESS(ROW('6161-S-WUO_TRK'!A239), '6161-S-WUO_TRK'!A239), _xlfn.TEXTAFTER('6161-S-WUO_ERR'!A239, ":"))))</f>
        <v>0</v>
      </c>
    </row>
    <row r="240" spans="1:1">
      <c r="A240" s="39">
        <f>IF('6161 - Wallpaper (S)'!B240 = "", "", IF('6161-S-WUO_ERR'!A240 = "", "Validated", HYPERLINK("#" &amp; ADDRESS(ROW('6161-S-WUO_TRK'!A240), '6161-S-WUO_TRK'!A240), _xlfn.TEXTAFTER('6161-S-WUO_ERR'!A240, ":"))))</f>
        <v>0</v>
      </c>
    </row>
    <row r="241" spans="1:1">
      <c r="A241" s="39">
        <f>IF('6161 - Wallpaper (S)'!B241 = "", "", IF('6161-S-WUO_ERR'!A241 = "", "Validated", HYPERLINK("#" &amp; ADDRESS(ROW('6161-S-WUO_TRK'!A241), '6161-S-WUO_TRK'!A241), _xlfn.TEXTAFTER('6161-S-WUO_ERR'!A241, ":"))))</f>
        <v>0</v>
      </c>
    </row>
    <row r="242" spans="1:1">
      <c r="A242" s="39">
        <f>IF('6161 - Wallpaper (S)'!B242 = "", "", IF('6161-S-WUO_ERR'!A242 = "", "Validated", HYPERLINK("#" &amp; ADDRESS(ROW('6161-S-WUO_TRK'!A242), '6161-S-WUO_TRK'!A242), _xlfn.TEXTAFTER('6161-S-WUO_ERR'!A242, ":"))))</f>
        <v>0</v>
      </c>
    </row>
    <row r="243" spans="1:1">
      <c r="A243" s="39">
        <f>IF('6161 - Wallpaper (S)'!B243 = "", "", IF('6161-S-WUO_ERR'!A243 = "", "Validated", HYPERLINK("#" &amp; ADDRESS(ROW('6161-S-WUO_TRK'!A243), '6161-S-WUO_TRK'!A243), _xlfn.TEXTAFTER('6161-S-WUO_ERR'!A243, ":"))))</f>
        <v>0</v>
      </c>
    </row>
    <row r="244" spans="1:1">
      <c r="A244" s="39">
        <f>IF('6161 - Wallpaper (S)'!B244 = "", "", IF('6161-S-WUO_ERR'!A244 = "", "Validated", HYPERLINK("#" &amp; ADDRESS(ROW('6161-S-WUO_TRK'!A244), '6161-S-WUO_TRK'!A244), _xlfn.TEXTAFTER('6161-S-WUO_ERR'!A244, ":"))))</f>
        <v>0</v>
      </c>
    </row>
    <row r="245" spans="1:1">
      <c r="A245" s="39">
        <f>IF('6161 - Wallpaper (S)'!B245 = "", "", IF('6161-S-WUO_ERR'!A245 = "", "Validated", HYPERLINK("#" &amp; ADDRESS(ROW('6161-S-WUO_TRK'!A245), '6161-S-WUO_TRK'!A245), _xlfn.TEXTAFTER('6161-S-WUO_ERR'!A245, ":"))))</f>
        <v>0</v>
      </c>
    </row>
    <row r="246" spans="1:1">
      <c r="A246" s="39">
        <f>IF('6161 - Wallpaper (S)'!B246 = "", "", IF('6161-S-WUO_ERR'!A246 = "", "Validated", HYPERLINK("#" &amp; ADDRESS(ROW('6161-S-WUO_TRK'!A246), '6161-S-WUO_TRK'!A246), _xlfn.TEXTAFTER('6161-S-WUO_ERR'!A246, ":"))))</f>
        <v>0</v>
      </c>
    </row>
    <row r="247" spans="1:1">
      <c r="A247" s="39">
        <f>IF('6161 - Wallpaper (S)'!B247 = "", "", IF('6161-S-WUO_ERR'!A247 = "", "Validated", HYPERLINK("#" &amp; ADDRESS(ROW('6161-S-WUO_TRK'!A247), '6161-S-WUO_TRK'!A247), _xlfn.TEXTAFTER('6161-S-WUO_ERR'!A247, ":"))))</f>
        <v>0</v>
      </c>
    </row>
    <row r="248" spans="1:1">
      <c r="A248" s="39">
        <f>IF('6161 - Wallpaper (S)'!B248 = "", "", IF('6161-S-WUO_ERR'!A248 = "", "Validated", HYPERLINK("#" &amp; ADDRESS(ROW('6161-S-WUO_TRK'!A248), '6161-S-WUO_TRK'!A248), _xlfn.TEXTAFTER('6161-S-WUO_ERR'!A248, ":"))))</f>
        <v>0</v>
      </c>
    </row>
    <row r="249" spans="1:1">
      <c r="A249" s="39">
        <f>IF('6161 - Wallpaper (S)'!B249 = "", "", IF('6161-S-WUO_ERR'!A249 = "", "Validated", HYPERLINK("#" &amp; ADDRESS(ROW('6161-S-WUO_TRK'!A249), '6161-S-WUO_TRK'!A249), _xlfn.TEXTAFTER('6161-S-WUO_ERR'!A249, ":"))))</f>
        <v>0</v>
      </c>
    </row>
    <row r="250" spans="1:1">
      <c r="A250" s="39">
        <f>IF('6161 - Wallpaper (S)'!B250 = "", "", IF('6161-S-WUO_ERR'!A250 = "", "Validated", HYPERLINK("#" &amp; ADDRESS(ROW('6161-S-WUO_TRK'!A250), '6161-S-WUO_TRK'!A250), _xlfn.TEXTAFTER('6161-S-WUO_ERR'!A250, ":"))))</f>
        <v>0</v>
      </c>
    </row>
    <row r="251" spans="1:1">
      <c r="A251" s="39">
        <f>IF('6161 - Wallpaper (S)'!B251 = "", "", IF('6161-S-WUO_ERR'!A251 = "", "Validated", HYPERLINK("#" &amp; ADDRESS(ROW('6161-S-WUO_TRK'!A251), '6161-S-WUO_TRK'!A251), _xlfn.TEXTAFTER('6161-S-WUO_ERR'!A251, ":"))))</f>
        <v>0</v>
      </c>
    </row>
    <row r="252" spans="1:1">
      <c r="A252" s="39">
        <f>IF('6161 - Wallpaper (S)'!B252 = "", "", IF('6161-S-WUO_ERR'!A252 = "", "Validated", HYPERLINK("#" &amp; ADDRESS(ROW('6161-S-WUO_TRK'!A252), '6161-S-WUO_TRK'!A252), _xlfn.TEXTAFTER('6161-S-WUO_ERR'!A252, ":"))))</f>
        <v>0</v>
      </c>
    </row>
    <row r="253" spans="1:1">
      <c r="A253" s="39">
        <f>IF('6161 - Wallpaper (S)'!B253 = "", "", IF('6161-S-WUO_ERR'!A253 = "", "Validated", HYPERLINK("#" &amp; ADDRESS(ROW('6161-S-WUO_TRK'!A253), '6161-S-WUO_TRK'!A253), _xlfn.TEXTAFTER('6161-S-WUO_ERR'!A253, ":"))))</f>
        <v>0</v>
      </c>
    </row>
    <row r="254" spans="1:1">
      <c r="A254" s="39">
        <f>IF('6161 - Wallpaper (S)'!B254 = "", "", IF('6161-S-WUO_ERR'!A254 = "", "Validated", HYPERLINK("#" &amp; ADDRESS(ROW('6161-S-WUO_TRK'!A254), '6161-S-WUO_TRK'!A254), _xlfn.TEXTAFTER('6161-S-WUO_ERR'!A254, ":"))))</f>
        <v>0</v>
      </c>
    </row>
    <row r="255" spans="1:1">
      <c r="A255" s="39">
        <f>IF('6161 - Wallpaper (S)'!B255 = "", "", IF('6161-S-WUO_ERR'!A255 = "", "Validated", HYPERLINK("#" &amp; ADDRESS(ROW('6161-S-WUO_TRK'!A255), '6161-S-WUO_TRK'!A255), _xlfn.TEXTAFTER('6161-S-WUO_ERR'!A255, ":"))))</f>
        <v>0</v>
      </c>
    </row>
    <row r="256" spans="1:1">
      <c r="A256" s="39">
        <f>IF('6161 - Wallpaper (S)'!B256 = "", "", IF('6161-S-WUO_ERR'!A256 = "", "Validated", HYPERLINK("#" &amp; ADDRESS(ROW('6161-S-WUO_TRK'!A256), '6161-S-WUO_TRK'!A256), _xlfn.TEXTAFTER('6161-S-WUO_ERR'!A256, ":"))))</f>
        <v>0</v>
      </c>
    </row>
    <row r="257" spans="1:1">
      <c r="A257" s="39">
        <f>IF('6161 - Wallpaper (S)'!B257 = "", "", IF('6161-S-WUO_ERR'!A257 = "", "Validated", HYPERLINK("#" &amp; ADDRESS(ROW('6161-S-WUO_TRK'!A257), '6161-S-WUO_TRK'!A257), _xlfn.TEXTAFTER('6161-S-WUO_ERR'!A257, ":"))))</f>
        <v>0</v>
      </c>
    </row>
    <row r="258" spans="1:1">
      <c r="A258" s="39">
        <f>IF('6161 - Wallpaper (S)'!B258 = "", "", IF('6161-S-WUO_ERR'!A258 = "", "Validated", HYPERLINK("#" &amp; ADDRESS(ROW('6161-S-WUO_TRK'!A258), '6161-S-WUO_TRK'!A258), _xlfn.TEXTAFTER('6161-S-WUO_ERR'!A258, ":"))))</f>
        <v>0</v>
      </c>
    </row>
    <row r="259" spans="1:1">
      <c r="A259" s="39">
        <f>IF('6161 - Wallpaper (S)'!B259 = "", "", IF('6161-S-WUO_ERR'!A259 = "", "Validated", HYPERLINK("#" &amp; ADDRESS(ROW('6161-S-WUO_TRK'!A259), '6161-S-WUO_TRK'!A259), _xlfn.TEXTAFTER('6161-S-WUO_ERR'!A259, ":"))))</f>
        <v>0</v>
      </c>
    </row>
    <row r="260" spans="1:1">
      <c r="A260" s="39">
        <f>IF('6161 - Wallpaper (S)'!B260 = "", "", IF('6161-S-WUO_ERR'!A260 = "", "Validated", HYPERLINK("#" &amp; ADDRESS(ROW('6161-S-WUO_TRK'!A260), '6161-S-WUO_TRK'!A260), _xlfn.TEXTAFTER('6161-S-WUO_ERR'!A260, ":"))))</f>
        <v>0</v>
      </c>
    </row>
    <row r="261" spans="1:1">
      <c r="A261" s="39">
        <f>IF('6161 - Wallpaper (S)'!B261 = "", "", IF('6161-S-WUO_ERR'!A261 = "", "Validated", HYPERLINK("#" &amp; ADDRESS(ROW('6161-S-WUO_TRK'!A261), '6161-S-WUO_TRK'!A261), _xlfn.TEXTAFTER('6161-S-WUO_ERR'!A261, ":"))))</f>
        <v>0</v>
      </c>
    </row>
    <row r="262" spans="1:1">
      <c r="A262" s="39">
        <f>IF('6161 - Wallpaper (S)'!B262 = "", "", IF('6161-S-WUO_ERR'!A262 = "", "Validated", HYPERLINK("#" &amp; ADDRESS(ROW('6161-S-WUO_TRK'!A262), '6161-S-WUO_TRK'!A262), _xlfn.TEXTAFTER('6161-S-WUO_ERR'!A262, ":"))))</f>
        <v>0</v>
      </c>
    </row>
    <row r="263" spans="1:1">
      <c r="A263" s="39">
        <f>IF('6161 - Wallpaper (S)'!B263 = "", "", IF('6161-S-WUO_ERR'!A263 = "", "Validated", HYPERLINK("#" &amp; ADDRESS(ROW('6161-S-WUO_TRK'!A263), '6161-S-WUO_TRK'!A263), _xlfn.TEXTAFTER('6161-S-WUO_ERR'!A263, ":"))))</f>
        <v>0</v>
      </c>
    </row>
    <row r="264" spans="1:1">
      <c r="A264" s="39">
        <f>IF('6161 - Wallpaper (S)'!B264 = "", "", IF('6161-S-WUO_ERR'!A264 = "", "Validated", HYPERLINK("#" &amp; ADDRESS(ROW('6161-S-WUO_TRK'!A264), '6161-S-WUO_TRK'!A264), _xlfn.TEXTAFTER('6161-S-WUO_ERR'!A264, ":"))))</f>
        <v>0</v>
      </c>
    </row>
    <row r="265" spans="1:1">
      <c r="A265" s="39">
        <f>IF('6161 - Wallpaper (S)'!B265 = "", "", IF('6161-S-WUO_ERR'!A265 = "", "Validated", HYPERLINK("#" &amp; ADDRESS(ROW('6161-S-WUO_TRK'!A265), '6161-S-WUO_TRK'!A265), _xlfn.TEXTAFTER('6161-S-WUO_ERR'!A265, ":"))))</f>
        <v>0</v>
      </c>
    </row>
    <row r="266" spans="1:1">
      <c r="A266" s="39">
        <f>IF('6161 - Wallpaper (S)'!B266 = "", "", IF('6161-S-WUO_ERR'!A266 = "", "Validated", HYPERLINK("#" &amp; ADDRESS(ROW('6161-S-WUO_TRK'!A266), '6161-S-WUO_TRK'!A266), _xlfn.TEXTAFTER('6161-S-WUO_ERR'!A266, ":"))))</f>
        <v>0</v>
      </c>
    </row>
    <row r="267" spans="1:1">
      <c r="A267" s="39">
        <f>IF('6161 - Wallpaper (S)'!B267 = "", "", IF('6161-S-WUO_ERR'!A267 = "", "Validated", HYPERLINK("#" &amp; ADDRESS(ROW('6161-S-WUO_TRK'!A267), '6161-S-WUO_TRK'!A267), _xlfn.TEXTAFTER('6161-S-WUO_ERR'!A267, ":"))))</f>
        <v>0</v>
      </c>
    </row>
    <row r="268" spans="1:1">
      <c r="A268" s="39">
        <f>IF('6161 - Wallpaper (S)'!B268 = "", "", IF('6161-S-WUO_ERR'!A268 = "", "Validated", HYPERLINK("#" &amp; ADDRESS(ROW('6161-S-WUO_TRK'!A268), '6161-S-WUO_TRK'!A268), _xlfn.TEXTAFTER('6161-S-WUO_ERR'!A268, ":"))))</f>
        <v>0</v>
      </c>
    </row>
    <row r="269" spans="1:1">
      <c r="A269" s="39">
        <f>IF('6161 - Wallpaper (S)'!B269 = "", "", IF('6161-S-WUO_ERR'!A269 = "", "Validated", HYPERLINK("#" &amp; ADDRESS(ROW('6161-S-WUO_TRK'!A269), '6161-S-WUO_TRK'!A269), _xlfn.TEXTAFTER('6161-S-WUO_ERR'!A269, ":"))))</f>
        <v>0</v>
      </c>
    </row>
    <row r="270" spans="1:1">
      <c r="A270" s="39">
        <f>IF('6161 - Wallpaper (S)'!B270 = "", "", IF('6161-S-WUO_ERR'!A270 = "", "Validated", HYPERLINK("#" &amp; ADDRESS(ROW('6161-S-WUO_TRK'!A270), '6161-S-WUO_TRK'!A270), _xlfn.TEXTAFTER('6161-S-WUO_ERR'!A270, ":"))))</f>
        <v>0</v>
      </c>
    </row>
    <row r="271" spans="1:1">
      <c r="A271" s="39">
        <f>IF('6161 - Wallpaper (S)'!B271 = "", "", IF('6161-S-WUO_ERR'!A271 = "", "Validated", HYPERLINK("#" &amp; ADDRESS(ROW('6161-S-WUO_TRK'!A271), '6161-S-WUO_TRK'!A271), _xlfn.TEXTAFTER('6161-S-WUO_ERR'!A271, ":"))))</f>
        <v>0</v>
      </c>
    </row>
    <row r="272" spans="1:1">
      <c r="A272" s="39">
        <f>IF('6161 - Wallpaper (S)'!B272 = "", "", IF('6161-S-WUO_ERR'!A272 = "", "Validated", HYPERLINK("#" &amp; ADDRESS(ROW('6161-S-WUO_TRK'!A272), '6161-S-WUO_TRK'!A272), _xlfn.TEXTAFTER('6161-S-WUO_ERR'!A272, ":"))))</f>
        <v>0</v>
      </c>
    </row>
    <row r="273" spans="1:1">
      <c r="A273" s="39">
        <f>IF('6161 - Wallpaper (S)'!B273 = "", "", IF('6161-S-WUO_ERR'!A273 = "", "Validated", HYPERLINK("#" &amp; ADDRESS(ROW('6161-S-WUO_TRK'!A273), '6161-S-WUO_TRK'!A273), _xlfn.TEXTAFTER('6161-S-WUO_ERR'!A273, ":"))))</f>
        <v>0</v>
      </c>
    </row>
    <row r="274" spans="1:1">
      <c r="A274" s="39">
        <f>IF('6161 - Wallpaper (S)'!B274 = "", "", IF('6161-S-WUO_ERR'!A274 = "", "Validated", HYPERLINK("#" &amp; ADDRESS(ROW('6161-S-WUO_TRK'!A274), '6161-S-WUO_TRK'!A274), _xlfn.TEXTAFTER('6161-S-WUO_ERR'!A274, ":"))))</f>
        <v>0</v>
      </c>
    </row>
    <row r="275" spans="1:1">
      <c r="A275" s="39">
        <f>IF('6161 - Wallpaper (S)'!B275 = "", "", IF('6161-S-WUO_ERR'!A275 = "", "Validated", HYPERLINK("#" &amp; ADDRESS(ROW('6161-S-WUO_TRK'!A275), '6161-S-WUO_TRK'!A275), _xlfn.TEXTAFTER('6161-S-WUO_ERR'!A275, ":"))))</f>
        <v>0</v>
      </c>
    </row>
    <row r="276" spans="1:1">
      <c r="A276" s="39">
        <f>IF('6161 - Wallpaper (S)'!B276 = "", "", IF('6161-S-WUO_ERR'!A276 = "", "Validated", HYPERLINK("#" &amp; ADDRESS(ROW('6161-S-WUO_TRK'!A276), '6161-S-WUO_TRK'!A276), _xlfn.TEXTAFTER('6161-S-WUO_ERR'!A276, ":"))))</f>
        <v>0</v>
      </c>
    </row>
    <row r="277" spans="1:1">
      <c r="A277" s="39">
        <f>IF('6161 - Wallpaper (S)'!B277 = "", "", IF('6161-S-WUO_ERR'!A277 = "", "Validated", HYPERLINK("#" &amp; ADDRESS(ROW('6161-S-WUO_TRK'!A277), '6161-S-WUO_TRK'!A277), _xlfn.TEXTAFTER('6161-S-WUO_ERR'!A277, ":"))))</f>
        <v>0</v>
      </c>
    </row>
    <row r="278" spans="1:1">
      <c r="A278" s="39">
        <f>IF('6161 - Wallpaper (S)'!B278 = "", "", IF('6161-S-WUO_ERR'!A278 = "", "Validated", HYPERLINK("#" &amp; ADDRESS(ROW('6161-S-WUO_TRK'!A278), '6161-S-WUO_TRK'!A278), _xlfn.TEXTAFTER('6161-S-WUO_ERR'!A278, ":"))))</f>
        <v>0</v>
      </c>
    </row>
    <row r="279" spans="1:1">
      <c r="A279" s="39">
        <f>IF('6161 - Wallpaper (S)'!B279 = "", "", IF('6161-S-WUO_ERR'!A279 = "", "Validated", HYPERLINK("#" &amp; ADDRESS(ROW('6161-S-WUO_TRK'!A279), '6161-S-WUO_TRK'!A279), _xlfn.TEXTAFTER('6161-S-WUO_ERR'!A279, ":"))))</f>
        <v>0</v>
      </c>
    </row>
    <row r="280" spans="1:1">
      <c r="A280" s="39">
        <f>IF('6161 - Wallpaper (S)'!B280 = "", "", IF('6161-S-WUO_ERR'!A280 = "", "Validated", HYPERLINK("#" &amp; ADDRESS(ROW('6161-S-WUO_TRK'!A280), '6161-S-WUO_TRK'!A280), _xlfn.TEXTAFTER('6161-S-WUO_ERR'!A280, ":"))))</f>
        <v>0</v>
      </c>
    </row>
    <row r="281" spans="1:1">
      <c r="A281" s="39">
        <f>IF('6161 - Wallpaper (S)'!B281 = "", "", IF('6161-S-WUO_ERR'!A281 = "", "Validated", HYPERLINK("#" &amp; ADDRESS(ROW('6161-S-WUO_TRK'!A281), '6161-S-WUO_TRK'!A281), _xlfn.TEXTAFTER('6161-S-WUO_ERR'!A281, ":"))))</f>
        <v>0</v>
      </c>
    </row>
    <row r="282" spans="1:1">
      <c r="A282" s="39">
        <f>IF('6161 - Wallpaper (S)'!B282 = "", "", IF('6161-S-WUO_ERR'!A282 = "", "Validated", HYPERLINK("#" &amp; ADDRESS(ROW('6161-S-WUO_TRK'!A282), '6161-S-WUO_TRK'!A282), _xlfn.TEXTAFTER('6161-S-WUO_ERR'!A282, ":"))))</f>
        <v>0</v>
      </c>
    </row>
    <row r="283" spans="1:1">
      <c r="A283" s="39">
        <f>IF('6161 - Wallpaper (S)'!B283 = "", "", IF('6161-S-WUO_ERR'!A283 = "", "Validated", HYPERLINK("#" &amp; ADDRESS(ROW('6161-S-WUO_TRK'!A283), '6161-S-WUO_TRK'!A283), _xlfn.TEXTAFTER('6161-S-WUO_ERR'!A283, ":"))))</f>
        <v>0</v>
      </c>
    </row>
    <row r="284" spans="1:1">
      <c r="A284" s="39">
        <f>IF('6161 - Wallpaper (S)'!B284 = "", "", IF('6161-S-WUO_ERR'!A284 = "", "Validated", HYPERLINK("#" &amp; ADDRESS(ROW('6161-S-WUO_TRK'!A284), '6161-S-WUO_TRK'!A284), _xlfn.TEXTAFTER('6161-S-WUO_ERR'!A284, ":"))))</f>
        <v>0</v>
      </c>
    </row>
    <row r="285" spans="1:1">
      <c r="A285" s="39">
        <f>IF('6161 - Wallpaper (S)'!B285 = "", "", IF('6161-S-WUO_ERR'!A285 = "", "Validated", HYPERLINK("#" &amp; ADDRESS(ROW('6161-S-WUO_TRK'!A285), '6161-S-WUO_TRK'!A285), _xlfn.TEXTAFTER('6161-S-WUO_ERR'!A285, ":"))))</f>
        <v>0</v>
      </c>
    </row>
    <row r="286" spans="1:1">
      <c r="A286" s="39">
        <f>IF('6161 - Wallpaper (S)'!B286 = "", "", IF('6161-S-WUO_ERR'!A286 = "", "Validated", HYPERLINK("#" &amp; ADDRESS(ROW('6161-S-WUO_TRK'!A286), '6161-S-WUO_TRK'!A286), _xlfn.TEXTAFTER('6161-S-WUO_ERR'!A286, ":"))))</f>
        <v>0</v>
      </c>
    </row>
    <row r="287" spans="1:1">
      <c r="A287" s="39">
        <f>IF('6161 - Wallpaper (S)'!B287 = "", "", IF('6161-S-WUO_ERR'!A287 = "", "Validated", HYPERLINK("#" &amp; ADDRESS(ROW('6161-S-WUO_TRK'!A287), '6161-S-WUO_TRK'!A287), _xlfn.TEXTAFTER('6161-S-WUO_ERR'!A287, ":"))))</f>
        <v>0</v>
      </c>
    </row>
    <row r="288" spans="1:1">
      <c r="A288" s="39">
        <f>IF('6161 - Wallpaper (S)'!B288 = "", "", IF('6161-S-WUO_ERR'!A288 = "", "Validated", HYPERLINK("#" &amp; ADDRESS(ROW('6161-S-WUO_TRK'!A288), '6161-S-WUO_TRK'!A288), _xlfn.TEXTAFTER('6161-S-WUO_ERR'!A288, ":"))))</f>
        <v>0</v>
      </c>
    </row>
    <row r="289" spans="1:1">
      <c r="A289" s="39">
        <f>IF('6161 - Wallpaper (S)'!B289 = "", "", IF('6161-S-WUO_ERR'!A289 = "", "Validated", HYPERLINK("#" &amp; ADDRESS(ROW('6161-S-WUO_TRK'!A289), '6161-S-WUO_TRK'!A289), _xlfn.TEXTAFTER('6161-S-WUO_ERR'!A289, ":"))))</f>
        <v>0</v>
      </c>
    </row>
    <row r="290" spans="1:1">
      <c r="A290" s="39">
        <f>IF('6161 - Wallpaper (S)'!B290 = "", "", IF('6161-S-WUO_ERR'!A290 = "", "Validated", HYPERLINK("#" &amp; ADDRESS(ROW('6161-S-WUO_TRK'!A290), '6161-S-WUO_TRK'!A290), _xlfn.TEXTAFTER('6161-S-WUO_ERR'!A290, ":"))))</f>
        <v>0</v>
      </c>
    </row>
    <row r="291" spans="1:1">
      <c r="A291" s="39">
        <f>IF('6161 - Wallpaper (S)'!B291 = "", "", IF('6161-S-WUO_ERR'!A291 = "", "Validated", HYPERLINK("#" &amp; ADDRESS(ROW('6161-S-WUO_TRK'!A291), '6161-S-WUO_TRK'!A291), _xlfn.TEXTAFTER('6161-S-WUO_ERR'!A291, ":"))))</f>
        <v>0</v>
      </c>
    </row>
    <row r="292" spans="1:1">
      <c r="A292" s="39">
        <f>IF('6161 - Wallpaper (S)'!B292 = "", "", IF('6161-S-WUO_ERR'!A292 = "", "Validated", HYPERLINK("#" &amp; ADDRESS(ROW('6161-S-WUO_TRK'!A292), '6161-S-WUO_TRK'!A292), _xlfn.TEXTAFTER('6161-S-WUO_ERR'!A292, ":"))))</f>
        <v>0</v>
      </c>
    </row>
    <row r="293" spans="1:1">
      <c r="A293" s="39">
        <f>IF('6161 - Wallpaper (S)'!B293 = "", "", IF('6161-S-WUO_ERR'!A293 = "", "Validated", HYPERLINK("#" &amp; ADDRESS(ROW('6161-S-WUO_TRK'!A293), '6161-S-WUO_TRK'!A293), _xlfn.TEXTAFTER('6161-S-WUO_ERR'!A293, ":"))))</f>
        <v>0</v>
      </c>
    </row>
    <row r="294" spans="1:1">
      <c r="A294" s="39">
        <f>IF('6161 - Wallpaper (S)'!B294 = "", "", IF('6161-S-WUO_ERR'!A294 = "", "Validated", HYPERLINK("#" &amp; ADDRESS(ROW('6161-S-WUO_TRK'!A294), '6161-S-WUO_TRK'!A294), _xlfn.TEXTAFTER('6161-S-WUO_ERR'!A294, ":"))))</f>
        <v>0</v>
      </c>
    </row>
    <row r="295" spans="1:1">
      <c r="A295" s="39">
        <f>IF('6161 - Wallpaper (S)'!B295 = "", "", IF('6161-S-WUO_ERR'!A295 = "", "Validated", HYPERLINK("#" &amp; ADDRESS(ROW('6161-S-WUO_TRK'!A295), '6161-S-WUO_TRK'!A295), _xlfn.TEXTAFTER('6161-S-WUO_ERR'!A295, ":"))))</f>
        <v>0</v>
      </c>
    </row>
    <row r="296" spans="1:1">
      <c r="A296" s="39">
        <f>IF('6161 - Wallpaper (S)'!B296 = "", "", IF('6161-S-WUO_ERR'!A296 = "", "Validated", HYPERLINK("#" &amp; ADDRESS(ROW('6161-S-WUO_TRK'!A296), '6161-S-WUO_TRK'!A296), _xlfn.TEXTAFTER('6161-S-WUO_ERR'!A296, ":"))))</f>
        <v>0</v>
      </c>
    </row>
    <row r="297" spans="1:1">
      <c r="A297" s="39">
        <f>IF('6161 - Wallpaper (S)'!B297 = "", "", IF('6161-S-WUO_ERR'!A297 = "", "Validated", HYPERLINK("#" &amp; ADDRESS(ROW('6161-S-WUO_TRK'!A297), '6161-S-WUO_TRK'!A297), _xlfn.TEXTAFTER('6161-S-WUO_ERR'!A297, ":"))))</f>
        <v>0</v>
      </c>
    </row>
    <row r="298" spans="1:1">
      <c r="A298" s="39">
        <f>IF('6161 - Wallpaper (S)'!B298 = "", "", IF('6161-S-WUO_ERR'!A298 = "", "Validated", HYPERLINK("#" &amp; ADDRESS(ROW('6161-S-WUO_TRK'!A298), '6161-S-WUO_TRK'!A298), _xlfn.TEXTAFTER('6161-S-WUO_ERR'!A298, ":"))))</f>
        <v>0</v>
      </c>
    </row>
    <row r="299" spans="1:1">
      <c r="A299" s="39">
        <f>IF('6161 - Wallpaper (S)'!B299 = "", "", IF('6161-S-WUO_ERR'!A299 = "", "Validated", HYPERLINK("#" &amp; ADDRESS(ROW('6161-S-WUO_TRK'!A299), '6161-S-WUO_TRK'!A299), _xlfn.TEXTAFTER('6161-S-WUO_ERR'!A299, ":"))))</f>
        <v>0</v>
      </c>
    </row>
    <row r="300" spans="1:1">
      <c r="A300" s="39">
        <f>IF('6161 - Wallpaper (S)'!B300 = "", "", IF('6161-S-WUO_ERR'!A300 = "", "Validated", HYPERLINK("#" &amp; ADDRESS(ROW('6161-S-WUO_TRK'!A300), '6161-S-WUO_TRK'!A300), _xlfn.TEXTAFTER('6161-S-WUO_ERR'!A300, ":"))))</f>
        <v>0</v>
      </c>
    </row>
    <row r="301" spans="1:1">
      <c r="A301" s="39">
        <f>IF('6161 - Wallpaper (S)'!B301 = "", "", IF('6161-S-WUO_ERR'!A301 = "", "Validated", HYPERLINK("#" &amp; ADDRESS(ROW('6161-S-WUO_TRK'!A301), '6161-S-WUO_TRK'!A301), _xlfn.TEXTAFTER('6161-S-WUO_ERR'!A301, ":"))))</f>
        <v>0</v>
      </c>
    </row>
    <row r="302" spans="1:1">
      <c r="A302" s="39">
        <f>IF('6161 - Wallpaper (S)'!B302 = "", "", IF('6161-S-WUO_ERR'!A302 = "", "Validated", HYPERLINK("#" &amp; ADDRESS(ROW('6161-S-WUO_TRK'!A302), '6161-S-WUO_TRK'!A302), _xlfn.TEXTAFTER('6161-S-WUO_ERR'!A302, ":"))))</f>
        <v>0</v>
      </c>
    </row>
    <row r="303" spans="1:1">
      <c r="A303" s="39">
        <f>IF('6161 - Wallpaper (S)'!B303 = "", "", IF('6161-S-WUO_ERR'!A303 = "", "Validated", HYPERLINK("#" &amp; ADDRESS(ROW('6161-S-WUO_TRK'!A303), '6161-S-WUO_TRK'!A303), _xlfn.TEXTAFTER('6161-S-WUO_ERR'!A303, ":"))))</f>
        <v>0</v>
      </c>
    </row>
    <row r="304" spans="1:1">
      <c r="A304" s="39">
        <f>IF('6161 - Wallpaper (S)'!B304 = "", "", IF('6161-S-WUO_ERR'!A304 = "", "Validated", HYPERLINK("#" &amp; ADDRESS(ROW('6161-S-WUO_TRK'!A304), '6161-S-WUO_TRK'!A304), _xlfn.TEXTAFTER('6161-S-WUO_ERR'!A304, ":"))))</f>
        <v>0</v>
      </c>
    </row>
    <row r="305" spans="1:1">
      <c r="A305" s="39">
        <f>IF('6161 - Wallpaper (S)'!B305 = "", "", IF('6161-S-WUO_ERR'!A305 = "", "Validated", HYPERLINK("#" &amp; ADDRESS(ROW('6161-S-WUO_TRK'!A305), '6161-S-WUO_TRK'!A305), _xlfn.TEXTAFTER('6161-S-WUO_ERR'!A305, ":"))))</f>
        <v>0</v>
      </c>
    </row>
    <row r="306" spans="1:1">
      <c r="A306" s="39">
        <f>IF('6161 - Wallpaper (S)'!B306 = "", "", IF('6161-S-WUO_ERR'!A306 = "", "Validated", HYPERLINK("#" &amp; ADDRESS(ROW('6161-S-WUO_TRK'!A306), '6161-S-WUO_TRK'!A306), _xlfn.TEXTAFTER('6161-S-WUO_ERR'!A306, ":"))))</f>
        <v>0</v>
      </c>
    </row>
    <row r="307" spans="1:1">
      <c r="A307" s="39">
        <f>IF('6161 - Wallpaper (S)'!B307 = "", "", IF('6161-S-WUO_ERR'!A307 = "", "Validated", HYPERLINK("#" &amp; ADDRESS(ROW('6161-S-WUO_TRK'!A307), '6161-S-WUO_TRK'!A307), _xlfn.TEXTAFTER('6161-S-WUO_ERR'!A307, ":"))))</f>
        <v>0</v>
      </c>
    </row>
    <row r="308" spans="1:1">
      <c r="A308" s="39">
        <f>IF('6161 - Wallpaper (S)'!B308 = "", "", IF('6161-S-WUO_ERR'!A308 = "", "Validated", HYPERLINK("#" &amp; ADDRESS(ROW('6161-S-WUO_TRK'!A308), '6161-S-WUO_TRK'!A308), _xlfn.TEXTAFTER('6161-S-WUO_ERR'!A308, ":"))))</f>
        <v>0</v>
      </c>
    </row>
    <row r="309" spans="1:1">
      <c r="A309" s="39">
        <f>IF('6161 - Wallpaper (S)'!B309 = "", "", IF('6161-S-WUO_ERR'!A309 = "", "Validated", HYPERLINK("#" &amp; ADDRESS(ROW('6161-S-WUO_TRK'!A309), '6161-S-WUO_TRK'!A309), _xlfn.TEXTAFTER('6161-S-WUO_ERR'!A309, ":"))))</f>
        <v>0</v>
      </c>
    </row>
    <row r="310" spans="1:1">
      <c r="A310" s="39">
        <f>IF('6161 - Wallpaper (S)'!B310 = "", "", IF('6161-S-WUO_ERR'!A310 = "", "Validated", HYPERLINK("#" &amp; ADDRESS(ROW('6161-S-WUO_TRK'!A310), '6161-S-WUO_TRK'!A310), _xlfn.TEXTAFTER('6161-S-WUO_ERR'!A310, ":"))))</f>
        <v>0</v>
      </c>
    </row>
    <row r="311" spans="1:1">
      <c r="A311" s="39">
        <f>IF('6161 - Wallpaper (S)'!B311 = "", "", IF('6161-S-WUO_ERR'!A311 = "", "Validated", HYPERLINK("#" &amp; ADDRESS(ROW('6161-S-WUO_TRK'!A311), '6161-S-WUO_TRK'!A311), _xlfn.TEXTAFTER('6161-S-WUO_ERR'!A311, ":"))))</f>
        <v>0</v>
      </c>
    </row>
    <row r="312" spans="1:1">
      <c r="A312" s="39">
        <f>IF('6161 - Wallpaper (S)'!B312 = "", "", IF('6161-S-WUO_ERR'!A312 = "", "Validated", HYPERLINK("#" &amp; ADDRESS(ROW('6161-S-WUO_TRK'!A312), '6161-S-WUO_TRK'!A312), _xlfn.TEXTAFTER('6161-S-WUO_ERR'!A312, ":"))))</f>
        <v>0</v>
      </c>
    </row>
    <row r="313" spans="1:1">
      <c r="A313" s="39">
        <f>IF('6161 - Wallpaper (S)'!B313 = "", "", IF('6161-S-WUO_ERR'!A313 = "", "Validated", HYPERLINK("#" &amp; ADDRESS(ROW('6161-S-WUO_TRK'!A313), '6161-S-WUO_TRK'!A313), _xlfn.TEXTAFTER('6161-S-WUO_ERR'!A313, ":"))))</f>
        <v>0</v>
      </c>
    </row>
    <row r="314" spans="1:1">
      <c r="A314" s="39">
        <f>IF('6161 - Wallpaper (S)'!B314 = "", "", IF('6161-S-WUO_ERR'!A314 = "", "Validated", HYPERLINK("#" &amp; ADDRESS(ROW('6161-S-WUO_TRK'!A314), '6161-S-WUO_TRK'!A314), _xlfn.TEXTAFTER('6161-S-WUO_ERR'!A314, ":"))))</f>
        <v>0</v>
      </c>
    </row>
    <row r="315" spans="1:1">
      <c r="A315" s="39">
        <f>IF('6161 - Wallpaper (S)'!B315 = "", "", IF('6161-S-WUO_ERR'!A315 = "", "Validated", HYPERLINK("#" &amp; ADDRESS(ROW('6161-S-WUO_TRK'!A315), '6161-S-WUO_TRK'!A315), _xlfn.TEXTAFTER('6161-S-WUO_ERR'!A315, ":"))))</f>
        <v>0</v>
      </c>
    </row>
    <row r="316" spans="1:1">
      <c r="A316" s="39">
        <f>IF('6161 - Wallpaper (S)'!B316 = "", "", IF('6161-S-WUO_ERR'!A316 = "", "Validated", HYPERLINK("#" &amp; ADDRESS(ROW('6161-S-WUO_TRK'!A316), '6161-S-WUO_TRK'!A316), _xlfn.TEXTAFTER('6161-S-WUO_ERR'!A316, ":"))))</f>
        <v>0</v>
      </c>
    </row>
    <row r="317" spans="1:1">
      <c r="A317" s="39">
        <f>IF('6161 - Wallpaper (S)'!B317 = "", "", IF('6161-S-WUO_ERR'!A317 = "", "Validated", HYPERLINK("#" &amp; ADDRESS(ROW('6161-S-WUO_TRK'!A317), '6161-S-WUO_TRK'!A317), _xlfn.TEXTAFTER('6161-S-WUO_ERR'!A317, ":"))))</f>
        <v>0</v>
      </c>
    </row>
    <row r="318" spans="1:1">
      <c r="A318" s="39">
        <f>IF('6161 - Wallpaper (S)'!B318 = "", "", IF('6161-S-WUO_ERR'!A318 = "", "Validated", HYPERLINK("#" &amp; ADDRESS(ROW('6161-S-WUO_TRK'!A318), '6161-S-WUO_TRK'!A318), _xlfn.TEXTAFTER('6161-S-WUO_ERR'!A318, ":"))))</f>
        <v>0</v>
      </c>
    </row>
    <row r="319" spans="1:1">
      <c r="A319" s="39">
        <f>IF('6161 - Wallpaper (S)'!B319 = "", "", IF('6161-S-WUO_ERR'!A319 = "", "Validated", HYPERLINK("#" &amp; ADDRESS(ROW('6161-S-WUO_TRK'!A319), '6161-S-WUO_TRK'!A319), _xlfn.TEXTAFTER('6161-S-WUO_ERR'!A319, ":"))))</f>
        <v>0</v>
      </c>
    </row>
    <row r="320" spans="1:1">
      <c r="A320" s="39">
        <f>IF('6161 - Wallpaper (S)'!B320 = "", "", IF('6161-S-WUO_ERR'!A320 = "", "Validated", HYPERLINK("#" &amp; ADDRESS(ROW('6161-S-WUO_TRK'!A320), '6161-S-WUO_TRK'!A320), _xlfn.TEXTAFTER('6161-S-WUO_ERR'!A320, ":"))))</f>
        <v>0</v>
      </c>
    </row>
    <row r="321" spans="1:1">
      <c r="A321" s="39">
        <f>IF('6161 - Wallpaper (S)'!B321 = "", "", IF('6161-S-WUO_ERR'!A321 = "", "Validated", HYPERLINK("#" &amp; ADDRESS(ROW('6161-S-WUO_TRK'!A321), '6161-S-WUO_TRK'!A321), _xlfn.TEXTAFTER('6161-S-WUO_ERR'!A321, ":"))))</f>
        <v>0</v>
      </c>
    </row>
    <row r="322" spans="1:1">
      <c r="A322" s="39">
        <f>IF('6161 - Wallpaper (S)'!B322 = "", "", IF('6161-S-WUO_ERR'!A322 = "", "Validated", HYPERLINK("#" &amp; ADDRESS(ROW('6161-S-WUO_TRK'!A322), '6161-S-WUO_TRK'!A322), _xlfn.TEXTAFTER('6161-S-WUO_ERR'!A322, ":"))))</f>
        <v>0</v>
      </c>
    </row>
    <row r="323" spans="1:1">
      <c r="A323" s="39">
        <f>IF('6161 - Wallpaper (S)'!B323 = "", "", IF('6161-S-WUO_ERR'!A323 = "", "Validated", HYPERLINK("#" &amp; ADDRESS(ROW('6161-S-WUO_TRK'!A323), '6161-S-WUO_TRK'!A323), _xlfn.TEXTAFTER('6161-S-WUO_ERR'!A323, ":"))))</f>
        <v>0</v>
      </c>
    </row>
    <row r="324" spans="1:1">
      <c r="A324" s="39">
        <f>IF('6161 - Wallpaper (S)'!B324 = "", "", IF('6161-S-WUO_ERR'!A324 = "", "Validated", HYPERLINK("#" &amp; ADDRESS(ROW('6161-S-WUO_TRK'!A324), '6161-S-WUO_TRK'!A324), _xlfn.TEXTAFTER('6161-S-WUO_ERR'!A324, ":"))))</f>
        <v>0</v>
      </c>
    </row>
    <row r="325" spans="1:1">
      <c r="A325" s="39">
        <f>IF('6161 - Wallpaper (S)'!B325 = "", "", IF('6161-S-WUO_ERR'!A325 = "", "Validated", HYPERLINK("#" &amp; ADDRESS(ROW('6161-S-WUO_TRK'!A325), '6161-S-WUO_TRK'!A325), _xlfn.TEXTAFTER('6161-S-WUO_ERR'!A325, ":"))))</f>
        <v>0</v>
      </c>
    </row>
    <row r="326" spans="1:1">
      <c r="A326" s="39">
        <f>IF('6161 - Wallpaper (S)'!B326 = "", "", IF('6161-S-WUO_ERR'!A326 = "", "Validated", HYPERLINK("#" &amp; ADDRESS(ROW('6161-S-WUO_TRK'!A326), '6161-S-WUO_TRK'!A326), _xlfn.TEXTAFTER('6161-S-WUO_ERR'!A326, ":"))))</f>
        <v>0</v>
      </c>
    </row>
    <row r="327" spans="1:1">
      <c r="A327" s="39">
        <f>IF('6161 - Wallpaper (S)'!B327 = "", "", IF('6161-S-WUO_ERR'!A327 = "", "Validated", HYPERLINK("#" &amp; ADDRESS(ROW('6161-S-WUO_TRK'!A327), '6161-S-WUO_TRK'!A327), _xlfn.TEXTAFTER('6161-S-WUO_ERR'!A327, ":"))))</f>
        <v>0</v>
      </c>
    </row>
    <row r="328" spans="1:1">
      <c r="A328" s="39">
        <f>IF('6161 - Wallpaper (S)'!B328 = "", "", IF('6161-S-WUO_ERR'!A328 = "", "Validated", HYPERLINK("#" &amp; ADDRESS(ROW('6161-S-WUO_TRK'!A328), '6161-S-WUO_TRK'!A328), _xlfn.TEXTAFTER('6161-S-WUO_ERR'!A328, ":"))))</f>
        <v>0</v>
      </c>
    </row>
    <row r="329" spans="1:1">
      <c r="A329" s="39">
        <f>IF('6161 - Wallpaper (S)'!B329 = "", "", IF('6161-S-WUO_ERR'!A329 = "", "Validated", HYPERLINK("#" &amp; ADDRESS(ROW('6161-S-WUO_TRK'!A329), '6161-S-WUO_TRK'!A329), _xlfn.TEXTAFTER('6161-S-WUO_ERR'!A329, ":"))))</f>
        <v>0</v>
      </c>
    </row>
    <row r="330" spans="1:1">
      <c r="A330" s="39">
        <f>IF('6161 - Wallpaper (S)'!B330 = "", "", IF('6161-S-WUO_ERR'!A330 = "", "Validated", HYPERLINK("#" &amp; ADDRESS(ROW('6161-S-WUO_TRK'!A330), '6161-S-WUO_TRK'!A330), _xlfn.TEXTAFTER('6161-S-WUO_ERR'!A330, ":"))))</f>
        <v>0</v>
      </c>
    </row>
    <row r="331" spans="1:1">
      <c r="A331" s="39">
        <f>IF('6161 - Wallpaper (S)'!B331 = "", "", IF('6161-S-WUO_ERR'!A331 = "", "Validated", HYPERLINK("#" &amp; ADDRESS(ROW('6161-S-WUO_TRK'!A331), '6161-S-WUO_TRK'!A331), _xlfn.TEXTAFTER('6161-S-WUO_ERR'!A331, ":"))))</f>
        <v>0</v>
      </c>
    </row>
    <row r="332" spans="1:1">
      <c r="A332" s="39">
        <f>IF('6161 - Wallpaper (S)'!B332 = "", "", IF('6161-S-WUO_ERR'!A332 = "", "Validated", HYPERLINK("#" &amp; ADDRESS(ROW('6161-S-WUO_TRK'!A332), '6161-S-WUO_TRK'!A332), _xlfn.TEXTAFTER('6161-S-WUO_ERR'!A332, ":"))))</f>
        <v>0</v>
      </c>
    </row>
    <row r="333" spans="1:1">
      <c r="A333" s="39">
        <f>IF('6161 - Wallpaper (S)'!B333 = "", "", IF('6161-S-WUO_ERR'!A333 = "", "Validated", HYPERLINK("#" &amp; ADDRESS(ROW('6161-S-WUO_TRK'!A333), '6161-S-WUO_TRK'!A333), _xlfn.TEXTAFTER('6161-S-WUO_ERR'!A333, ":"))))</f>
        <v>0</v>
      </c>
    </row>
    <row r="334" spans="1:1">
      <c r="A334" s="39">
        <f>IF('6161 - Wallpaper (S)'!B334 = "", "", IF('6161-S-WUO_ERR'!A334 = "", "Validated", HYPERLINK("#" &amp; ADDRESS(ROW('6161-S-WUO_TRK'!A334), '6161-S-WUO_TRK'!A334), _xlfn.TEXTAFTER('6161-S-WUO_ERR'!A334, ":"))))</f>
        <v>0</v>
      </c>
    </row>
    <row r="335" spans="1:1">
      <c r="A335" s="39">
        <f>IF('6161 - Wallpaper (S)'!B335 = "", "", IF('6161-S-WUO_ERR'!A335 = "", "Validated", HYPERLINK("#" &amp; ADDRESS(ROW('6161-S-WUO_TRK'!A335), '6161-S-WUO_TRK'!A335), _xlfn.TEXTAFTER('6161-S-WUO_ERR'!A335, ":"))))</f>
        <v>0</v>
      </c>
    </row>
    <row r="336" spans="1:1">
      <c r="A336" s="39">
        <f>IF('6161 - Wallpaper (S)'!B336 = "", "", IF('6161-S-WUO_ERR'!A336 = "", "Validated", HYPERLINK("#" &amp; ADDRESS(ROW('6161-S-WUO_TRK'!A336), '6161-S-WUO_TRK'!A336), _xlfn.TEXTAFTER('6161-S-WUO_ERR'!A336, ":"))))</f>
        <v>0</v>
      </c>
    </row>
    <row r="337" spans="1:1">
      <c r="A337" s="39">
        <f>IF('6161 - Wallpaper (S)'!B337 = "", "", IF('6161-S-WUO_ERR'!A337 = "", "Validated", HYPERLINK("#" &amp; ADDRESS(ROW('6161-S-WUO_TRK'!A337), '6161-S-WUO_TRK'!A337), _xlfn.TEXTAFTER('6161-S-WUO_ERR'!A337, ":"))))</f>
        <v>0</v>
      </c>
    </row>
    <row r="338" spans="1:1">
      <c r="A338" s="39">
        <f>IF('6161 - Wallpaper (S)'!B338 = "", "", IF('6161-S-WUO_ERR'!A338 = "", "Validated", HYPERLINK("#" &amp; ADDRESS(ROW('6161-S-WUO_TRK'!A338), '6161-S-WUO_TRK'!A338), _xlfn.TEXTAFTER('6161-S-WUO_ERR'!A338, ":"))))</f>
        <v>0</v>
      </c>
    </row>
    <row r="339" spans="1:1">
      <c r="A339" s="39">
        <f>IF('6161 - Wallpaper (S)'!B339 = "", "", IF('6161-S-WUO_ERR'!A339 = "", "Validated", HYPERLINK("#" &amp; ADDRESS(ROW('6161-S-WUO_TRK'!A339), '6161-S-WUO_TRK'!A339), _xlfn.TEXTAFTER('6161-S-WUO_ERR'!A339, ":"))))</f>
        <v>0</v>
      </c>
    </row>
    <row r="340" spans="1:1">
      <c r="A340" s="39">
        <f>IF('6161 - Wallpaper (S)'!B340 = "", "", IF('6161-S-WUO_ERR'!A340 = "", "Validated", HYPERLINK("#" &amp; ADDRESS(ROW('6161-S-WUO_TRK'!A340), '6161-S-WUO_TRK'!A340), _xlfn.TEXTAFTER('6161-S-WUO_ERR'!A340, ":"))))</f>
        <v>0</v>
      </c>
    </row>
    <row r="341" spans="1:1">
      <c r="A341" s="39">
        <f>IF('6161 - Wallpaper (S)'!B341 = "", "", IF('6161-S-WUO_ERR'!A341 = "", "Validated", HYPERLINK("#" &amp; ADDRESS(ROW('6161-S-WUO_TRK'!A341), '6161-S-WUO_TRK'!A341), _xlfn.TEXTAFTER('6161-S-WUO_ERR'!A341, ":"))))</f>
        <v>0</v>
      </c>
    </row>
    <row r="342" spans="1:1">
      <c r="A342" s="39">
        <f>IF('6161 - Wallpaper (S)'!B342 = "", "", IF('6161-S-WUO_ERR'!A342 = "", "Validated", HYPERLINK("#" &amp; ADDRESS(ROW('6161-S-WUO_TRK'!A342), '6161-S-WUO_TRK'!A342), _xlfn.TEXTAFTER('6161-S-WUO_ERR'!A342, ":"))))</f>
        <v>0</v>
      </c>
    </row>
    <row r="343" spans="1:1">
      <c r="A343" s="39">
        <f>IF('6161 - Wallpaper (S)'!B343 = "", "", IF('6161-S-WUO_ERR'!A343 = "", "Validated", HYPERLINK("#" &amp; ADDRESS(ROW('6161-S-WUO_TRK'!A343), '6161-S-WUO_TRK'!A343), _xlfn.TEXTAFTER('6161-S-WUO_ERR'!A343, ":"))))</f>
        <v>0</v>
      </c>
    </row>
    <row r="344" spans="1:1">
      <c r="A344" s="39">
        <f>IF('6161 - Wallpaper (S)'!B344 = "", "", IF('6161-S-WUO_ERR'!A344 = "", "Validated", HYPERLINK("#" &amp; ADDRESS(ROW('6161-S-WUO_TRK'!A344), '6161-S-WUO_TRK'!A344), _xlfn.TEXTAFTER('6161-S-WUO_ERR'!A344, ":"))))</f>
        <v>0</v>
      </c>
    </row>
    <row r="345" spans="1:1">
      <c r="A345" s="39">
        <f>IF('6161 - Wallpaper (S)'!B345 = "", "", IF('6161-S-WUO_ERR'!A345 = "", "Validated", HYPERLINK("#" &amp; ADDRESS(ROW('6161-S-WUO_TRK'!A345), '6161-S-WUO_TRK'!A345), _xlfn.TEXTAFTER('6161-S-WUO_ERR'!A345, ":"))))</f>
        <v>0</v>
      </c>
    </row>
    <row r="346" spans="1:1">
      <c r="A346" s="39">
        <f>IF('6161 - Wallpaper (S)'!B346 = "", "", IF('6161-S-WUO_ERR'!A346 = "", "Validated", HYPERLINK("#" &amp; ADDRESS(ROW('6161-S-WUO_TRK'!A346), '6161-S-WUO_TRK'!A346), _xlfn.TEXTAFTER('6161-S-WUO_ERR'!A346, ":"))))</f>
        <v>0</v>
      </c>
    </row>
    <row r="347" spans="1:1">
      <c r="A347" s="39">
        <f>IF('6161 - Wallpaper (S)'!B347 = "", "", IF('6161-S-WUO_ERR'!A347 = "", "Validated", HYPERLINK("#" &amp; ADDRESS(ROW('6161-S-WUO_TRK'!A347), '6161-S-WUO_TRK'!A347), _xlfn.TEXTAFTER('6161-S-WUO_ERR'!A347, ":"))))</f>
        <v>0</v>
      </c>
    </row>
    <row r="348" spans="1:1">
      <c r="A348" s="39">
        <f>IF('6161 - Wallpaper (S)'!B348 = "", "", IF('6161-S-WUO_ERR'!A348 = "", "Validated", HYPERLINK("#" &amp; ADDRESS(ROW('6161-S-WUO_TRK'!A348), '6161-S-WUO_TRK'!A348), _xlfn.TEXTAFTER('6161-S-WUO_ERR'!A348, ":"))))</f>
        <v>0</v>
      </c>
    </row>
    <row r="349" spans="1:1">
      <c r="A349" s="39">
        <f>IF('6161 - Wallpaper (S)'!B349 = "", "", IF('6161-S-WUO_ERR'!A349 = "", "Validated", HYPERLINK("#" &amp; ADDRESS(ROW('6161-S-WUO_TRK'!A349), '6161-S-WUO_TRK'!A349), _xlfn.TEXTAFTER('6161-S-WUO_ERR'!A349, ":"))))</f>
        <v>0</v>
      </c>
    </row>
    <row r="350" spans="1:1">
      <c r="A350" s="39">
        <f>IF('6161 - Wallpaper (S)'!B350 = "", "", IF('6161-S-WUO_ERR'!A350 = "", "Validated", HYPERLINK("#" &amp; ADDRESS(ROW('6161-S-WUO_TRK'!A350), '6161-S-WUO_TRK'!A350), _xlfn.TEXTAFTER('6161-S-WUO_ERR'!A350, ":"))))</f>
        <v>0</v>
      </c>
    </row>
    <row r="351" spans="1:1">
      <c r="A351" s="39">
        <f>IF('6161 - Wallpaper (S)'!B351 = "", "", IF('6161-S-WUO_ERR'!A351 = "", "Validated", HYPERLINK("#" &amp; ADDRESS(ROW('6161-S-WUO_TRK'!A351), '6161-S-WUO_TRK'!A351), _xlfn.TEXTAFTER('6161-S-WUO_ERR'!A351, ":"))))</f>
        <v>0</v>
      </c>
    </row>
    <row r="352" spans="1:1">
      <c r="A352" s="39">
        <f>IF('6161 - Wallpaper (S)'!B352 = "", "", IF('6161-S-WUO_ERR'!A352 = "", "Validated", HYPERLINK("#" &amp; ADDRESS(ROW('6161-S-WUO_TRK'!A352), '6161-S-WUO_TRK'!A352), _xlfn.TEXTAFTER('6161-S-WUO_ERR'!A352, ":"))))</f>
        <v>0</v>
      </c>
    </row>
    <row r="353" spans="1:1">
      <c r="A353" s="39">
        <f>IF('6161 - Wallpaper (S)'!B353 = "", "", IF('6161-S-WUO_ERR'!A353 = "", "Validated", HYPERLINK("#" &amp; ADDRESS(ROW('6161-S-WUO_TRK'!A353), '6161-S-WUO_TRK'!A353), _xlfn.TEXTAFTER('6161-S-WUO_ERR'!A353, ":"))))</f>
        <v>0</v>
      </c>
    </row>
    <row r="354" spans="1:1">
      <c r="A354" s="39">
        <f>IF('6161 - Wallpaper (S)'!B354 = "", "", IF('6161-S-WUO_ERR'!A354 = "", "Validated", HYPERLINK("#" &amp; ADDRESS(ROW('6161-S-WUO_TRK'!A354), '6161-S-WUO_TRK'!A354), _xlfn.TEXTAFTER('6161-S-WUO_ERR'!A354, ":"))))</f>
        <v>0</v>
      </c>
    </row>
    <row r="355" spans="1:1">
      <c r="A355" s="39">
        <f>IF('6161 - Wallpaper (S)'!B355 = "", "", IF('6161-S-WUO_ERR'!A355 = "", "Validated", HYPERLINK("#" &amp; ADDRESS(ROW('6161-S-WUO_TRK'!A355), '6161-S-WUO_TRK'!A355), _xlfn.TEXTAFTER('6161-S-WUO_ERR'!A355, ":"))))</f>
        <v>0</v>
      </c>
    </row>
    <row r="356" spans="1:1">
      <c r="A356" s="39">
        <f>IF('6161 - Wallpaper (S)'!B356 = "", "", IF('6161-S-WUO_ERR'!A356 = "", "Validated", HYPERLINK("#" &amp; ADDRESS(ROW('6161-S-WUO_TRK'!A356), '6161-S-WUO_TRK'!A356), _xlfn.TEXTAFTER('6161-S-WUO_ERR'!A356, ":"))))</f>
        <v>0</v>
      </c>
    </row>
    <row r="357" spans="1:1">
      <c r="A357" s="39">
        <f>IF('6161 - Wallpaper (S)'!B357 = "", "", IF('6161-S-WUO_ERR'!A357 = "", "Validated", HYPERLINK("#" &amp; ADDRESS(ROW('6161-S-WUO_TRK'!A357), '6161-S-WUO_TRK'!A357), _xlfn.TEXTAFTER('6161-S-WUO_ERR'!A357, ":"))))</f>
        <v>0</v>
      </c>
    </row>
    <row r="358" spans="1:1">
      <c r="A358" s="39">
        <f>IF('6161 - Wallpaper (S)'!B358 = "", "", IF('6161-S-WUO_ERR'!A358 = "", "Validated", HYPERLINK("#" &amp; ADDRESS(ROW('6161-S-WUO_TRK'!A358), '6161-S-WUO_TRK'!A358), _xlfn.TEXTAFTER('6161-S-WUO_ERR'!A358, ":"))))</f>
        <v>0</v>
      </c>
    </row>
    <row r="359" spans="1:1">
      <c r="A359" s="39">
        <f>IF('6161 - Wallpaper (S)'!B359 = "", "", IF('6161-S-WUO_ERR'!A359 = "", "Validated", HYPERLINK("#" &amp; ADDRESS(ROW('6161-S-WUO_TRK'!A359), '6161-S-WUO_TRK'!A359), _xlfn.TEXTAFTER('6161-S-WUO_ERR'!A359, ":"))))</f>
        <v>0</v>
      </c>
    </row>
    <row r="360" spans="1:1">
      <c r="A360" s="39">
        <f>IF('6161 - Wallpaper (S)'!B360 = "", "", IF('6161-S-WUO_ERR'!A360 = "", "Validated", HYPERLINK("#" &amp; ADDRESS(ROW('6161-S-WUO_TRK'!A360), '6161-S-WUO_TRK'!A360), _xlfn.TEXTAFTER('6161-S-WUO_ERR'!A360, ":"))))</f>
        <v>0</v>
      </c>
    </row>
    <row r="361" spans="1:1">
      <c r="A361" s="39">
        <f>IF('6161 - Wallpaper (S)'!B361 = "", "", IF('6161-S-WUO_ERR'!A361 = "", "Validated", HYPERLINK("#" &amp; ADDRESS(ROW('6161-S-WUO_TRK'!A361), '6161-S-WUO_TRK'!A361), _xlfn.TEXTAFTER('6161-S-WUO_ERR'!A361, ":"))))</f>
        <v>0</v>
      </c>
    </row>
    <row r="362" spans="1:1">
      <c r="A362" s="39">
        <f>IF('6161 - Wallpaper (S)'!B362 = "", "", IF('6161-S-WUO_ERR'!A362 = "", "Validated", HYPERLINK("#" &amp; ADDRESS(ROW('6161-S-WUO_TRK'!A362), '6161-S-WUO_TRK'!A362), _xlfn.TEXTAFTER('6161-S-WUO_ERR'!A362, ":"))))</f>
        <v>0</v>
      </c>
    </row>
    <row r="363" spans="1:1">
      <c r="A363" s="39">
        <f>IF('6161 - Wallpaper (S)'!B363 = "", "", IF('6161-S-WUO_ERR'!A363 = "", "Validated", HYPERLINK("#" &amp; ADDRESS(ROW('6161-S-WUO_TRK'!A363), '6161-S-WUO_TRK'!A363), _xlfn.TEXTAFTER('6161-S-WUO_ERR'!A363, ":"))))</f>
        <v>0</v>
      </c>
    </row>
    <row r="364" spans="1:1">
      <c r="A364" s="39">
        <f>IF('6161 - Wallpaper (S)'!B364 = "", "", IF('6161-S-WUO_ERR'!A364 = "", "Validated", HYPERLINK("#" &amp; ADDRESS(ROW('6161-S-WUO_TRK'!A364), '6161-S-WUO_TRK'!A364), _xlfn.TEXTAFTER('6161-S-WUO_ERR'!A364, ":"))))</f>
        <v>0</v>
      </c>
    </row>
    <row r="365" spans="1:1">
      <c r="A365" s="39">
        <f>IF('6161 - Wallpaper (S)'!B365 = "", "", IF('6161-S-WUO_ERR'!A365 = "", "Validated", HYPERLINK("#" &amp; ADDRESS(ROW('6161-S-WUO_TRK'!A365), '6161-S-WUO_TRK'!A365), _xlfn.TEXTAFTER('6161-S-WUO_ERR'!A365, ":"))))</f>
        <v>0</v>
      </c>
    </row>
    <row r="366" spans="1:1">
      <c r="A366" s="39">
        <f>IF('6161 - Wallpaper (S)'!B366 = "", "", IF('6161-S-WUO_ERR'!A366 = "", "Validated", HYPERLINK("#" &amp; ADDRESS(ROW('6161-S-WUO_TRK'!A366), '6161-S-WUO_TRK'!A366), _xlfn.TEXTAFTER('6161-S-WUO_ERR'!A366, ":"))))</f>
        <v>0</v>
      </c>
    </row>
    <row r="367" spans="1:1">
      <c r="A367" s="39">
        <f>IF('6161 - Wallpaper (S)'!B367 = "", "", IF('6161-S-WUO_ERR'!A367 = "", "Validated", HYPERLINK("#" &amp; ADDRESS(ROW('6161-S-WUO_TRK'!A367), '6161-S-WUO_TRK'!A367), _xlfn.TEXTAFTER('6161-S-WUO_ERR'!A367, ":"))))</f>
        <v>0</v>
      </c>
    </row>
    <row r="368" spans="1:1">
      <c r="A368" s="39">
        <f>IF('6161 - Wallpaper (S)'!B368 = "", "", IF('6161-S-WUO_ERR'!A368 = "", "Validated", HYPERLINK("#" &amp; ADDRESS(ROW('6161-S-WUO_TRK'!A368), '6161-S-WUO_TRK'!A368), _xlfn.TEXTAFTER('6161-S-WUO_ERR'!A368, ":"))))</f>
        <v>0</v>
      </c>
    </row>
    <row r="369" spans="1:1">
      <c r="A369" s="39">
        <f>IF('6161 - Wallpaper (S)'!B369 = "", "", IF('6161-S-WUO_ERR'!A369 = "", "Validated", HYPERLINK("#" &amp; ADDRESS(ROW('6161-S-WUO_TRK'!A369), '6161-S-WUO_TRK'!A369), _xlfn.TEXTAFTER('6161-S-WUO_ERR'!A369, ":"))))</f>
        <v>0</v>
      </c>
    </row>
    <row r="370" spans="1:1">
      <c r="A370" s="39">
        <f>IF('6161 - Wallpaper (S)'!B370 = "", "", IF('6161-S-WUO_ERR'!A370 = "", "Validated", HYPERLINK("#" &amp; ADDRESS(ROW('6161-S-WUO_TRK'!A370), '6161-S-WUO_TRK'!A370), _xlfn.TEXTAFTER('6161-S-WUO_ERR'!A370, ":"))))</f>
        <v>0</v>
      </c>
    </row>
    <row r="371" spans="1:1">
      <c r="A371" s="39">
        <f>IF('6161 - Wallpaper (S)'!B371 = "", "", IF('6161-S-WUO_ERR'!A371 = "", "Validated", HYPERLINK("#" &amp; ADDRESS(ROW('6161-S-WUO_TRK'!A371), '6161-S-WUO_TRK'!A371), _xlfn.TEXTAFTER('6161-S-WUO_ERR'!A371, ":"))))</f>
        <v>0</v>
      </c>
    </row>
    <row r="372" spans="1:1">
      <c r="A372" s="39">
        <f>IF('6161 - Wallpaper (S)'!B372 = "", "", IF('6161-S-WUO_ERR'!A372 = "", "Validated", HYPERLINK("#" &amp; ADDRESS(ROW('6161-S-WUO_TRK'!A372), '6161-S-WUO_TRK'!A372), _xlfn.TEXTAFTER('6161-S-WUO_ERR'!A372, ":"))))</f>
        <v>0</v>
      </c>
    </row>
    <row r="373" spans="1:1">
      <c r="A373" s="39">
        <f>IF('6161 - Wallpaper (S)'!B373 = "", "", IF('6161-S-WUO_ERR'!A373 = "", "Validated", HYPERLINK("#" &amp; ADDRESS(ROW('6161-S-WUO_TRK'!A373), '6161-S-WUO_TRK'!A373), _xlfn.TEXTAFTER('6161-S-WUO_ERR'!A373, ":"))))</f>
        <v>0</v>
      </c>
    </row>
    <row r="374" spans="1:1">
      <c r="A374" s="39">
        <f>IF('6161 - Wallpaper (S)'!B374 = "", "", IF('6161-S-WUO_ERR'!A374 = "", "Validated", HYPERLINK("#" &amp; ADDRESS(ROW('6161-S-WUO_TRK'!A374), '6161-S-WUO_TRK'!A374), _xlfn.TEXTAFTER('6161-S-WUO_ERR'!A374, ":"))))</f>
        <v>0</v>
      </c>
    </row>
    <row r="375" spans="1:1">
      <c r="A375" s="39">
        <f>IF('6161 - Wallpaper (S)'!B375 = "", "", IF('6161-S-WUO_ERR'!A375 = "", "Validated", HYPERLINK("#" &amp; ADDRESS(ROW('6161-S-WUO_TRK'!A375), '6161-S-WUO_TRK'!A375), _xlfn.TEXTAFTER('6161-S-WUO_ERR'!A375, ":"))))</f>
        <v>0</v>
      </c>
    </row>
    <row r="376" spans="1:1">
      <c r="A376" s="39">
        <f>IF('6161 - Wallpaper (S)'!B376 = "", "", IF('6161-S-WUO_ERR'!A376 = "", "Validated", HYPERLINK("#" &amp; ADDRESS(ROW('6161-S-WUO_TRK'!A376), '6161-S-WUO_TRK'!A376), _xlfn.TEXTAFTER('6161-S-WUO_ERR'!A376, ":"))))</f>
        <v>0</v>
      </c>
    </row>
    <row r="377" spans="1:1">
      <c r="A377" s="39">
        <f>IF('6161 - Wallpaper (S)'!B377 = "", "", IF('6161-S-WUO_ERR'!A377 = "", "Validated", HYPERLINK("#" &amp; ADDRESS(ROW('6161-S-WUO_TRK'!A377), '6161-S-WUO_TRK'!A377), _xlfn.TEXTAFTER('6161-S-WUO_ERR'!A377, ":"))))</f>
        <v>0</v>
      </c>
    </row>
    <row r="378" spans="1:1">
      <c r="A378" s="39">
        <f>IF('6161 - Wallpaper (S)'!B378 = "", "", IF('6161-S-WUO_ERR'!A378 = "", "Validated", HYPERLINK("#" &amp; ADDRESS(ROW('6161-S-WUO_TRK'!A378), '6161-S-WUO_TRK'!A378), _xlfn.TEXTAFTER('6161-S-WUO_ERR'!A378, ":"))))</f>
        <v>0</v>
      </c>
    </row>
    <row r="379" spans="1:1">
      <c r="A379" s="39">
        <f>IF('6161 - Wallpaper (S)'!B379 = "", "", IF('6161-S-WUO_ERR'!A379 = "", "Validated", HYPERLINK("#" &amp; ADDRESS(ROW('6161-S-WUO_TRK'!A379), '6161-S-WUO_TRK'!A379), _xlfn.TEXTAFTER('6161-S-WUO_ERR'!A379, ":"))))</f>
        <v>0</v>
      </c>
    </row>
    <row r="380" spans="1:1">
      <c r="A380" s="39">
        <f>IF('6161 - Wallpaper (S)'!B380 = "", "", IF('6161-S-WUO_ERR'!A380 = "", "Validated", HYPERLINK("#" &amp; ADDRESS(ROW('6161-S-WUO_TRK'!A380), '6161-S-WUO_TRK'!A380), _xlfn.TEXTAFTER('6161-S-WUO_ERR'!A380, ":"))))</f>
        <v>0</v>
      </c>
    </row>
    <row r="381" spans="1:1">
      <c r="A381" s="39">
        <f>IF('6161 - Wallpaper (S)'!B381 = "", "", IF('6161-S-WUO_ERR'!A381 = "", "Validated", HYPERLINK("#" &amp; ADDRESS(ROW('6161-S-WUO_TRK'!A381), '6161-S-WUO_TRK'!A381), _xlfn.TEXTAFTER('6161-S-WUO_ERR'!A381, ":"))))</f>
        <v>0</v>
      </c>
    </row>
    <row r="382" spans="1:1">
      <c r="A382" s="39">
        <f>IF('6161 - Wallpaper (S)'!B382 = "", "", IF('6161-S-WUO_ERR'!A382 = "", "Validated", HYPERLINK("#" &amp; ADDRESS(ROW('6161-S-WUO_TRK'!A382), '6161-S-WUO_TRK'!A382), _xlfn.TEXTAFTER('6161-S-WUO_ERR'!A382, ":"))))</f>
        <v>0</v>
      </c>
    </row>
    <row r="383" spans="1:1">
      <c r="A383" s="39">
        <f>IF('6161 - Wallpaper (S)'!B383 = "", "", IF('6161-S-WUO_ERR'!A383 = "", "Validated", HYPERLINK("#" &amp; ADDRESS(ROW('6161-S-WUO_TRK'!A383), '6161-S-WUO_TRK'!A383), _xlfn.TEXTAFTER('6161-S-WUO_ERR'!A383, ":"))))</f>
        <v>0</v>
      </c>
    </row>
    <row r="384" spans="1:1">
      <c r="A384" s="39">
        <f>IF('6161 - Wallpaper (S)'!B384 = "", "", IF('6161-S-WUO_ERR'!A384 = "", "Validated", HYPERLINK("#" &amp; ADDRESS(ROW('6161-S-WUO_TRK'!A384), '6161-S-WUO_TRK'!A384), _xlfn.TEXTAFTER('6161-S-WUO_ERR'!A384, ":"))))</f>
        <v>0</v>
      </c>
    </row>
    <row r="385" spans="1:1">
      <c r="A385" s="39">
        <f>IF('6161 - Wallpaper (S)'!B385 = "", "", IF('6161-S-WUO_ERR'!A385 = "", "Validated", HYPERLINK("#" &amp; ADDRESS(ROW('6161-S-WUO_TRK'!A385), '6161-S-WUO_TRK'!A385), _xlfn.TEXTAFTER('6161-S-WUO_ERR'!A385, ":"))))</f>
        <v>0</v>
      </c>
    </row>
    <row r="386" spans="1:1">
      <c r="A386" s="39">
        <f>IF('6161 - Wallpaper (S)'!B386 = "", "", IF('6161-S-WUO_ERR'!A386 = "", "Validated", HYPERLINK("#" &amp; ADDRESS(ROW('6161-S-WUO_TRK'!A386), '6161-S-WUO_TRK'!A386), _xlfn.TEXTAFTER('6161-S-WUO_ERR'!A386, ":"))))</f>
        <v>0</v>
      </c>
    </row>
    <row r="387" spans="1:1">
      <c r="A387" s="39">
        <f>IF('6161 - Wallpaper (S)'!B387 = "", "", IF('6161-S-WUO_ERR'!A387 = "", "Validated", HYPERLINK("#" &amp; ADDRESS(ROW('6161-S-WUO_TRK'!A387), '6161-S-WUO_TRK'!A387), _xlfn.TEXTAFTER('6161-S-WUO_ERR'!A387, ":"))))</f>
        <v>0</v>
      </c>
    </row>
    <row r="388" spans="1:1">
      <c r="A388" s="39">
        <f>IF('6161 - Wallpaper (S)'!B388 = "", "", IF('6161-S-WUO_ERR'!A388 = "", "Validated", HYPERLINK("#" &amp; ADDRESS(ROW('6161-S-WUO_TRK'!A388), '6161-S-WUO_TRK'!A388), _xlfn.TEXTAFTER('6161-S-WUO_ERR'!A388, ":"))))</f>
        <v>0</v>
      </c>
    </row>
    <row r="389" spans="1:1">
      <c r="A389" s="39">
        <f>IF('6161 - Wallpaper (S)'!B389 = "", "", IF('6161-S-WUO_ERR'!A389 = "", "Validated", HYPERLINK("#" &amp; ADDRESS(ROW('6161-S-WUO_TRK'!A389), '6161-S-WUO_TRK'!A389), _xlfn.TEXTAFTER('6161-S-WUO_ERR'!A389, ":"))))</f>
        <v>0</v>
      </c>
    </row>
    <row r="390" spans="1:1">
      <c r="A390" s="39">
        <f>IF('6161 - Wallpaper (S)'!B390 = "", "", IF('6161-S-WUO_ERR'!A390 = "", "Validated", HYPERLINK("#" &amp; ADDRESS(ROW('6161-S-WUO_TRK'!A390), '6161-S-WUO_TRK'!A390), _xlfn.TEXTAFTER('6161-S-WUO_ERR'!A390, ":"))))</f>
        <v>0</v>
      </c>
    </row>
    <row r="391" spans="1:1">
      <c r="A391" s="39">
        <f>IF('6161 - Wallpaper (S)'!B391 = "", "", IF('6161-S-WUO_ERR'!A391 = "", "Validated", HYPERLINK("#" &amp; ADDRESS(ROW('6161-S-WUO_TRK'!A391), '6161-S-WUO_TRK'!A391), _xlfn.TEXTAFTER('6161-S-WUO_ERR'!A391, ":"))))</f>
        <v>0</v>
      </c>
    </row>
    <row r="392" spans="1:1">
      <c r="A392" s="39">
        <f>IF('6161 - Wallpaper (S)'!B392 = "", "", IF('6161-S-WUO_ERR'!A392 = "", "Validated", HYPERLINK("#" &amp; ADDRESS(ROW('6161-S-WUO_TRK'!A392), '6161-S-WUO_TRK'!A392), _xlfn.TEXTAFTER('6161-S-WUO_ERR'!A392, ":"))))</f>
        <v>0</v>
      </c>
    </row>
    <row r="393" spans="1:1">
      <c r="A393" s="39">
        <f>IF('6161 - Wallpaper (S)'!B393 = "", "", IF('6161-S-WUO_ERR'!A393 = "", "Validated", HYPERLINK("#" &amp; ADDRESS(ROW('6161-S-WUO_TRK'!A393), '6161-S-WUO_TRK'!A393), _xlfn.TEXTAFTER('6161-S-WUO_ERR'!A393, ":"))))</f>
        <v>0</v>
      </c>
    </row>
    <row r="394" spans="1:1">
      <c r="A394" s="39">
        <f>IF('6161 - Wallpaper (S)'!B394 = "", "", IF('6161-S-WUO_ERR'!A394 = "", "Validated", HYPERLINK("#" &amp; ADDRESS(ROW('6161-S-WUO_TRK'!A394), '6161-S-WUO_TRK'!A394), _xlfn.TEXTAFTER('6161-S-WUO_ERR'!A394, ":"))))</f>
        <v>0</v>
      </c>
    </row>
    <row r="395" spans="1:1">
      <c r="A395" s="39">
        <f>IF('6161 - Wallpaper (S)'!B395 = "", "", IF('6161-S-WUO_ERR'!A395 = "", "Validated", HYPERLINK("#" &amp; ADDRESS(ROW('6161-S-WUO_TRK'!A395), '6161-S-WUO_TRK'!A395), _xlfn.TEXTAFTER('6161-S-WUO_ERR'!A395, ":"))))</f>
        <v>0</v>
      </c>
    </row>
    <row r="396" spans="1:1">
      <c r="A396" s="39">
        <f>IF('6161 - Wallpaper (S)'!B396 = "", "", IF('6161-S-WUO_ERR'!A396 = "", "Validated", HYPERLINK("#" &amp; ADDRESS(ROW('6161-S-WUO_TRK'!A396), '6161-S-WUO_TRK'!A396), _xlfn.TEXTAFTER('6161-S-WUO_ERR'!A396, ":"))))</f>
        <v>0</v>
      </c>
    </row>
    <row r="397" spans="1:1">
      <c r="A397" s="39">
        <f>IF('6161 - Wallpaper (S)'!B397 = "", "", IF('6161-S-WUO_ERR'!A397 = "", "Validated", HYPERLINK("#" &amp; ADDRESS(ROW('6161-S-WUO_TRK'!A397), '6161-S-WUO_TRK'!A397), _xlfn.TEXTAFTER('6161-S-WUO_ERR'!A397, ":"))))</f>
        <v>0</v>
      </c>
    </row>
    <row r="398" spans="1:1">
      <c r="A398" s="39">
        <f>IF('6161 - Wallpaper (S)'!B398 = "", "", IF('6161-S-WUO_ERR'!A398 = "", "Validated", HYPERLINK("#" &amp; ADDRESS(ROW('6161-S-WUO_TRK'!A398), '6161-S-WUO_TRK'!A398), _xlfn.TEXTAFTER('6161-S-WUO_ERR'!A398, ":"))))</f>
        <v>0</v>
      </c>
    </row>
    <row r="399" spans="1:1">
      <c r="A399" s="39">
        <f>IF('6161 - Wallpaper (S)'!B399 = "", "", IF('6161-S-WUO_ERR'!A399 = "", "Validated", HYPERLINK("#" &amp; ADDRESS(ROW('6161-S-WUO_TRK'!A399), '6161-S-WUO_TRK'!A399), _xlfn.TEXTAFTER('6161-S-WUO_ERR'!A399, ":"))))</f>
        <v>0</v>
      </c>
    </row>
    <row r="400" spans="1:1">
      <c r="A400" s="39">
        <f>IF('6161 - Wallpaper (S)'!B400 = "", "", IF('6161-S-WUO_ERR'!A400 = "", "Validated", HYPERLINK("#" &amp; ADDRESS(ROW('6161-S-WUO_TRK'!A400), '6161-S-WUO_TRK'!A400), _xlfn.TEXTAFTER('6161-S-WUO_ERR'!A400, ":"))))</f>
        <v>0</v>
      </c>
    </row>
    <row r="401" spans="1:1">
      <c r="A401" s="39">
        <f>IF('6161 - Wallpaper (S)'!B401 = "", "", IF('6161-S-WUO_ERR'!A401 = "", "Validated", HYPERLINK("#" &amp; ADDRESS(ROW('6161-S-WUO_TRK'!A401), '6161-S-WUO_TRK'!A401), _xlfn.TEXTAFTER('6161-S-WUO_ERR'!A401, ":"))))</f>
        <v>0</v>
      </c>
    </row>
    <row r="402" spans="1:1">
      <c r="A402" s="39">
        <f>IF('6161 - Wallpaper (S)'!B402 = "", "", IF('6161-S-WUO_ERR'!A402 = "", "Validated", HYPERLINK("#" &amp; ADDRESS(ROW('6161-S-WUO_TRK'!A402), '6161-S-WUO_TRK'!A402), _xlfn.TEXTAFTER('6161-S-WUO_ERR'!A402, ":"))))</f>
        <v>0</v>
      </c>
    </row>
    <row r="403" spans="1:1">
      <c r="A403" s="39">
        <f>IF('6161 - Wallpaper (S)'!B403 = "", "", IF('6161-S-WUO_ERR'!A403 = "", "Validated", HYPERLINK("#" &amp; ADDRESS(ROW('6161-S-WUO_TRK'!A403), '6161-S-WUO_TRK'!A403), _xlfn.TEXTAFTER('6161-S-WUO_ERR'!A403, ":"))))</f>
        <v>0</v>
      </c>
    </row>
    <row r="404" spans="1:1">
      <c r="A404" s="39">
        <f>IF('6161 - Wallpaper (S)'!B404 = "", "", IF('6161-S-WUO_ERR'!A404 = "", "Validated", HYPERLINK("#" &amp; ADDRESS(ROW('6161-S-WUO_TRK'!A404), '6161-S-WUO_TRK'!A404), _xlfn.TEXTAFTER('6161-S-WUO_ERR'!A404, ":"))))</f>
        <v>0</v>
      </c>
    </row>
    <row r="405" spans="1:1">
      <c r="A405" s="39">
        <f>IF('6161 - Wallpaper (S)'!B405 = "", "", IF('6161-S-WUO_ERR'!A405 = "", "Validated", HYPERLINK("#" &amp; ADDRESS(ROW('6161-S-WUO_TRK'!A405), '6161-S-WUO_TRK'!A405), _xlfn.TEXTAFTER('6161-S-WUO_ERR'!A405, ":"))))</f>
        <v>0</v>
      </c>
    </row>
    <row r="406" spans="1:1">
      <c r="A406" s="39">
        <f>IF('6161 - Wallpaper (S)'!B406 = "", "", IF('6161-S-WUO_ERR'!A406 = "", "Validated", HYPERLINK("#" &amp; ADDRESS(ROW('6161-S-WUO_TRK'!A406), '6161-S-WUO_TRK'!A406), _xlfn.TEXTAFTER('6161-S-WUO_ERR'!A406, ":"))))</f>
        <v>0</v>
      </c>
    </row>
    <row r="407" spans="1:1">
      <c r="A407" s="39">
        <f>IF('6161 - Wallpaper (S)'!B407 = "", "", IF('6161-S-WUO_ERR'!A407 = "", "Validated", HYPERLINK("#" &amp; ADDRESS(ROW('6161-S-WUO_TRK'!A407), '6161-S-WUO_TRK'!A407), _xlfn.TEXTAFTER('6161-S-WUO_ERR'!A407, ":"))))</f>
        <v>0</v>
      </c>
    </row>
    <row r="408" spans="1:1">
      <c r="A408" s="39">
        <f>IF('6161 - Wallpaper (S)'!B408 = "", "", IF('6161-S-WUO_ERR'!A408 = "", "Validated", HYPERLINK("#" &amp; ADDRESS(ROW('6161-S-WUO_TRK'!A408), '6161-S-WUO_TRK'!A408), _xlfn.TEXTAFTER('6161-S-WUO_ERR'!A408, ":"))))</f>
        <v>0</v>
      </c>
    </row>
    <row r="409" spans="1:1">
      <c r="A409" s="39">
        <f>IF('6161 - Wallpaper (S)'!B409 = "", "", IF('6161-S-WUO_ERR'!A409 = "", "Validated", HYPERLINK("#" &amp; ADDRESS(ROW('6161-S-WUO_TRK'!A409), '6161-S-WUO_TRK'!A409), _xlfn.TEXTAFTER('6161-S-WUO_ERR'!A409, ":"))))</f>
        <v>0</v>
      </c>
    </row>
    <row r="410" spans="1:1">
      <c r="A410" s="39">
        <f>IF('6161 - Wallpaper (S)'!B410 = "", "", IF('6161-S-WUO_ERR'!A410 = "", "Validated", HYPERLINK("#" &amp; ADDRESS(ROW('6161-S-WUO_TRK'!A410), '6161-S-WUO_TRK'!A410), _xlfn.TEXTAFTER('6161-S-WUO_ERR'!A410, ":"))))</f>
        <v>0</v>
      </c>
    </row>
    <row r="411" spans="1:1">
      <c r="A411" s="39">
        <f>IF('6161 - Wallpaper (S)'!B411 = "", "", IF('6161-S-WUO_ERR'!A411 = "", "Validated", HYPERLINK("#" &amp; ADDRESS(ROW('6161-S-WUO_TRK'!A411), '6161-S-WUO_TRK'!A411), _xlfn.TEXTAFTER('6161-S-WUO_ERR'!A411, ":"))))</f>
        <v>0</v>
      </c>
    </row>
    <row r="412" spans="1:1">
      <c r="A412" s="39">
        <f>IF('6161 - Wallpaper (S)'!B412 = "", "", IF('6161-S-WUO_ERR'!A412 = "", "Validated", HYPERLINK("#" &amp; ADDRESS(ROW('6161-S-WUO_TRK'!A412), '6161-S-WUO_TRK'!A412), _xlfn.TEXTAFTER('6161-S-WUO_ERR'!A412, ":"))))</f>
        <v>0</v>
      </c>
    </row>
    <row r="413" spans="1:1">
      <c r="A413" s="39">
        <f>IF('6161 - Wallpaper (S)'!B413 = "", "", IF('6161-S-WUO_ERR'!A413 = "", "Validated", HYPERLINK("#" &amp; ADDRESS(ROW('6161-S-WUO_TRK'!A413), '6161-S-WUO_TRK'!A413), _xlfn.TEXTAFTER('6161-S-WUO_ERR'!A413, ":"))))</f>
        <v>0</v>
      </c>
    </row>
    <row r="414" spans="1:1">
      <c r="A414" s="39">
        <f>IF('6161 - Wallpaper (S)'!B414 = "", "", IF('6161-S-WUO_ERR'!A414 = "", "Validated", HYPERLINK("#" &amp; ADDRESS(ROW('6161-S-WUO_TRK'!A414), '6161-S-WUO_TRK'!A414), _xlfn.TEXTAFTER('6161-S-WUO_ERR'!A414, ":"))))</f>
        <v>0</v>
      </c>
    </row>
    <row r="415" spans="1:1">
      <c r="A415" s="39">
        <f>IF('6161 - Wallpaper (S)'!B415 = "", "", IF('6161-S-WUO_ERR'!A415 = "", "Validated", HYPERLINK("#" &amp; ADDRESS(ROW('6161-S-WUO_TRK'!A415), '6161-S-WUO_TRK'!A415), _xlfn.TEXTAFTER('6161-S-WUO_ERR'!A415, ":"))))</f>
        <v>0</v>
      </c>
    </row>
    <row r="416" spans="1:1">
      <c r="A416" s="39">
        <f>IF('6161 - Wallpaper (S)'!B416 = "", "", IF('6161-S-WUO_ERR'!A416 = "", "Validated", HYPERLINK("#" &amp; ADDRESS(ROW('6161-S-WUO_TRK'!A416), '6161-S-WUO_TRK'!A416), _xlfn.TEXTAFTER('6161-S-WUO_ERR'!A416, ":"))))</f>
        <v>0</v>
      </c>
    </row>
    <row r="417" spans="1:1">
      <c r="A417" s="39">
        <f>IF('6161 - Wallpaper (S)'!B417 = "", "", IF('6161-S-WUO_ERR'!A417 = "", "Validated", HYPERLINK("#" &amp; ADDRESS(ROW('6161-S-WUO_TRK'!A417), '6161-S-WUO_TRK'!A417), _xlfn.TEXTAFTER('6161-S-WUO_ERR'!A417, ":"))))</f>
        <v>0</v>
      </c>
    </row>
    <row r="418" spans="1:1">
      <c r="A418" s="39">
        <f>IF('6161 - Wallpaper (S)'!B418 = "", "", IF('6161-S-WUO_ERR'!A418 = "", "Validated", HYPERLINK("#" &amp; ADDRESS(ROW('6161-S-WUO_TRK'!A418), '6161-S-WUO_TRK'!A418), _xlfn.TEXTAFTER('6161-S-WUO_ERR'!A418, ":"))))</f>
        <v>0</v>
      </c>
    </row>
    <row r="419" spans="1:1">
      <c r="A419" s="39">
        <f>IF('6161 - Wallpaper (S)'!B419 = "", "", IF('6161-S-WUO_ERR'!A419 = "", "Validated", HYPERLINK("#" &amp; ADDRESS(ROW('6161-S-WUO_TRK'!A419), '6161-S-WUO_TRK'!A419), _xlfn.TEXTAFTER('6161-S-WUO_ERR'!A419, ":"))))</f>
        <v>0</v>
      </c>
    </row>
    <row r="420" spans="1:1">
      <c r="A420" s="39">
        <f>IF('6161 - Wallpaper (S)'!B420 = "", "", IF('6161-S-WUO_ERR'!A420 = "", "Validated", HYPERLINK("#" &amp; ADDRESS(ROW('6161-S-WUO_TRK'!A420), '6161-S-WUO_TRK'!A420), _xlfn.TEXTAFTER('6161-S-WUO_ERR'!A420, ":"))))</f>
        <v>0</v>
      </c>
    </row>
    <row r="421" spans="1:1">
      <c r="A421" s="39">
        <f>IF('6161 - Wallpaper (S)'!B421 = "", "", IF('6161-S-WUO_ERR'!A421 = "", "Validated", HYPERLINK("#" &amp; ADDRESS(ROW('6161-S-WUO_TRK'!A421), '6161-S-WUO_TRK'!A421), _xlfn.TEXTAFTER('6161-S-WUO_ERR'!A421, ":"))))</f>
        <v>0</v>
      </c>
    </row>
    <row r="422" spans="1:1">
      <c r="A422" s="39">
        <f>IF('6161 - Wallpaper (S)'!B422 = "", "", IF('6161-S-WUO_ERR'!A422 = "", "Validated", HYPERLINK("#" &amp; ADDRESS(ROW('6161-S-WUO_TRK'!A422), '6161-S-WUO_TRK'!A422), _xlfn.TEXTAFTER('6161-S-WUO_ERR'!A422, ":"))))</f>
        <v>0</v>
      </c>
    </row>
    <row r="423" spans="1:1">
      <c r="A423" s="39">
        <f>IF('6161 - Wallpaper (S)'!B423 = "", "", IF('6161-S-WUO_ERR'!A423 = "", "Validated", HYPERLINK("#" &amp; ADDRESS(ROW('6161-S-WUO_TRK'!A423), '6161-S-WUO_TRK'!A423), _xlfn.TEXTAFTER('6161-S-WUO_ERR'!A423, ":"))))</f>
        <v>0</v>
      </c>
    </row>
    <row r="424" spans="1:1">
      <c r="A424" s="39">
        <f>IF('6161 - Wallpaper (S)'!B424 = "", "", IF('6161-S-WUO_ERR'!A424 = "", "Validated", HYPERLINK("#" &amp; ADDRESS(ROW('6161-S-WUO_TRK'!A424), '6161-S-WUO_TRK'!A424), _xlfn.TEXTAFTER('6161-S-WUO_ERR'!A424, ":"))))</f>
        <v>0</v>
      </c>
    </row>
    <row r="425" spans="1:1">
      <c r="A425" s="39">
        <f>IF('6161 - Wallpaper (S)'!B425 = "", "", IF('6161-S-WUO_ERR'!A425 = "", "Validated", HYPERLINK("#" &amp; ADDRESS(ROW('6161-S-WUO_TRK'!A425), '6161-S-WUO_TRK'!A425), _xlfn.TEXTAFTER('6161-S-WUO_ERR'!A425, ":"))))</f>
        <v>0</v>
      </c>
    </row>
    <row r="426" spans="1:1">
      <c r="A426" s="39">
        <f>IF('6161 - Wallpaper (S)'!B426 = "", "", IF('6161-S-WUO_ERR'!A426 = "", "Validated", HYPERLINK("#" &amp; ADDRESS(ROW('6161-S-WUO_TRK'!A426), '6161-S-WUO_TRK'!A426), _xlfn.TEXTAFTER('6161-S-WUO_ERR'!A426, ":"))))</f>
        <v>0</v>
      </c>
    </row>
    <row r="427" spans="1:1">
      <c r="A427" s="39">
        <f>IF('6161 - Wallpaper (S)'!B427 = "", "", IF('6161-S-WUO_ERR'!A427 = "", "Validated", HYPERLINK("#" &amp; ADDRESS(ROW('6161-S-WUO_TRK'!A427), '6161-S-WUO_TRK'!A427), _xlfn.TEXTAFTER('6161-S-WUO_ERR'!A427, ":"))))</f>
        <v>0</v>
      </c>
    </row>
    <row r="428" spans="1:1">
      <c r="A428" s="39">
        <f>IF('6161 - Wallpaper (S)'!B428 = "", "", IF('6161-S-WUO_ERR'!A428 = "", "Validated", HYPERLINK("#" &amp; ADDRESS(ROW('6161-S-WUO_TRK'!A428), '6161-S-WUO_TRK'!A428), _xlfn.TEXTAFTER('6161-S-WUO_ERR'!A428, ":"))))</f>
        <v>0</v>
      </c>
    </row>
    <row r="429" spans="1:1">
      <c r="A429" s="39">
        <f>IF('6161 - Wallpaper (S)'!B429 = "", "", IF('6161-S-WUO_ERR'!A429 = "", "Validated", HYPERLINK("#" &amp; ADDRESS(ROW('6161-S-WUO_TRK'!A429), '6161-S-WUO_TRK'!A429), _xlfn.TEXTAFTER('6161-S-WUO_ERR'!A429, ":"))))</f>
        <v>0</v>
      </c>
    </row>
    <row r="430" spans="1:1">
      <c r="A430" s="39">
        <f>IF('6161 - Wallpaper (S)'!B430 = "", "", IF('6161-S-WUO_ERR'!A430 = "", "Validated", HYPERLINK("#" &amp; ADDRESS(ROW('6161-S-WUO_TRK'!A430), '6161-S-WUO_TRK'!A430), _xlfn.TEXTAFTER('6161-S-WUO_ERR'!A430, ":"))))</f>
        <v>0</v>
      </c>
    </row>
    <row r="431" spans="1:1">
      <c r="A431" s="39">
        <f>IF('6161 - Wallpaper (S)'!B431 = "", "", IF('6161-S-WUO_ERR'!A431 = "", "Validated", HYPERLINK("#" &amp; ADDRESS(ROW('6161-S-WUO_TRK'!A431), '6161-S-WUO_TRK'!A431), _xlfn.TEXTAFTER('6161-S-WUO_ERR'!A431, ":"))))</f>
        <v>0</v>
      </c>
    </row>
    <row r="432" spans="1:1">
      <c r="A432" s="39">
        <f>IF('6161 - Wallpaper (S)'!B432 = "", "", IF('6161-S-WUO_ERR'!A432 = "", "Validated", HYPERLINK("#" &amp; ADDRESS(ROW('6161-S-WUO_TRK'!A432), '6161-S-WUO_TRK'!A432), _xlfn.TEXTAFTER('6161-S-WUO_ERR'!A432, ":"))))</f>
        <v>0</v>
      </c>
    </row>
    <row r="433" spans="1:1">
      <c r="A433" s="39">
        <f>IF('6161 - Wallpaper (S)'!B433 = "", "", IF('6161-S-WUO_ERR'!A433 = "", "Validated", HYPERLINK("#" &amp; ADDRESS(ROW('6161-S-WUO_TRK'!A433), '6161-S-WUO_TRK'!A433), _xlfn.TEXTAFTER('6161-S-WUO_ERR'!A433, ":"))))</f>
        <v>0</v>
      </c>
    </row>
    <row r="434" spans="1:1">
      <c r="A434" s="39">
        <f>IF('6161 - Wallpaper (S)'!B434 = "", "", IF('6161-S-WUO_ERR'!A434 = "", "Validated", HYPERLINK("#" &amp; ADDRESS(ROW('6161-S-WUO_TRK'!A434), '6161-S-WUO_TRK'!A434), _xlfn.TEXTAFTER('6161-S-WUO_ERR'!A434, ":"))))</f>
        <v>0</v>
      </c>
    </row>
    <row r="435" spans="1:1">
      <c r="A435" s="39">
        <f>IF('6161 - Wallpaper (S)'!B435 = "", "", IF('6161-S-WUO_ERR'!A435 = "", "Validated", HYPERLINK("#" &amp; ADDRESS(ROW('6161-S-WUO_TRK'!A435), '6161-S-WUO_TRK'!A435), _xlfn.TEXTAFTER('6161-S-WUO_ERR'!A435, ":"))))</f>
        <v>0</v>
      </c>
    </row>
    <row r="436" spans="1:1">
      <c r="A436" s="39">
        <f>IF('6161 - Wallpaper (S)'!B436 = "", "", IF('6161-S-WUO_ERR'!A436 = "", "Validated", HYPERLINK("#" &amp; ADDRESS(ROW('6161-S-WUO_TRK'!A436), '6161-S-WUO_TRK'!A436), _xlfn.TEXTAFTER('6161-S-WUO_ERR'!A436, ":"))))</f>
        <v>0</v>
      </c>
    </row>
    <row r="437" spans="1:1">
      <c r="A437" s="39">
        <f>IF('6161 - Wallpaper (S)'!B437 = "", "", IF('6161-S-WUO_ERR'!A437 = "", "Validated", HYPERLINK("#" &amp; ADDRESS(ROW('6161-S-WUO_TRK'!A437), '6161-S-WUO_TRK'!A437), _xlfn.TEXTAFTER('6161-S-WUO_ERR'!A437, ":"))))</f>
        <v>0</v>
      </c>
    </row>
    <row r="438" spans="1:1">
      <c r="A438" s="39">
        <f>IF('6161 - Wallpaper (S)'!B438 = "", "", IF('6161-S-WUO_ERR'!A438 = "", "Validated", HYPERLINK("#" &amp; ADDRESS(ROW('6161-S-WUO_TRK'!A438), '6161-S-WUO_TRK'!A438), _xlfn.TEXTAFTER('6161-S-WUO_ERR'!A438, ":"))))</f>
        <v>0</v>
      </c>
    </row>
    <row r="439" spans="1:1">
      <c r="A439" s="39">
        <f>IF('6161 - Wallpaper (S)'!B439 = "", "", IF('6161-S-WUO_ERR'!A439 = "", "Validated", HYPERLINK("#" &amp; ADDRESS(ROW('6161-S-WUO_TRK'!A439), '6161-S-WUO_TRK'!A439), _xlfn.TEXTAFTER('6161-S-WUO_ERR'!A439, ":"))))</f>
        <v>0</v>
      </c>
    </row>
    <row r="440" spans="1:1">
      <c r="A440" s="39">
        <f>IF('6161 - Wallpaper (S)'!B440 = "", "", IF('6161-S-WUO_ERR'!A440 = "", "Validated", HYPERLINK("#" &amp; ADDRESS(ROW('6161-S-WUO_TRK'!A440), '6161-S-WUO_TRK'!A440), _xlfn.TEXTAFTER('6161-S-WUO_ERR'!A440, ":"))))</f>
        <v>0</v>
      </c>
    </row>
    <row r="441" spans="1:1">
      <c r="A441" s="39">
        <f>IF('6161 - Wallpaper (S)'!B441 = "", "", IF('6161-S-WUO_ERR'!A441 = "", "Validated", HYPERLINK("#" &amp; ADDRESS(ROW('6161-S-WUO_TRK'!A441), '6161-S-WUO_TRK'!A441), _xlfn.TEXTAFTER('6161-S-WUO_ERR'!A441, ":"))))</f>
        <v>0</v>
      </c>
    </row>
    <row r="442" spans="1:1">
      <c r="A442" s="39">
        <f>IF('6161 - Wallpaper (S)'!B442 = "", "", IF('6161-S-WUO_ERR'!A442 = "", "Validated", HYPERLINK("#" &amp; ADDRESS(ROW('6161-S-WUO_TRK'!A442), '6161-S-WUO_TRK'!A442), _xlfn.TEXTAFTER('6161-S-WUO_ERR'!A442, ":"))))</f>
        <v>0</v>
      </c>
    </row>
    <row r="443" spans="1:1">
      <c r="A443" s="39">
        <f>IF('6161 - Wallpaper (S)'!B443 = "", "", IF('6161-S-WUO_ERR'!A443 = "", "Validated", HYPERLINK("#" &amp; ADDRESS(ROW('6161-S-WUO_TRK'!A443), '6161-S-WUO_TRK'!A443), _xlfn.TEXTAFTER('6161-S-WUO_ERR'!A443, ":"))))</f>
        <v>0</v>
      </c>
    </row>
    <row r="444" spans="1:1">
      <c r="A444" s="39">
        <f>IF('6161 - Wallpaper (S)'!B444 = "", "", IF('6161-S-WUO_ERR'!A444 = "", "Validated", HYPERLINK("#" &amp; ADDRESS(ROW('6161-S-WUO_TRK'!A444), '6161-S-WUO_TRK'!A444), _xlfn.TEXTAFTER('6161-S-WUO_ERR'!A444, ":"))))</f>
        <v>0</v>
      </c>
    </row>
    <row r="445" spans="1:1">
      <c r="A445" s="39">
        <f>IF('6161 - Wallpaper (S)'!B445 = "", "", IF('6161-S-WUO_ERR'!A445 = "", "Validated", HYPERLINK("#" &amp; ADDRESS(ROW('6161-S-WUO_TRK'!A445), '6161-S-WUO_TRK'!A445), _xlfn.TEXTAFTER('6161-S-WUO_ERR'!A445, ":"))))</f>
        <v>0</v>
      </c>
    </row>
    <row r="446" spans="1:1">
      <c r="A446" s="39">
        <f>IF('6161 - Wallpaper (S)'!B446 = "", "", IF('6161-S-WUO_ERR'!A446 = "", "Validated", HYPERLINK("#" &amp; ADDRESS(ROW('6161-S-WUO_TRK'!A446), '6161-S-WUO_TRK'!A446), _xlfn.TEXTAFTER('6161-S-WUO_ERR'!A446, ":"))))</f>
        <v>0</v>
      </c>
    </row>
    <row r="447" spans="1:1">
      <c r="A447" s="39">
        <f>IF('6161 - Wallpaper (S)'!B447 = "", "", IF('6161-S-WUO_ERR'!A447 = "", "Validated", HYPERLINK("#" &amp; ADDRESS(ROW('6161-S-WUO_TRK'!A447), '6161-S-WUO_TRK'!A447), _xlfn.TEXTAFTER('6161-S-WUO_ERR'!A447, ":"))))</f>
        <v>0</v>
      </c>
    </row>
    <row r="448" spans="1:1">
      <c r="A448" s="39">
        <f>IF('6161 - Wallpaper (S)'!B448 = "", "", IF('6161-S-WUO_ERR'!A448 = "", "Validated", HYPERLINK("#" &amp; ADDRESS(ROW('6161-S-WUO_TRK'!A448), '6161-S-WUO_TRK'!A448), _xlfn.TEXTAFTER('6161-S-WUO_ERR'!A448, ":"))))</f>
        <v>0</v>
      </c>
    </row>
    <row r="449" spans="1:1">
      <c r="A449" s="39">
        <f>IF('6161 - Wallpaper (S)'!B449 = "", "", IF('6161-S-WUO_ERR'!A449 = "", "Validated", HYPERLINK("#" &amp; ADDRESS(ROW('6161-S-WUO_TRK'!A449), '6161-S-WUO_TRK'!A449), _xlfn.TEXTAFTER('6161-S-WUO_ERR'!A449, ":"))))</f>
        <v>0</v>
      </c>
    </row>
    <row r="450" spans="1:1">
      <c r="A450" s="39">
        <f>IF('6161 - Wallpaper (S)'!B450 = "", "", IF('6161-S-WUO_ERR'!A450 = "", "Validated", HYPERLINK("#" &amp; ADDRESS(ROW('6161-S-WUO_TRK'!A450), '6161-S-WUO_TRK'!A450), _xlfn.TEXTAFTER('6161-S-WUO_ERR'!A450, ":"))))</f>
        <v>0</v>
      </c>
    </row>
    <row r="451" spans="1:1">
      <c r="A451" s="39">
        <f>IF('6161 - Wallpaper (S)'!B451 = "", "", IF('6161-S-WUO_ERR'!A451 = "", "Validated", HYPERLINK("#" &amp; ADDRESS(ROW('6161-S-WUO_TRK'!A451), '6161-S-WUO_TRK'!A451), _xlfn.TEXTAFTER('6161-S-WUO_ERR'!A451, ":"))))</f>
        <v>0</v>
      </c>
    </row>
    <row r="452" spans="1:1">
      <c r="A452" s="39">
        <f>IF('6161 - Wallpaper (S)'!B452 = "", "", IF('6161-S-WUO_ERR'!A452 = "", "Validated", HYPERLINK("#" &amp; ADDRESS(ROW('6161-S-WUO_TRK'!A452), '6161-S-WUO_TRK'!A452), _xlfn.TEXTAFTER('6161-S-WUO_ERR'!A452, ":"))))</f>
        <v>0</v>
      </c>
    </row>
    <row r="453" spans="1:1">
      <c r="A453" s="39">
        <f>IF('6161 - Wallpaper (S)'!B453 = "", "", IF('6161-S-WUO_ERR'!A453 = "", "Validated", HYPERLINK("#" &amp; ADDRESS(ROW('6161-S-WUO_TRK'!A453), '6161-S-WUO_TRK'!A453), _xlfn.TEXTAFTER('6161-S-WUO_ERR'!A453, ":"))))</f>
        <v>0</v>
      </c>
    </row>
    <row r="454" spans="1:1">
      <c r="A454" s="39">
        <f>IF('6161 - Wallpaper (S)'!B454 = "", "", IF('6161-S-WUO_ERR'!A454 = "", "Validated", HYPERLINK("#" &amp; ADDRESS(ROW('6161-S-WUO_TRK'!A454), '6161-S-WUO_TRK'!A454), _xlfn.TEXTAFTER('6161-S-WUO_ERR'!A454, ":"))))</f>
        <v>0</v>
      </c>
    </row>
    <row r="455" spans="1:1">
      <c r="A455" s="39">
        <f>IF('6161 - Wallpaper (S)'!B455 = "", "", IF('6161-S-WUO_ERR'!A455 = "", "Validated", HYPERLINK("#" &amp; ADDRESS(ROW('6161-S-WUO_TRK'!A455), '6161-S-WUO_TRK'!A455), _xlfn.TEXTAFTER('6161-S-WUO_ERR'!A455, ":"))))</f>
        <v>0</v>
      </c>
    </row>
    <row r="456" spans="1:1">
      <c r="A456" s="39">
        <f>IF('6161 - Wallpaper (S)'!B456 = "", "", IF('6161-S-WUO_ERR'!A456 = "", "Validated", HYPERLINK("#" &amp; ADDRESS(ROW('6161-S-WUO_TRK'!A456), '6161-S-WUO_TRK'!A456), _xlfn.TEXTAFTER('6161-S-WUO_ERR'!A456, ":"))))</f>
        <v>0</v>
      </c>
    </row>
    <row r="457" spans="1:1">
      <c r="A457" s="39">
        <f>IF('6161 - Wallpaper (S)'!B457 = "", "", IF('6161-S-WUO_ERR'!A457 = "", "Validated", HYPERLINK("#" &amp; ADDRESS(ROW('6161-S-WUO_TRK'!A457), '6161-S-WUO_TRK'!A457), _xlfn.TEXTAFTER('6161-S-WUO_ERR'!A457, ":"))))</f>
        <v>0</v>
      </c>
    </row>
    <row r="458" spans="1:1">
      <c r="A458" s="39">
        <f>IF('6161 - Wallpaper (S)'!B458 = "", "", IF('6161-S-WUO_ERR'!A458 = "", "Validated", HYPERLINK("#" &amp; ADDRESS(ROW('6161-S-WUO_TRK'!A458), '6161-S-WUO_TRK'!A458), _xlfn.TEXTAFTER('6161-S-WUO_ERR'!A458, ":"))))</f>
        <v>0</v>
      </c>
    </row>
    <row r="459" spans="1:1">
      <c r="A459" s="39">
        <f>IF('6161 - Wallpaper (S)'!B459 = "", "", IF('6161-S-WUO_ERR'!A459 = "", "Validated", HYPERLINK("#" &amp; ADDRESS(ROW('6161-S-WUO_TRK'!A459), '6161-S-WUO_TRK'!A459), _xlfn.TEXTAFTER('6161-S-WUO_ERR'!A459, ":"))))</f>
        <v>0</v>
      </c>
    </row>
    <row r="460" spans="1:1">
      <c r="A460" s="39">
        <f>IF('6161 - Wallpaper (S)'!B460 = "", "", IF('6161-S-WUO_ERR'!A460 = "", "Validated", HYPERLINK("#" &amp; ADDRESS(ROW('6161-S-WUO_TRK'!A460), '6161-S-WUO_TRK'!A460), _xlfn.TEXTAFTER('6161-S-WUO_ERR'!A460, ":"))))</f>
        <v>0</v>
      </c>
    </row>
    <row r="461" spans="1:1">
      <c r="A461" s="39">
        <f>IF('6161 - Wallpaper (S)'!B461 = "", "", IF('6161-S-WUO_ERR'!A461 = "", "Validated", HYPERLINK("#" &amp; ADDRESS(ROW('6161-S-WUO_TRK'!A461), '6161-S-WUO_TRK'!A461), _xlfn.TEXTAFTER('6161-S-WUO_ERR'!A461, ":"))))</f>
        <v>0</v>
      </c>
    </row>
    <row r="462" spans="1:1">
      <c r="A462" s="39">
        <f>IF('6161 - Wallpaper (S)'!B462 = "", "", IF('6161-S-WUO_ERR'!A462 = "", "Validated", HYPERLINK("#" &amp; ADDRESS(ROW('6161-S-WUO_TRK'!A462), '6161-S-WUO_TRK'!A462), _xlfn.TEXTAFTER('6161-S-WUO_ERR'!A462, ":"))))</f>
        <v>0</v>
      </c>
    </row>
    <row r="463" spans="1:1">
      <c r="A463" s="39">
        <f>IF('6161 - Wallpaper (S)'!B463 = "", "", IF('6161-S-WUO_ERR'!A463 = "", "Validated", HYPERLINK("#" &amp; ADDRESS(ROW('6161-S-WUO_TRK'!A463), '6161-S-WUO_TRK'!A463), _xlfn.TEXTAFTER('6161-S-WUO_ERR'!A463, ":"))))</f>
        <v>0</v>
      </c>
    </row>
    <row r="464" spans="1:1">
      <c r="A464" s="39">
        <f>IF('6161 - Wallpaper (S)'!B464 = "", "", IF('6161-S-WUO_ERR'!A464 = "", "Validated", HYPERLINK("#" &amp; ADDRESS(ROW('6161-S-WUO_TRK'!A464), '6161-S-WUO_TRK'!A464), _xlfn.TEXTAFTER('6161-S-WUO_ERR'!A464, ":"))))</f>
        <v>0</v>
      </c>
    </row>
    <row r="465" spans="1:1">
      <c r="A465" s="39">
        <f>IF('6161 - Wallpaper (S)'!B465 = "", "", IF('6161-S-WUO_ERR'!A465 = "", "Validated", HYPERLINK("#" &amp; ADDRESS(ROW('6161-S-WUO_TRK'!A465), '6161-S-WUO_TRK'!A465), _xlfn.TEXTAFTER('6161-S-WUO_ERR'!A465, ":"))))</f>
        <v>0</v>
      </c>
    </row>
    <row r="466" spans="1:1">
      <c r="A466" s="39">
        <f>IF('6161 - Wallpaper (S)'!B466 = "", "", IF('6161-S-WUO_ERR'!A466 = "", "Validated", HYPERLINK("#" &amp; ADDRESS(ROW('6161-S-WUO_TRK'!A466), '6161-S-WUO_TRK'!A466), _xlfn.TEXTAFTER('6161-S-WUO_ERR'!A466, ":"))))</f>
        <v>0</v>
      </c>
    </row>
    <row r="467" spans="1:1">
      <c r="A467" s="39">
        <f>IF('6161 - Wallpaper (S)'!B467 = "", "", IF('6161-S-WUO_ERR'!A467 = "", "Validated", HYPERLINK("#" &amp; ADDRESS(ROW('6161-S-WUO_TRK'!A467), '6161-S-WUO_TRK'!A467), _xlfn.TEXTAFTER('6161-S-WUO_ERR'!A467, ":"))))</f>
        <v>0</v>
      </c>
    </row>
    <row r="468" spans="1:1">
      <c r="A468" s="39">
        <f>IF('6161 - Wallpaper (S)'!B468 = "", "", IF('6161-S-WUO_ERR'!A468 = "", "Validated", HYPERLINK("#" &amp; ADDRESS(ROW('6161-S-WUO_TRK'!A468), '6161-S-WUO_TRK'!A468), _xlfn.TEXTAFTER('6161-S-WUO_ERR'!A468, ":"))))</f>
        <v>0</v>
      </c>
    </row>
    <row r="469" spans="1:1">
      <c r="A469" s="39">
        <f>IF('6161 - Wallpaper (S)'!B469 = "", "", IF('6161-S-WUO_ERR'!A469 = "", "Validated", HYPERLINK("#" &amp; ADDRESS(ROW('6161-S-WUO_TRK'!A469), '6161-S-WUO_TRK'!A469), _xlfn.TEXTAFTER('6161-S-WUO_ERR'!A469, ":"))))</f>
        <v>0</v>
      </c>
    </row>
    <row r="470" spans="1:1">
      <c r="A470" s="39">
        <f>IF('6161 - Wallpaper (S)'!B470 = "", "", IF('6161-S-WUO_ERR'!A470 = "", "Validated", HYPERLINK("#" &amp; ADDRESS(ROW('6161-S-WUO_TRK'!A470), '6161-S-WUO_TRK'!A470), _xlfn.TEXTAFTER('6161-S-WUO_ERR'!A470, ":"))))</f>
        <v>0</v>
      </c>
    </row>
    <row r="471" spans="1:1">
      <c r="A471" s="39">
        <f>IF('6161 - Wallpaper (S)'!B471 = "", "", IF('6161-S-WUO_ERR'!A471 = "", "Validated", HYPERLINK("#" &amp; ADDRESS(ROW('6161-S-WUO_TRK'!A471), '6161-S-WUO_TRK'!A471), _xlfn.TEXTAFTER('6161-S-WUO_ERR'!A471, ":"))))</f>
        <v>0</v>
      </c>
    </row>
    <row r="472" spans="1:1">
      <c r="A472" s="39">
        <f>IF('6161 - Wallpaper (S)'!B472 = "", "", IF('6161-S-WUO_ERR'!A472 = "", "Validated", HYPERLINK("#" &amp; ADDRESS(ROW('6161-S-WUO_TRK'!A472), '6161-S-WUO_TRK'!A472), _xlfn.TEXTAFTER('6161-S-WUO_ERR'!A472, ":"))))</f>
        <v>0</v>
      </c>
    </row>
    <row r="473" spans="1:1">
      <c r="A473" s="39">
        <f>IF('6161 - Wallpaper (S)'!B473 = "", "", IF('6161-S-WUO_ERR'!A473 = "", "Validated", HYPERLINK("#" &amp; ADDRESS(ROW('6161-S-WUO_TRK'!A473), '6161-S-WUO_TRK'!A473), _xlfn.TEXTAFTER('6161-S-WUO_ERR'!A473, ":"))))</f>
        <v>0</v>
      </c>
    </row>
    <row r="474" spans="1:1">
      <c r="A474" s="39">
        <f>IF('6161 - Wallpaper (S)'!B474 = "", "", IF('6161-S-WUO_ERR'!A474 = "", "Validated", HYPERLINK("#" &amp; ADDRESS(ROW('6161-S-WUO_TRK'!A474), '6161-S-WUO_TRK'!A474), _xlfn.TEXTAFTER('6161-S-WUO_ERR'!A474, ":"))))</f>
        <v>0</v>
      </c>
    </row>
    <row r="475" spans="1:1">
      <c r="A475" s="39">
        <f>IF('6161 - Wallpaper (S)'!B475 = "", "", IF('6161-S-WUO_ERR'!A475 = "", "Validated", HYPERLINK("#" &amp; ADDRESS(ROW('6161-S-WUO_TRK'!A475), '6161-S-WUO_TRK'!A475), _xlfn.TEXTAFTER('6161-S-WUO_ERR'!A475, ":"))))</f>
        <v>0</v>
      </c>
    </row>
    <row r="476" spans="1:1">
      <c r="A476" s="39">
        <f>IF('6161 - Wallpaper (S)'!B476 = "", "", IF('6161-S-WUO_ERR'!A476 = "", "Validated", HYPERLINK("#" &amp; ADDRESS(ROW('6161-S-WUO_TRK'!A476), '6161-S-WUO_TRK'!A476), _xlfn.TEXTAFTER('6161-S-WUO_ERR'!A476, ":"))))</f>
        <v>0</v>
      </c>
    </row>
    <row r="477" spans="1:1">
      <c r="A477" s="39">
        <f>IF('6161 - Wallpaper (S)'!B477 = "", "", IF('6161-S-WUO_ERR'!A477 = "", "Validated", HYPERLINK("#" &amp; ADDRESS(ROW('6161-S-WUO_TRK'!A477), '6161-S-WUO_TRK'!A477), _xlfn.TEXTAFTER('6161-S-WUO_ERR'!A477, ":"))))</f>
        <v>0</v>
      </c>
    </row>
    <row r="478" spans="1:1">
      <c r="A478" s="39">
        <f>IF('6161 - Wallpaper (S)'!B478 = "", "", IF('6161-S-WUO_ERR'!A478 = "", "Validated", HYPERLINK("#" &amp; ADDRESS(ROW('6161-S-WUO_TRK'!A478), '6161-S-WUO_TRK'!A478), _xlfn.TEXTAFTER('6161-S-WUO_ERR'!A478, ":"))))</f>
        <v>0</v>
      </c>
    </row>
    <row r="479" spans="1:1">
      <c r="A479" s="39">
        <f>IF('6161 - Wallpaper (S)'!B479 = "", "", IF('6161-S-WUO_ERR'!A479 = "", "Validated", HYPERLINK("#" &amp; ADDRESS(ROW('6161-S-WUO_TRK'!A479), '6161-S-WUO_TRK'!A479), _xlfn.TEXTAFTER('6161-S-WUO_ERR'!A479, ":"))))</f>
        <v>0</v>
      </c>
    </row>
    <row r="480" spans="1:1">
      <c r="A480" s="39">
        <f>IF('6161 - Wallpaper (S)'!B480 = "", "", IF('6161-S-WUO_ERR'!A480 = "", "Validated", HYPERLINK("#" &amp; ADDRESS(ROW('6161-S-WUO_TRK'!A480), '6161-S-WUO_TRK'!A480), _xlfn.TEXTAFTER('6161-S-WUO_ERR'!A480, ":"))))</f>
        <v>0</v>
      </c>
    </row>
    <row r="481" spans="1:1">
      <c r="A481" s="39">
        <f>IF('6161 - Wallpaper (S)'!B481 = "", "", IF('6161-S-WUO_ERR'!A481 = "", "Validated", HYPERLINK("#" &amp; ADDRESS(ROW('6161-S-WUO_TRK'!A481), '6161-S-WUO_TRK'!A481), _xlfn.TEXTAFTER('6161-S-WUO_ERR'!A481, ":"))))</f>
        <v>0</v>
      </c>
    </row>
    <row r="482" spans="1:1">
      <c r="A482" s="39">
        <f>IF('6161 - Wallpaper (S)'!B482 = "", "", IF('6161-S-WUO_ERR'!A482 = "", "Validated", HYPERLINK("#" &amp; ADDRESS(ROW('6161-S-WUO_TRK'!A482), '6161-S-WUO_TRK'!A482), _xlfn.TEXTAFTER('6161-S-WUO_ERR'!A482, ":"))))</f>
        <v>0</v>
      </c>
    </row>
    <row r="483" spans="1:1">
      <c r="A483" s="39">
        <f>IF('6161 - Wallpaper (S)'!B483 = "", "", IF('6161-S-WUO_ERR'!A483 = "", "Validated", HYPERLINK("#" &amp; ADDRESS(ROW('6161-S-WUO_TRK'!A483), '6161-S-WUO_TRK'!A483), _xlfn.TEXTAFTER('6161-S-WUO_ERR'!A483, ":"))))</f>
        <v>0</v>
      </c>
    </row>
    <row r="484" spans="1:1">
      <c r="A484" s="39">
        <f>IF('6161 - Wallpaper (S)'!B484 = "", "", IF('6161-S-WUO_ERR'!A484 = "", "Validated", HYPERLINK("#" &amp; ADDRESS(ROW('6161-S-WUO_TRK'!A484), '6161-S-WUO_TRK'!A484), _xlfn.TEXTAFTER('6161-S-WUO_ERR'!A484, ":"))))</f>
        <v>0</v>
      </c>
    </row>
    <row r="485" spans="1:1">
      <c r="A485" s="39">
        <f>IF('6161 - Wallpaper (S)'!B485 = "", "", IF('6161-S-WUO_ERR'!A485 = "", "Validated", HYPERLINK("#" &amp; ADDRESS(ROW('6161-S-WUO_TRK'!A485), '6161-S-WUO_TRK'!A485), _xlfn.TEXTAFTER('6161-S-WUO_ERR'!A485, ":"))))</f>
        <v>0</v>
      </c>
    </row>
    <row r="486" spans="1:1">
      <c r="A486" s="39">
        <f>IF('6161 - Wallpaper (S)'!B486 = "", "", IF('6161-S-WUO_ERR'!A486 = "", "Validated", HYPERLINK("#" &amp; ADDRESS(ROW('6161-S-WUO_TRK'!A486), '6161-S-WUO_TRK'!A486), _xlfn.TEXTAFTER('6161-S-WUO_ERR'!A486, ":"))))</f>
        <v>0</v>
      </c>
    </row>
    <row r="487" spans="1:1">
      <c r="A487" s="39">
        <f>IF('6161 - Wallpaper (S)'!B487 = "", "", IF('6161-S-WUO_ERR'!A487 = "", "Validated", HYPERLINK("#" &amp; ADDRESS(ROW('6161-S-WUO_TRK'!A487), '6161-S-WUO_TRK'!A487), _xlfn.TEXTAFTER('6161-S-WUO_ERR'!A487, ":"))))</f>
        <v>0</v>
      </c>
    </row>
    <row r="488" spans="1:1">
      <c r="A488" s="39">
        <f>IF('6161 - Wallpaper (S)'!B488 = "", "", IF('6161-S-WUO_ERR'!A488 = "", "Validated", HYPERLINK("#" &amp; ADDRESS(ROW('6161-S-WUO_TRK'!A488), '6161-S-WUO_TRK'!A488), _xlfn.TEXTAFTER('6161-S-WUO_ERR'!A488, ":"))))</f>
        <v>0</v>
      </c>
    </row>
    <row r="489" spans="1:1">
      <c r="A489" s="39">
        <f>IF('6161 - Wallpaper (S)'!B489 = "", "", IF('6161-S-WUO_ERR'!A489 = "", "Validated", HYPERLINK("#" &amp; ADDRESS(ROW('6161-S-WUO_TRK'!A489), '6161-S-WUO_TRK'!A489), _xlfn.TEXTAFTER('6161-S-WUO_ERR'!A489, ":"))))</f>
        <v>0</v>
      </c>
    </row>
    <row r="490" spans="1:1">
      <c r="A490" s="39">
        <f>IF('6161 - Wallpaper (S)'!B490 = "", "", IF('6161-S-WUO_ERR'!A490 = "", "Validated", HYPERLINK("#" &amp; ADDRESS(ROW('6161-S-WUO_TRK'!A490), '6161-S-WUO_TRK'!A490), _xlfn.TEXTAFTER('6161-S-WUO_ERR'!A490, ":"))))</f>
        <v>0</v>
      </c>
    </row>
    <row r="491" spans="1:1">
      <c r="A491" s="39">
        <f>IF('6161 - Wallpaper (S)'!B491 = "", "", IF('6161-S-WUO_ERR'!A491 = "", "Validated", HYPERLINK("#" &amp; ADDRESS(ROW('6161-S-WUO_TRK'!A491), '6161-S-WUO_TRK'!A491), _xlfn.TEXTAFTER('6161-S-WUO_ERR'!A491, ":"))))</f>
        <v>0</v>
      </c>
    </row>
    <row r="492" spans="1:1">
      <c r="A492" s="39">
        <f>IF('6161 - Wallpaper (S)'!B492 = "", "", IF('6161-S-WUO_ERR'!A492 = "", "Validated", HYPERLINK("#" &amp; ADDRESS(ROW('6161-S-WUO_TRK'!A492), '6161-S-WUO_TRK'!A492), _xlfn.TEXTAFTER('6161-S-WUO_ERR'!A492, ":"))))</f>
        <v>0</v>
      </c>
    </row>
    <row r="493" spans="1:1">
      <c r="A493" s="39">
        <f>IF('6161 - Wallpaper (S)'!B493 = "", "", IF('6161-S-WUO_ERR'!A493 = "", "Validated", HYPERLINK("#" &amp; ADDRESS(ROW('6161-S-WUO_TRK'!A493), '6161-S-WUO_TRK'!A493), _xlfn.TEXTAFTER('6161-S-WUO_ERR'!A493, ":"))))</f>
        <v>0</v>
      </c>
    </row>
    <row r="494" spans="1:1">
      <c r="A494" s="39">
        <f>IF('6161 - Wallpaper (S)'!B494 = "", "", IF('6161-S-WUO_ERR'!A494 = "", "Validated", HYPERLINK("#" &amp; ADDRESS(ROW('6161-S-WUO_TRK'!A494), '6161-S-WUO_TRK'!A494), _xlfn.TEXTAFTER('6161-S-WUO_ERR'!A494, ":"))))</f>
        <v>0</v>
      </c>
    </row>
    <row r="495" spans="1:1">
      <c r="A495" s="39">
        <f>IF('6161 - Wallpaper (S)'!B495 = "", "", IF('6161-S-WUO_ERR'!A495 = "", "Validated", HYPERLINK("#" &amp; ADDRESS(ROW('6161-S-WUO_TRK'!A495), '6161-S-WUO_TRK'!A495), _xlfn.TEXTAFTER('6161-S-WUO_ERR'!A495, ":"))))</f>
        <v>0</v>
      </c>
    </row>
    <row r="496" spans="1:1">
      <c r="A496" s="39">
        <f>IF('6161 - Wallpaper (S)'!B496 = "", "", IF('6161-S-WUO_ERR'!A496 = "", "Validated", HYPERLINK("#" &amp; ADDRESS(ROW('6161-S-WUO_TRK'!A496), '6161-S-WUO_TRK'!A496), _xlfn.TEXTAFTER('6161-S-WUO_ERR'!A496, ":"))))</f>
        <v>0</v>
      </c>
    </row>
    <row r="497" spans="1:1">
      <c r="A497" s="39">
        <f>IF('6161 - Wallpaper (S)'!B497 = "", "", IF('6161-S-WUO_ERR'!A497 = "", "Validated", HYPERLINK("#" &amp; ADDRESS(ROW('6161-S-WUO_TRK'!A497), '6161-S-WUO_TRK'!A497), _xlfn.TEXTAFTER('6161-S-WUO_ERR'!A497, ":"))))</f>
        <v>0</v>
      </c>
    </row>
    <row r="498" spans="1:1">
      <c r="A498" s="39">
        <f>IF('6161 - Wallpaper (S)'!B498 = "", "", IF('6161-S-WUO_ERR'!A498 = "", "Validated", HYPERLINK("#" &amp; ADDRESS(ROW('6161-S-WUO_TRK'!A498), '6161-S-WUO_TRK'!A498), _xlfn.TEXTAFTER('6161-S-WUO_ERR'!A498, ":"))))</f>
        <v>0</v>
      </c>
    </row>
    <row r="499" spans="1:1">
      <c r="A499" s="39">
        <f>IF('6161 - Wallpaper (S)'!B499 = "", "", IF('6161-S-WUO_ERR'!A499 = "", "Validated", HYPERLINK("#" &amp; ADDRESS(ROW('6161-S-WUO_TRK'!A499), '6161-S-WUO_TRK'!A499), _xlfn.TEXTAFTER('6161-S-WUO_ERR'!A499, ":"))))</f>
        <v>0</v>
      </c>
    </row>
    <row r="500" spans="1:1">
      <c r="A500" s="39">
        <f>IF('6161 - Wallpaper (S)'!B500 = "", "", IF('6161-S-WUO_ERR'!A500 = "", "Validated", HYPERLINK("#" &amp; ADDRESS(ROW('6161-S-WUO_TRK'!A500), '6161-S-WUO_TRK'!A500), _xlfn.TEXTAFTER('6161-S-WUO_ERR'!A500, ":"))))</f>
        <v>0</v>
      </c>
    </row>
    <row r="501" spans="1:1">
      <c r="A501" s="39">
        <f>IF('6161 - Wallpaper (S)'!B501 = "", "", IF('6161-S-WUO_ERR'!A501 = "", "Validated", HYPERLINK("#" &amp; ADDRESS(ROW('6161-S-WUO_TRK'!A501), '6161-S-WUO_TRK'!A501), _xlfn.TEXTAFTER('6161-S-WUO_ERR'!A501, ":"))))</f>
        <v>0</v>
      </c>
    </row>
    <row r="502" spans="1:1">
      <c r="A502" s="39">
        <f>IF('6161 - Wallpaper (S)'!B502 = "", "", IF('6161-S-WUO_ERR'!A502 = "", "Validated", HYPERLINK("#" &amp; ADDRESS(ROW('6161-S-WUO_TRK'!A502), '6161-S-WUO_TRK'!A502), _xlfn.TEXTAFTER('6161-S-WUO_ERR'!A502, ":"))))</f>
        <v>0</v>
      </c>
    </row>
    <row r="503" spans="1:1">
      <c r="A503" s="39">
        <f>IF('6161 - Wallpaper (S)'!B503 = "", "", IF('6161-S-WUO_ERR'!A503 = "", "Validated", HYPERLINK("#" &amp; ADDRESS(ROW('6161-S-WUO_TRK'!A503), '6161-S-WUO_TRK'!A503), _xlfn.TEXTAFTER('6161-S-WUO_ERR'!A503, ":"))))</f>
        <v>0</v>
      </c>
    </row>
    <row r="504" spans="1:1">
      <c r="A504" s="39">
        <f>IF('6161 - Wallpaper (S)'!B504 = "", "", IF('6161-S-WUO_ERR'!A504 = "", "Validated", HYPERLINK("#" &amp; ADDRESS(ROW('6161-S-WUO_TRK'!A504), '6161-S-WUO_TRK'!A504), _xlfn.TEXTAFTER('6161-S-WUO_ERR'!A504, ":"))))</f>
        <v>0</v>
      </c>
    </row>
    <row r="505" spans="1:1">
      <c r="A505" s="39">
        <f>IF('6161 - Wallpaper (S)'!B505 = "", "", IF('6161-S-WUO_ERR'!A505 = "", "Validated", HYPERLINK("#" &amp; ADDRESS(ROW('6161-S-WUO_TRK'!A505), '6161-S-WUO_TRK'!A505), _xlfn.TEXTAFTER('6161-S-WUO_ERR'!A505, ":"))))</f>
        <v>0</v>
      </c>
    </row>
    <row r="506" spans="1:1">
      <c r="A506" s="39">
        <f>IF('6161 - Wallpaper (S)'!B506 = "", "", IF('6161-S-WUO_ERR'!A506 = "", "Validated", HYPERLINK("#" &amp; ADDRESS(ROW('6161-S-WUO_TRK'!A506), '6161-S-WUO_TRK'!A506), _xlfn.TEXTAFTER('6161-S-WUO_ERR'!A506, ":"))))</f>
        <v>0</v>
      </c>
    </row>
    <row r="507" spans="1:1">
      <c r="A507" s="39">
        <f>IF('6161 - Wallpaper (S)'!B507 = "", "", IF('6161-S-WUO_ERR'!A507 = "", "Validated", HYPERLINK("#" &amp; ADDRESS(ROW('6161-S-WUO_TRK'!A507), '6161-S-WUO_TRK'!A507), _xlfn.TEXTAFTER('6161-S-WUO_ERR'!A507, ":"))))</f>
        <v>0</v>
      </c>
    </row>
    <row r="508" spans="1:1">
      <c r="A508" s="39">
        <f>IF('6161 - Wallpaper (S)'!B508 = "", "", IF('6161-S-WUO_ERR'!A508 = "", "Validated", HYPERLINK("#" &amp; ADDRESS(ROW('6161-S-WUO_TRK'!A508), '6161-S-WUO_TRK'!A508), _xlfn.TEXTAFTER('6161-S-WUO_ERR'!A508, ":"))))</f>
        <v>0</v>
      </c>
    </row>
  </sheetData>
  <sheetProtection password="B76C" sheet="1" objects="1" scenarios="1" formatColumns="0"/>
  <protectedRanges>
    <protectedRange sqref="B9:LC10008" name="Range1"/>
  </protectedRanges>
  <mergeCells count="10">
    <mergeCell ref="B3:E3"/>
    <mergeCell ref="F3:G3"/>
    <mergeCell ref="H3:O3"/>
    <mergeCell ref="P3:S3"/>
    <mergeCell ref="T3:AB3"/>
    <mergeCell ref="AC3:AN3"/>
    <mergeCell ref="AO3:GR3"/>
    <mergeCell ref="GS3:HD3"/>
    <mergeCell ref="HE3:JX3"/>
    <mergeCell ref="JY3:LC3"/>
  </mergeCells>
  <conditionalFormatting sqref="A9:A508">
    <cfRule type="expression" dxfId="7" priority="5">
      <formula>A9="Validated"</formula>
    </cfRule>
    <cfRule type="expression" dxfId="8" priority="6">
      <formula>OR(COUNTIF('6161-S-WUO_TRK'!B9:LC9,"Error"),COUNTIF('6161-S-WUO_TRK'!B9:LC9,"Required"))</formula>
    </cfRule>
    <cfRule type="expression" dxfId="9" priority="7">
      <formula>COUNTIF('6161-S-WUO_TRK'!B9:LC9,"Warning")</formula>
    </cfRule>
  </conditionalFormatting>
  <conditionalFormatting sqref="AA8">
    <cfRule type="notContainsBlanks" dxfId="10" priority="35">
      <formula>LEN(TRIM(AA8))&gt;0</formula>
    </cfRule>
    <cfRule type="containsBlanks" dxfId="11" priority="36">
      <formula>LEN(TRIM(AA8))=0</formula>
    </cfRule>
  </conditionalFormatting>
  <conditionalFormatting sqref="AA9:AA2508">
    <cfRule type="expression" dxfId="10" priority="37">
      <formula>AND($AA$8&lt;&gt;"",OR(AA9="",EXACT(AA9,$AA$8)))</formula>
    </cfRule>
  </conditionalFormatting>
  <conditionalFormatting sqref="AB8">
    <cfRule type="notContainsBlanks" dxfId="10" priority="38">
      <formula>LEN(TRIM(AB8))&gt;0</formula>
    </cfRule>
    <cfRule type="containsBlanks" dxfId="11" priority="39">
      <formula>LEN(TRIM(AB8))=0</formula>
    </cfRule>
  </conditionalFormatting>
  <conditionalFormatting sqref="AB9:AB2508">
    <cfRule type="expression" dxfId="10" priority="40">
      <formula>AND($AB$8&lt;&gt;"",OR(AB9="",EXACT(AB9,$AB$8)))</formula>
    </cfRule>
  </conditionalFormatting>
  <conditionalFormatting sqref="AC8">
    <cfRule type="notContainsBlanks" dxfId="10" priority="41">
      <formula>LEN(TRIM(AC8))&gt;0</formula>
    </cfRule>
    <cfRule type="containsBlanks" dxfId="11" priority="42">
      <formula>LEN(TRIM(AC8))=0</formula>
    </cfRule>
  </conditionalFormatting>
  <conditionalFormatting sqref="AC9:AC2508">
    <cfRule type="expression" dxfId="10" priority="43">
      <formula>AND($AC$8&lt;&gt;"",OR(AC9="",EXACT(AC9,$AC$8)))</formula>
    </cfRule>
  </conditionalFormatting>
  <conditionalFormatting sqref="AD8">
    <cfRule type="notContainsBlanks" dxfId="10" priority="44">
      <formula>LEN(TRIM(AD8))&gt;0</formula>
    </cfRule>
    <cfRule type="containsBlanks" dxfId="11" priority="45">
      <formula>LEN(TRIM(AD8))=0</formula>
    </cfRule>
  </conditionalFormatting>
  <conditionalFormatting sqref="AD9:AD2508">
    <cfRule type="expression" dxfId="10" priority="46">
      <formula>AND($AD$8&lt;&gt;"",OR(AD9="",EXACT(AD9,$AD$8)))</formula>
    </cfRule>
  </conditionalFormatting>
  <conditionalFormatting sqref="AE8">
    <cfRule type="notContainsBlanks" dxfId="10" priority="47">
      <formula>LEN(TRIM(AE8))&gt;0</formula>
    </cfRule>
    <cfRule type="containsBlanks" dxfId="11" priority="48">
      <formula>LEN(TRIM(AE8))=0</formula>
    </cfRule>
  </conditionalFormatting>
  <conditionalFormatting sqref="AE9:AE2508">
    <cfRule type="expression" dxfId="10" priority="49">
      <formula>AND($AE$8&lt;&gt;"",OR(AE9="",EXACT(AE9,$AE$8)))</formula>
    </cfRule>
  </conditionalFormatting>
  <conditionalFormatting sqref="AF8">
    <cfRule type="notContainsBlanks" dxfId="10" priority="50">
      <formula>LEN(TRIM(AF8))&gt;0</formula>
    </cfRule>
    <cfRule type="containsBlanks" dxfId="11" priority="51">
      <formula>LEN(TRIM(AF8))=0</formula>
    </cfRule>
  </conditionalFormatting>
  <conditionalFormatting sqref="AF9:AF2508">
    <cfRule type="expression" dxfId="10" priority="52">
      <formula>AND($AF$8&lt;&gt;"",OR(AF9="",EXACT(AF9,$AF$8)))</formula>
    </cfRule>
  </conditionalFormatting>
  <conditionalFormatting sqref="AG8">
    <cfRule type="notContainsBlanks" dxfId="10" priority="53">
      <formula>LEN(TRIM(AG8))&gt;0</formula>
    </cfRule>
    <cfRule type="containsBlanks" dxfId="11" priority="54">
      <formula>LEN(TRIM(AG8))=0</formula>
    </cfRule>
  </conditionalFormatting>
  <conditionalFormatting sqref="AG9:AG2508">
    <cfRule type="expression" dxfId="10" priority="55">
      <formula>AND($AG$8&lt;&gt;"",OR(AG9="",EXACT(AG9,$AG$8)))</formula>
    </cfRule>
  </conditionalFormatting>
  <conditionalFormatting sqref="AH8">
    <cfRule type="notContainsBlanks" dxfId="10" priority="56">
      <formula>LEN(TRIM(AH8))&gt;0</formula>
    </cfRule>
    <cfRule type="containsBlanks" dxfId="11" priority="57">
      <formula>LEN(TRIM(AH8))=0</formula>
    </cfRule>
  </conditionalFormatting>
  <conditionalFormatting sqref="AH9:AH2508">
    <cfRule type="expression" dxfId="10" priority="58">
      <formula>AND($AH$8&lt;&gt;"",OR(AH9="",EXACT(AH9,$AH$8)))</formula>
    </cfRule>
  </conditionalFormatting>
  <conditionalFormatting sqref="AI8">
    <cfRule type="notContainsBlanks" dxfId="10" priority="59">
      <formula>LEN(TRIM(AI8))&gt;0</formula>
    </cfRule>
    <cfRule type="containsBlanks" dxfId="11" priority="60">
      <formula>LEN(TRIM(AI8))=0</formula>
    </cfRule>
  </conditionalFormatting>
  <conditionalFormatting sqref="AI9:AI2508">
    <cfRule type="expression" dxfId="10" priority="61">
      <formula>AND($AI$8&lt;&gt;"",OR(AI9="",EXACT(AI9,$AI$8)))</formula>
    </cfRule>
  </conditionalFormatting>
  <conditionalFormatting sqref="AJ8">
    <cfRule type="notContainsBlanks" dxfId="10" priority="62">
      <formula>LEN(TRIM(AJ8))&gt;0</formula>
    </cfRule>
    <cfRule type="containsBlanks" dxfId="11" priority="63">
      <formula>LEN(TRIM(AJ8))=0</formula>
    </cfRule>
  </conditionalFormatting>
  <conditionalFormatting sqref="AJ9:AJ2508">
    <cfRule type="expression" dxfId="10" priority="64">
      <formula>AND($AJ$8&lt;&gt;"",OR(AJ9="",EXACT(AJ9,$AJ$8)))</formula>
    </cfRule>
  </conditionalFormatting>
  <conditionalFormatting sqref="AK8">
    <cfRule type="notContainsBlanks" dxfId="10" priority="65">
      <formula>LEN(TRIM(AK8))&gt;0</formula>
    </cfRule>
    <cfRule type="containsBlanks" dxfId="11" priority="66">
      <formula>LEN(TRIM(AK8))=0</formula>
    </cfRule>
  </conditionalFormatting>
  <conditionalFormatting sqref="AK9:AK2508">
    <cfRule type="expression" dxfId="10" priority="67">
      <formula>AND($AK$8&lt;&gt;"",OR(AK9="",EXACT(AK9,$AK$8)))</formula>
    </cfRule>
  </conditionalFormatting>
  <conditionalFormatting sqref="AL8">
    <cfRule type="notContainsBlanks" dxfId="10" priority="68">
      <formula>LEN(TRIM(AL8))&gt;0</formula>
    </cfRule>
    <cfRule type="containsBlanks" dxfId="11" priority="69">
      <formula>LEN(TRIM(AL8))=0</formula>
    </cfRule>
  </conditionalFormatting>
  <conditionalFormatting sqref="AL9:AL2508">
    <cfRule type="expression" dxfId="10" priority="70">
      <formula>AND($AL$8&lt;&gt;"",OR(AL9="",EXACT(AL9,$AL$8)))</formula>
    </cfRule>
  </conditionalFormatting>
  <conditionalFormatting sqref="AM8">
    <cfRule type="notContainsBlanks" dxfId="10" priority="71">
      <formula>LEN(TRIM(AM8))&gt;0</formula>
    </cfRule>
    <cfRule type="containsBlanks" dxfId="11" priority="72">
      <formula>LEN(TRIM(AM8))=0</formula>
    </cfRule>
  </conditionalFormatting>
  <conditionalFormatting sqref="AM9:AM2508">
    <cfRule type="expression" dxfId="10" priority="73">
      <formula>AND($AM$8&lt;&gt;"",OR(AM9="",EXACT(AM9,$AM$8)))</formula>
    </cfRule>
  </conditionalFormatting>
  <conditionalFormatting sqref="AN8">
    <cfRule type="notContainsBlanks" dxfId="10" priority="74">
      <formula>LEN(TRIM(AN8))&gt;0</formula>
    </cfRule>
    <cfRule type="containsBlanks" dxfId="11" priority="75">
      <formula>LEN(TRIM(AN8))=0</formula>
    </cfRule>
  </conditionalFormatting>
  <conditionalFormatting sqref="AN9:AN2508">
    <cfRule type="expression" dxfId="10" priority="76">
      <formula>AND($AN$8&lt;&gt;"",OR(AN9="",EXACT(AN9,$AN$8)))</formula>
    </cfRule>
  </conditionalFormatting>
  <conditionalFormatting sqref="AO8">
    <cfRule type="notContainsBlanks" dxfId="10" priority="77">
      <formula>LEN(TRIM(AO8))&gt;0</formula>
    </cfRule>
    <cfRule type="containsBlanks" dxfId="11" priority="78">
      <formula>LEN(TRIM(AO8))=0</formula>
    </cfRule>
  </conditionalFormatting>
  <conditionalFormatting sqref="AO9:AO2508">
    <cfRule type="expression" dxfId="10" priority="79">
      <formula>AND($AO$8&lt;&gt;"",OR(AO9="",EXACT(AO9,$AO$8)))</formula>
    </cfRule>
  </conditionalFormatting>
  <conditionalFormatting sqref="AP8">
    <cfRule type="notContainsBlanks" dxfId="10" priority="80">
      <formula>LEN(TRIM(AP8))&gt;0</formula>
    </cfRule>
    <cfRule type="containsBlanks" dxfId="11" priority="81">
      <formula>LEN(TRIM(AP8))=0</formula>
    </cfRule>
  </conditionalFormatting>
  <conditionalFormatting sqref="AP9:AP2508">
    <cfRule type="expression" dxfId="10" priority="82">
      <formula>AND($AP$8&lt;&gt;"",OR(AP9="",EXACT(AP9,$AP$8)))</formula>
    </cfRule>
  </conditionalFormatting>
  <conditionalFormatting sqref="AQ8">
    <cfRule type="notContainsBlanks" dxfId="10" priority="83">
      <formula>LEN(TRIM(AQ8))&gt;0</formula>
    </cfRule>
    <cfRule type="containsBlanks" dxfId="11" priority="84">
      <formula>LEN(TRIM(AQ8))=0</formula>
    </cfRule>
  </conditionalFormatting>
  <conditionalFormatting sqref="AQ9:AQ2508">
    <cfRule type="expression" dxfId="10" priority="85">
      <formula>AND($AQ$8&lt;&gt;"",OR(AQ9="",EXACT(AQ9,$AQ$8)))</formula>
    </cfRule>
  </conditionalFormatting>
  <conditionalFormatting sqref="AR8">
    <cfRule type="notContainsBlanks" dxfId="10" priority="86">
      <formula>LEN(TRIM(AR8))&gt;0</formula>
    </cfRule>
    <cfRule type="containsBlanks" dxfId="11" priority="87">
      <formula>LEN(TRIM(AR8))=0</formula>
    </cfRule>
  </conditionalFormatting>
  <conditionalFormatting sqref="AR9:AR2508">
    <cfRule type="expression" dxfId="10" priority="88">
      <formula>AND($AR$8&lt;&gt;"",OR(AR9="",EXACT(AR9,$AR$8)))</formula>
    </cfRule>
  </conditionalFormatting>
  <conditionalFormatting sqref="AS8">
    <cfRule type="notContainsBlanks" dxfId="10" priority="89">
      <formula>LEN(TRIM(AS8))&gt;0</formula>
    </cfRule>
    <cfRule type="containsBlanks" dxfId="11" priority="90">
      <formula>LEN(TRIM(AS8))=0</formula>
    </cfRule>
  </conditionalFormatting>
  <conditionalFormatting sqref="AS9:AS2508">
    <cfRule type="expression" dxfId="10" priority="91">
      <formula>AND($AS$8&lt;&gt;"",OR(AS9="",EXACT(AS9,$AS$8)))</formula>
    </cfRule>
  </conditionalFormatting>
  <conditionalFormatting sqref="AT8">
    <cfRule type="notContainsBlanks" dxfId="10" priority="92">
      <formula>LEN(TRIM(AT8))&gt;0</formula>
    </cfRule>
    <cfRule type="containsBlanks" dxfId="11" priority="93">
      <formula>LEN(TRIM(AT8))=0</formula>
    </cfRule>
  </conditionalFormatting>
  <conditionalFormatting sqref="AT9:AT2508">
    <cfRule type="expression" dxfId="10" priority="94">
      <formula>AND($AT$8&lt;&gt;"",OR(AT9="",EXACT(AT9,$AT$8)))</formula>
    </cfRule>
  </conditionalFormatting>
  <conditionalFormatting sqref="AU8">
    <cfRule type="notContainsBlanks" dxfId="10" priority="95">
      <formula>LEN(TRIM(AU8))&gt;0</formula>
    </cfRule>
    <cfRule type="containsBlanks" dxfId="11" priority="96">
      <formula>LEN(TRIM(AU8))=0</formula>
    </cfRule>
  </conditionalFormatting>
  <conditionalFormatting sqref="AU9:AU2508">
    <cfRule type="expression" dxfId="10" priority="97">
      <formula>AND($AU$8&lt;&gt;"",OR(AU9="",EXACT(AU9,$AU$8)))</formula>
    </cfRule>
  </conditionalFormatting>
  <conditionalFormatting sqref="AV8">
    <cfRule type="notContainsBlanks" dxfId="10" priority="98">
      <formula>LEN(TRIM(AV8))&gt;0</formula>
    </cfRule>
    <cfRule type="containsBlanks" dxfId="11" priority="99">
      <formula>LEN(TRIM(AV8))=0</formula>
    </cfRule>
  </conditionalFormatting>
  <conditionalFormatting sqref="AV9:AV2508">
    <cfRule type="expression" dxfId="10" priority="100">
      <formula>AND($AV$8&lt;&gt;"",OR(AV9="",EXACT(AV9,$AV$8)))</formula>
    </cfRule>
  </conditionalFormatting>
  <conditionalFormatting sqref="AW8">
    <cfRule type="notContainsBlanks" dxfId="10" priority="101">
      <formula>LEN(TRIM(AW8))&gt;0</formula>
    </cfRule>
    <cfRule type="containsBlanks" dxfId="11" priority="102">
      <formula>LEN(TRIM(AW8))=0</formula>
    </cfRule>
  </conditionalFormatting>
  <conditionalFormatting sqref="AW9:AW2508">
    <cfRule type="expression" dxfId="10" priority="103">
      <formula>AND($AW$8&lt;&gt;"",OR(AW9="",EXACT(AW9,$AW$8)))</formula>
    </cfRule>
  </conditionalFormatting>
  <conditionalFormatting sqref="AX8">
    <cfRule type="notContainsBlanks" dxfId="10" priority="104">
      <formula>LEN(TRIM(AX8))&gt;0</formula>
    </cfRule>
    <cfRule type="containsBlanks" dxfId="11" priority="105">
      <formula>LEN(TRIM(AX8))=0</formula>
    </cfRule>
  </conditionalFormatting>
  <conditionalFormatting sqref="AX9:AX2508">
    <cfRule type="expression" dxfId="10" priority="106">
      <formula>AND($AX$8&lt;&gt;"",OR(AX9="",EXACT(AX9,$AX$8)))</formula>
    </cfRule>
  </conditionalFormatting>
  <conditionalFormatting sqref="AY8">
    <cfRule type="notContainsBlanks" dxfId="10" priority="107">
      <formula>LEN(TRIM(AY8))&gt;0</formula>
    </cfRule>
    <cfRule type="containsBlanks" dxfId="11" priority="108">
      <formula>LEN(TRIM(AY8))=0</formula>
    </cfRule>
  </conditionalFormatting>
  <conditionalFormatting sqref="AY9:AY2508">
    <cfRule type="expression" dxfId="10" priority="109">
      <formula>AND($AY$8&lt;&gt;"",OR(AY9="",EXACT(AY9,$AY$8)))</formula>
    </cfRule>
  </conditionalFormatting>
  <conditionalFormatting sqref="AZ8">
    <cfRule type="notContainsBlanks" dxfId="10" priority="110">
      <formula>LEN(TRIM(AZ8))&gt;0</formula>
    </cfRule>
    <cfRule type="containsBlanks" dxfId="11" priority="111">
      <formula>LEN(TRIM(AZ8))=0</formula>
    </cfRule>
  </conditionalFormatting>
  <conditionalFormatting sqref="AZ9:AZ2508">
    <cfRule type="expression" dxfId="10" priority="112">
      <formula>AND($AZ$8&lt;&gt;"",OR(AZ9="",EXACT(AZ9,$AZ$8)))</formula>
    </cfRule>
  </conditionalFormatting>
  <conditionalFormatting sqref="B9:LC508">
    <cfRule type="expression" dxfId="3" priority="1">
      <formula>'6161-S-WUO_TRK'!B9="Error"</formula>
    </cfRule>
    <cfRule type="expression" dxfId="4" priority="2">
      <formula>'6161-S-WUO_TRK'!B9="Required"</formula>
    </cfRule>
    <cfRule type="expression" dxfId="5" priority="3">
      <formula>'6161-S-WUO_TRK'!B9="Warning"</formula>
    </cfRule>
    <cfRule type="expression" dxfId="6" priority="4">
      <formula>'6161-S-WUO_TRK'!B9="Disabled"</formula>
    </cfRule>
  </conditionalFormatting>
  <conditionalFormatting sqref="BA8">
    <cfRule type="notContainsBlanks" dxfId="10" priority="113">
      <formula>LEN(TRIM(BA8))&gt;0</formula>
    </cfRule>
    <cfRule type="containsBlanks" dxfId="11" priority="114">
      <formula>LEN(TRIM(BA8))=0</formula>
    </cfRule>
  </conditionalFormatting>
  <conditionalFormatting sqref="BA9:BA2508">
    <cfRule type="expression" dxfId="10" priority="115">
      <formula>AND($BA$8&lt;&gt;"",OR(BA9="",EXACT(BA9,$BA$8)))</formula>
    </cfRule>
  </conditionalFormatting>
  <conditionalFormatting sqref="BB8">
    <cfRule type="notContainsBlanks" dxfId="10" priority="116">
      <formula>LEN(TRIM(BB8))&gt;0</formula>
    </cfRule>
    <cfRule type="containsBlanks" dxfId="11" priority="117">
      <formula>LEN(TRIM(BB8))=0</formula>
    </cfRule>
  </conditionalFormatting>
  <conditionalFormatting sqref="BB9:BB2508">
    <cfRule type="expression" dxfId="10" priority="118">
      <formula>AND($BB$8&lt;&gt;"",OR(BB9="",EXACT(BB9,$BB$8)))</formula>
    </cfRule>
  </conditionalFormatting>
  <conditionalFormatting sqref="BC8">
    <cfRule type="notContainsBlanks" dxfId="10" priority="119">
      <formula>LEN(TRIM(BC8))&gt;0</formula>
    </cfRule>
    <cfRule type="containsBlanks" dxfId="11" priority="120">
      <formula>LEN(TRIM(BC8))=0</formula>
    </cfRule>
  </conditionalFormatting>
  <conditionalFormatting sqref="BC9:BC2508">
    <cfRule type="expression" dxfId="10" priority="121">
      <formula>AND($BC$8&lt;&gt;"",OR(BC9="",EXACT(BC9,$BC$8)))</formula>
    </cfRule>
  </conditionalFormatting>
  <conditionalFormatting sqref="BD8">
    <cfRule type="notContainsBlanks" dxfId="10" priority="122">
      <formula>LEN(TRIM(BD8))&gt;0</formula>
    </cfRule>
    <cfRule type="containsBlanks" dxfId="11" priority="123">
      <formula>LEN(TRIM(BD8))=0</formula>
    </cfRule>
  </conditionalFormatting>
  <conditionalFormatting sqref="BD9:BD2508">
    <cfRule type="expression" dxfId="10" priority="124">
      <formula>AND($BD$8&lt;&gt;"",OR(BD9="",EXACT(BD9,$BD$8)))</formula>
    </cfRule>
  </conditionalFormatting>
  <conditionalFormatting sqref="BE8">
    <cfRule type="notContainsBlanks" dxfId="10" priority="125">
      <formula>LEN(TRIM(BE8))&gt;0</formula>
    </cfRule>
    <cfRule type="containsBlanks" dxfId="11" priority="126">
      <formula>LEN(TRIM(BE8))=0</formula>
    </cfRule>
  </conditionalFormatting>
  <conditionalFormatting sqref="BE9:BE2508">
    <cfRule type="expression" dxfId="10" priority="127">
      <formula>AND($BE$8&lt;&gt;"",OR(BE9="",EXACT(BE9,$BE$8)))</formula>
    </cfRule>
  </conditionalFormatting>
  <conditionalFormatting sqref="BF8">
    <cfRule type="notContainsBlanks" dxfId="10" priority="128">
      <formula>LEN(TRIM(BF8))&gt;0</formula>
    </cfRule>
    <cfRule type="containsBlanks" dxfId="11" priority="129">
      <formula>LEN(TRIM(BF8))=0</formula>
    </cfRule>
  </conditionalFormatting>
  <conditionalFormatting sqref="BF9:BF2508">
    <cfRule type="expression" dxfId="10" priority="130">
      <formula>AND($BF$8&lt;&gt;"",OR(BF9="",EXACT(BF9,$BF$8)))</formula>
    </cfRule>
  </conditionalFormatting>
  <conditionalFormatting sqref="BG8">
    <cfRule type="notContainsBlanks" dxfId="10" priority="131">
      <formula>LEN(TRIM(BG8))&gt;0</formula>
    </cfRule>
    <cfRule type="containsBlanks" dxfId="11" priority="132">
      <formula>LEN(TRIM(BG8))=0</formula>
    </cfRule>
  </conditionalFormatting>
  <conditionalFormatting sqref="BG9:BG2508">
    <cfRule type="expression" dxfId="10" priority="133">
      <formula>AND($BG$8&lt;&gt;"",OR(BG9="",EXACT(BG9,$BG$8)))</formula>
    </cfRule>
  </conditionalFormatting>
  <conditionalFormatting sqref="BH8">
    <cfRule type="notContainsBlanks" dxfId="10" priority="134">
      <formula>LEN(TRIM(BH8))&gt;0</formula>
    </cfRule>
    <cfRule type="containsBlanks" dxfId="11" priority="135">
      <formula>LEN(TRIM(BH8))=0</formula>
    </cfRule>
  </conditionalFormatting>
  <conditionalFormatting sqref="BH9:BH2508">
    <cfRule type="expression" dxfId="10" priority="136">
      <formula>AND($BH$8&lt;&gt;"",OR(BH9="",EXACT(BH9,$BH$8)))</formula>
    </cfRule>
  </conditionalFormatting>
  <conditionalFormatting sqref="BI8">
    <cfRule type="notContainsBlanks" dxfId="10" priority="137">
      <formula>LEN(TRIM(BI8))&gt;0</formula>
    </cfRule>
    <cfRule type="containsBlanks" dxfId="11" priority="138">
      <formula>LEN(TRIM(BI8))=0</formula>
    </cfRule>
  </conditionalFormatting>
  <conditionalFormatting sqref="BI9:BI2508">
    <cfRule type="expression" dxfId="10" priority="139">
      <formula>AND($BI$8&lt;&gt;"",OR(BI9="",EXACT(BI9,$BI$8)))</formula>
    </cfRule>
  </conditionalFormatting>
  <conditionalFormatting sqref="BJ8">
    <cfRule type="notContainsBlanks" dxfId="10" priority="140">
      <formula>LEN(TRIM(BJ8))&gt;0</formula>
    </cfRule>
    <cfRule type="containsBlanks" dxfId="11" priority="141">
      <formula>LEN(TRIM(BJ8))=0</formula>
    </cfRule>
  </conditionalFormatting>
  <conditionalFormatting sqref="BJ9:BJ2508">
    <cfRule type="expression" dxfId="10" priority="142">
      <formula>AND($BJ$8&lt;&gt;"",OR(BJ9="",EXACT(BJ9,$BJ$8)))</formula>
    </cfRule>
  </conditionalFormatting>
  <conditionalFormatting sqref="BK8">
    <cfRule type="notContainsBlanks" dxfId="10" priority="143">
      <formula>LEN(TRIM(BK8))&gt;0</formula>
    </cfRule>
    <cfRule type="containsBlanks" dxfId="11" priority="144">
      <formula>LEN(TRIM(BK8))=0</formula>
    </cfRule>
  </conditionalFormatting>
  <conditionalFormatting sqref="BK9:BK2508">
    <cfRule type="expression" dxfId="10" priority="145">
      <formula>AND($BK$8&lt;&gt;"",OR(BK9="",EXACT(BK9,$BK$8)))</formula>
    </cfRule>
  </conditionalFormatting>
  <conditionalFormatting sqref="BL8">
    <cfRule type="notContainsBlanks" dxfId="10" priority="146">
      <formula>LEN(TRIM(BL8))&gt;0</formula>
    </cfRule>
    <cfRule type="containsBlanks" dxfId="11" priority="147">
      <formula>LEN(TRIM(BL8))=0</formula>
    </cfRule>
  </conditionalFormatting>
  <conditionalFormatting sqref="BL9:BL2508">
    <cfRule type="expression" dxfId="10" priority="148">
      <formula>AND($BL$8&lt;&gt;"",OR(BL9="",EXACT(BL9,$BL$8)))</formula>
    </cfRule>
  </conditionalFormatting>
  <conditionalFormatting sqref="BM8">
    <cfRule type="notContainsBlanks" dxfId="10" priority="149">
      <formula>LEN(TRIM(BM8))&gt;0</formula>
    </cfRule>
    <cfRule type="containsBlanks" dxfId="11" priority="150">
      <formula>LEN(TRIM(BM8))=0</formula>
    </cfRule>
  </conditionalFormatting>
  <conditionalFormatting sqref="BM9:BM2508">
    <cfRule type="expression" dxfId="10" priority="151">
      <formula>AND($BM$8&lt;&gt;"",OR(BM9="",EXACT(BM9,$BM$8)))</formula>
    </cfRule>
  </conditionalFormatting>
  <conditionalFormatting sqref="BN8">
    <cfRule type="notContainsBlanks" dxfId="10" priority="152">
      <formula>LEN(TRIM(BN8))&gt;0</formula>
    </cfRule>
    <cfRule type="containsBlanks" dxfId="11" priority="153">
      <formula>LEN(TRIM(BN8))=0</formula>
    </cfRule>
  </conditionalFormatting>
  <conditionalFormatting sqref="BN9:BN2508">
    <cfRule type="expression" dxfId="10" priority="154">
      <formula>AND($BN$8&lt;&gt;"",OR(BN9="",EXACT(BN9,$BN$8)))</formula>
    </cfRule>
  </conditionalFormatting>
  <conditionalFormatting sqref="BO8">
    <cfRule type="notContainsBlanks" dxfId="10" priority="155">
      <formula>LEN(TRIM(BO8))&gt;0</formula>
    </cfRule>
    <cfRule type="containsBlanks" dxfId="11" priority="156">
      <formula>LEN(TRIM(BO8))=0</formula>
    </cfRule>
  </conditionalFormatting>
  <conditionalFormatting sqref="BO9:BO2508">
    <cfRule type="expression" dxfId="10" priority="157">
      <formula>AND($BO$8&lt;&gt;"",OR(BO9="",EXACT(BO9,$BO$8)))</formula>
    </cfRule>
  </conditionalFormatting>
  <conditionalFormatting sqref="BP8">
    <cfRule type="notContainsBlanks" dxfId="10" priority="158">
      <formula>LEN(TRIM(BP8))&gt;0</formula>
    </cfRule>
    <cfRule type="containsBlanks" dxfId="11" priority="159">
      <formula>LEN(TRIM(BP8))=0</formula>
    </cfRule>
  </conditionalFormatting>
  <conditionalFormatting sqref="BP9:BP2508">
    <cfRule type="expression" dxfId="10" priority="160">
      <formula>AND($BP$8&lt;&gt;"",OR(BP9="",EXACT(BP9,$BP$8)))</formula>
    </cfRule>
  </conditionalFormatting>
  <conditionalFormatting sqref="BQ8">
    <cfRule type="notContainsBlanks" dxfId="10" priority="161">
      <formula>LEN(TRIM(BQ8))&gt;0</formula>
    </cfRule>
    <cfRule type="containsBlanks" dxfId="11" priority="162">
      <formula>LEN(TRIM(BQ8))=0</formula>
    </cfRule>
  </conditionalFormatting>
  <conditionalFormatting sqref="BQ9:BQ2508">
    <cfRule type="expression" dxfId="10" priority="163">
      <formula>AND($BQ$8&lt;&gt;"",OR(BQ9="",EXACT(BQ9,$BQ$8)))</formula>
    </cfRule>
  </conditionalFormatting>
  <conditionalFormatting sqref="BR8">
    <cfRule type="notContainsBlanks" dxfId="10" priority="164">
      <formula>LEN(TRIM(BR8))&gt;0</formula>
    </cfRule>
    <cfRule type="containsBlanks" dxfId="11" priority="165">
      <formula>LEN(TRIM(BR8))=0</formula>
    </cfRule>
  </conditionalFormatting>
  <conditionalFormatting sqref="BR9:BR2508">
    <cfRule type="expression" dxfId="10" priority="166">
      <formula>AND($BR$8&lt;&gt;"",OR(BR9="",EXACT(BR9,$BR$8)))</formula>
    </cfRule>
  </conditionalFormatting>
  <conditionalFormatting sqref="BS8">
    <cfRule type="notContainsBlanks" dxfId="10" priority="167">
      <formula>LEN(TRIM(BS8))&gt;0</formula>
    </cfRule>
    <cfRule type="containsBlanks" dxfId="11" priority="168">
      <formula>LEN(TRIM(BS8))=0</formula>
    </cfRule>
  </conditionalFormatting>
  <conditionalFormatting sqref="BS9:BS2508">
    <cfRule type="expression" dxfId="10" priority="169">
      <formula>AND($BS$8&lt;&gt;"",OR(BS9="",EXACT(BS9,$BS$8)))</formula>
    </cfRule>
  </conditionalFormatting>
  <conditionalFormatting sqref="BT8">
    <cfRule type="notContainsBlanks" dxfId="10" priority="170">
      <formula>LEN(TRIM(BT8))&gt;0</formula>
    </cfRule>
    <cfRule type="containsBlanks" dxfId="11" priority="171">
      <formula>LEN(TRIM(BT8))=0</formula>
    </cfRule>
  </conditionalFormatting>
  <conditionalFormatting sqref="BT9:BT2508">
    <cfRule type="expression" dxfId="10" priority="172">
      <formula>AND($BT$8&lt;&gt;"",OR(BT9="",EXACT(BT9,$BT$8)))</formula>
    </cfRule>
  </conditionalFormatting>
  <conditionalFormatting sqref="BU8">
    <cfRule type="notContainsBlanks" dxfId="10" priority="173">
      <formula>LEN(TRIM(BU8))&gt;0</formula>
    </cfRule>
    <cfRule type="containsBlanks" dxfId="11" priority="174">
      <formula>LEN(TRIM(BU8))=0</formula>
    </cfRule>
  </conditionalFormatting>
  <conditionalFormatting sqref="BU9:BU2508">
    <cfRule type="expression" dxfId="10" priority="175">
      <formula>AND($BU$8&lt;&gt;"",OR(BU9="",EXACT(BU9,$BU$8)))</formula>
    </cfRule>
  </conditionalFormatting>
  <conditionalFormatting sqref="BV8">
    <cfRule type="notContainsBlanks" dxfId="10" priority="176">
      <formula>LEN(TRIM(BV8))&gt;0</formula>
    </cfRule>
    <cfRule type="containsBlanks" dxfId="11" priority="177">
      <formula>LEN(TRIM(BV8))=0</formula>
    </cfRule>
  </conditionalFormatting>
  <conditionalFormatting sqref="BV9:BV2508">
    <cfRule type="expression" dxfId="10" priority="178">
      <formula>AND($BV$8&lt;&gt;"",OR(BV9="",EXACT(BV9,$BV$8)))</formula>
    </cfRule>
  </conditionalFormatting>
  <conditionalFormatting sqref="BW8">
    <cfRule type="notContainsBlanks" dxfId="10" priority="179">
      <formula>LEN(TRIM(BW8))&gt;0</formula>
    </cfRule>
    <cfRule type="containsBlanks" dxfId="11" priority="180">
      <formula>LEN(TRIM(BW8))=0</formula>
    </cfRule>
  </conditionalFormatting>
  <conditionalFormatting sqref="BW9:BW2508">
    <cfRule type="expression" dxfId="10" priority="181">
      <formula>AND($BW$8&lt;&gt;"",OR(BW9="",EXACT(BW9,$BW$8)))</formula>
    </cfRule>
  </conditionalFormatting>
  <conditionalFormatting sqref="BX8">
    <cfRule type="notContainsBlanks" dxfId="10" priority="182">
      <formula>LEN(TRIM(BX8))&gt;0</formula>
    </cfRule>
    <cfRule type="containsBlanks" dxfId="11" priority="183">
      <formula>LEN(TRIM(BX8))=0</formula>
    </cfRule>
  </conditionalFormatting>
  <conditionalFormatting sqref="BX9:BX2508">
    <cfRule type="expression" dxfId="10" priority="184">
      <formula>AND($BX$8&lt;&gt;"",OR(BX9="",EXACT(BX9,$BX$8)))</formula>
    </cfRule>
  </conditionalFormatting>
  <conditionalFormatting sqref="BY8">
    <cfRule type="notContainsBlanks" dxfId="10" priority="185">
      <formula>LEN(TRIM(BY8))&gt;0</formula>
    </cfRule>
    <cfRule type="containsBlanks" dxfId="11" priority="186">
      <formula>LEN(TRIM(BY8))=0</formula>
    </cfRule>
  </conditionalFormatting>
  <conditionalFormatting sqref="BY9:BY2508">
    <cfRule type="expression" dxfId="10" priority="187">
      <formula>AND($BY$8&lt;&gt;"",OR(BY9="",EXACT(BY9,$BY$8)))</formula>
    </cfRule>
  </conditionalFormatting>
  <conditionalFormatting sqref="BZ8">
    <cfRule type="notContainsBlanks" dxfId="10" priority="188">
      <formula>LEN(TRIM(BZ8))&gt;0</formula>
    </cfRule>
    <cfRule type="containsBlanks" dxfId="11" priority="189">
      <formula>LEN(TRIM(BZ8))=0</formula>
    </cfRule>
  </conditionalFormatting>
  <conditionalFormatting sqref="BZ9:BZ2508">
    <cfRule type="expression" dxfId="10" priority="190">
      <formula>AND($BZ$8&lt;&gt;"",OR(BZ9="",EXACT(BZ9,$BZ$8)))</formula>
    </cfRule>
  </conditionalFormatting>
  <conditionalFormatting sqref="CA8">
    <cfRule type="notContainsBlanks" dxfId="10" priority="191">
      <formula>LEN(TRIM(CA8))&gt;0</formula>
    </cfRule>
    <cfRule type="containsBlanks" dxfId="11" priority="192">
      <formula>LEN(TRIM(CA8))=0</formula>
    </cfRule>
  </conditionalFormatting>
  <conditionalFormatting sqref="CA9:CA2508">
    <cfRule type="expression" dxfId="10" priority="193">
      <formula>AND($CA$8&lt;&gt;"",OR(CA9="",EXACT(CA9,$CA$8)))</formula>
    </cfRule>
  </conditionalFormatting>
  <conditionalFormatting sqref="CB8">
    <cfRule type="notContainsBlanks" dxfId="10" priority="194">
      <formula>LEN(TRIM(CB8))&gt;0</formula>
    </cfRule>
    <cfRule type="containsBlanks" dxfId="11" priority="195">
      <formula>LEN(TRIM(CB8))=0</formula>
    </cfRule>
  </conditionalFormatting>
  <conditionalFormatting sqref="CB9:CB2508">
    <cfRule type="expression" dxfId="10" priority="196">
      <formula>AND($CB$8&lt;&gt;"",OR(CB9="",EXACT(CB9,$CB$8)))</formula>
    </cfRule>
  </conditionalFormatting>
  <conditionalFormatting sqref="CC8">
    <cfRule type="notContainsBlanks" dxfId="10" priority="197">
      <formula>LEN(TRIM(CC8))&gt;0</formula>
    </cfRule>
    <cfRule type="containsBlanks" dxfId="11" priority="198">
      <formula>LEN(TRIM(CC8))=0</formula>
    </cfRule>
  </conditionalFormatting>
  <conditionalFormatting sqref="CC9:CC2508">
    <cfRule type="expression" dxfId="10" priority="199">
      <formula>AND($CC$8&lt;&gt;"",OR(CC9="",EXACT(CC9,$CC$8)))</formula>
    </cfRule>
  </conditionalFormatting>
  <conditionalFormatting sqref="CD8">
    <cfRule type="notContainsBlanks" dxfId="10" priority="200">
      <formula>LEN(TRIM(CD8))&gt;0</formula>
    </cfRule>
    <cfRule type="containsBlanks" dxfId="11" priority="201">
      <formula>LEN(TRIM(CD8))=0</formula>
    </cfRule>
  </conditionalFormatting>
  <conditionalFormatting sqref="CD9:CD2508">
    <cfRule type="expression" dxfId="10" priority="202">
      <formula>AND($CD$8&lt;&gt;"",OR(CD9="",EXACT(CD9,$CD$8)))</formula>
    </cfRule>
  </conditionalFormatting>
  <conditionalFormatting sqref="CE8">
    <cfRule type="notContainsBlanks" dxfId="10" priority="203">
      <formula>LEN(TRIM(CE8))&gt;0</formula>
    </cfRule>
    <cfRule type="containsBlanks" dxfId="11" priority="204">
      <formula>LEN(TRIM(CE8))=0</formula>
    </cfRule>
  </conditionalFormatting>
  <conditionalFormatting sqref="CE9:CE2508">
    <cfRule type="expression" dxfId="10" priority="205">
      <formula>AND($CE$8&lt;&gt;"",OR(CE9="",EXACT(CE9,$CE$8)))</formula>
    </cfRule>
  </conditionalFormatting>
  <conditionalFormatting sqref="CF8">
    <cfRule type="notContainsBlanks" dxfId="10" priority="206">
      <formula>LEN(TRIM(CF8))&gt;0</formula>
    </cfRule>
    <cfRule type="containsBlanks" dxfId="11" priority="207">
      <formula>LEN(TRIM(CF8))=0</formula>
    </cfRule>
  </conditionalFormatting>
  <conditionalFormatting sqref="CF9:CF2508">
    <cfRule type="expression" dxfId="10" priority="208">
      <formula>AND($CF$8&lt;&gt;"",OR(CF9="",EXACT(CF9,$CF$8)))</formula>
    </cfRule>
  </conditionalFormatting>
  <conditionalFormatting sqref="CG8">
    <cfRule type="notContainsBlanks" dxfId="10" priority="209">
      <formula>LEN(TRIM(CG8))&gt;0</formula>
    </cfRule>
    <cfRule type="containsBlanks" dxfId="11" priority="210">
      <formula>LEN(TRIM(CG8))=0</formula>
    </cfRule>
  </conditionalFormatting>
  <conditionalFormatting sqref="CG9:CG2508">
    <cfRule type="expression" dxfId="10" priority="211">
      <formula>AND($CG$8&lt;&gt;"",OR(CG9="",EXACT(CG9,$CG$8)))</formula>
    </cfRule>
  </conditionalFormatting>
  <conditionalFormatting sqref="CH8">
    <cfRule type="notContainsBlanks" dxfId="10" priority="212">
      <formula>LEN(TRIM(CH8))&gt;0</formula>
    </cfRule>
    <cfRule type="containsBlanks" dxfId="11" priority="213">
      <formula>LEN(TRIM(CH8))=0</formula>
    </cfRule>
  </conditionalFormatting>
  <conditionalFormatting sqref="CH9:CH2508">
    <cfRule type="expression" dxfId="10" priority="214">
      <formula>AND($CH$8&lt;&gt;"",OR(CH9="",EXACT(CH9,$CH$8)))</formula>
    </cfRule>
  </conditionalFormatting>
  <conditionalFormatting sqref="CI8">
    <cfRule type="notContainsBlanks" dxfId="10" priority="215">
      <formula>LEN(TRIM(CI8))&gt;0</formula>
    </cfRule>
    <cfRule type="containsBlanks" dxfId="11" priority="216">
      <formula>LEN(TRIM(CI8))=0</formula>
    </cfRule>
  </conditionalFormatting>
  <conditionalFormatting sqref="CI9:CI2508">
    <cfRule type="expression" dxfId="10" priority="217">
      <formula>AND($CI$8&lt;&gt;"",OR(CI9="",EXACT(CI9,$CI$8)))</formula>
    </cfRule>
  </conditionalFormatting>
  <conditionalFormatting sqref="CJ8">
    <cfRule type="notContainsBlanks" dxfId="10" priority="218">
      <formula>LEN(TRIM(CJ8))&gt;0</formula>
    </cfRule>
    <cfRule type="containsBlanks" dxfId="11" priority="219">
      <formula>LEN(TRIM(CJ8))=0</formula>
    </cfRule>
  </conditionalFormatting>
  <conditionalFormatting sqref="CJ9:CJ2508">
    <cfRule type="expression" dxfId="10" priority="220">
      <formula>AND($CJ$8&lt;&gt;"",OR(CJ9="",EXACT(CJ9,$CJ$8)))</formula>
    </cfRule>
  </conditionalFormatting>
  <conditionalFormatting sqref="CK8">
    <cfRule type="notContainsBlanks" dxfId="10" priority="221">
      <formula>LEN(TRIM(CK8))&gt;0</formula>
    </cfRule>
    <cfRule type="containsBlanks" dxfId="11" priority="222">
      <formula>LEN(TRIM(CK8))=0</formula>
    </cfRule>
  </conditionalFormatting>
  <conditionalFormatting sqref="CK9:CK2508">
    <cfRule type="expression" dxfId="10" priority="223">
      <formula>AND($CK$8&lt;&gt;"",OR(CK9="",EXACT(CK9,$CK$8)))</formula>
    </cfRule>
  </conditionalFormatting>
  <conditionalFormatting sqref="CL8">
    <cfRule type="notContainsBlanks" dxfId="10" priority="224">
      <formula>LEN(TRIM(CL8))&gt;0</formula>
    </cfRule>
    <cfRule type="containsBlanks" dxfId="11" priority="225">
      <formula>LEN(TRIM(CL8))=0</formula>
    </cfRule>
  </conditionalFormatting>
  <conditionalFormatting sqref="CL9:CL2508">
    <cfRule type="expression" dxfId="10" priority="226">
      <formula>AND($CL$8&lt;&gt;"",OR(CL9="",EXACT(CL9,$CL$8)))</formula>
    </cfRule>
  </conditionalFormatting>
  <conditionalFormatting sqref="CM8">
    <cfRule type="notContainsBlanks" dxfId="10" priority="227">
      <formula>LEN(TRIM(CM8))&gt;0</formula>
    </cfRule>
    <cfRule type="containsBlanks" dxfId="11" priority="228">
      <formula>LEN(TRIM(CM8))=0</formula>
    </cfRule>
  </conditionalFormatting>
  <conditionalFormatting sqref="CM9:CM2508">
    <cfRule type="expression" dxfId="10" priority="229">
      <formula>AND($CM$8&lt;&gt;"",OR(CM9="",EXACT(CM9,$CM$8)))</formula>
    </cfRule>
  </conditionalFormatting>
  <conditionalFormatting sqref="CN8">
    <cfRule type="notContainsBlanks" dxfId="10" priority="230">
      <formula>LEN(TRIM(CN8))&gt;0</formula>
    </cfRule>
    <cfRule type="containsBlanks" dxfId="11" priority="231">
      <formula>LEN(TRIM(CN8))=0</formula>
    </cfRule>
  </conditionalFormatting>
  <conditionalFormatting sqref="CN9:CN2508">
    <cfRule type="expression" dxfId="10" priority="232">
      <formula>AND($CN$8&lt;&gt;"",OR(CN9="",EXACT(CN9,$CN$8)))</formula>
    </cfRule>
  </conditionalFormatting>
  <conditionalFormatting sqref="CO8">
    <cfRule type="notContainsBlanks" dxfId="10" priority="233">
      <formula>LEN(TRIM(CO8))&gt;0</formula>
    </cfRule>
    <cfRule type="containsBlanks" dxfId="11" priority="234">
      <formula>LEN(TRIM(CO8))=0</formula>
    </cfRule>
  </conditionalFormatting>
  <conditionalFormatting sqref="CO9:CO2508">
    <cfRule type="expression" dxfId="10" priority="235">
      <formula>AND($CO$8&lt;&gt;"",OR(CO9="",EXACT(CO9,$CO$8)))</formula>
    </cfRule>
  </conditionalFormatting>
  <conditionalFormatting sqref="CP8">
    <cfRule type="notContainsBlanks" dxfId="10" priority="236">
      <formula>LEN(TRIM(CP8))&gt;0</formula>
    </cfRule>
    <cfRule type="containsBlanks" dxfId="11" priority="237">
      <formula>LEN(TRIM(CP8))=0</formula>
    </cfRule>
  </conditionalFormatting>
  <conditionalFormatting sqref="CP9:CP2508">
    <cfRule type="expression" dxfId="10" priority="238">
      <formula>AND($CP$8&lt;&gt;"",OR(CP9="",EXACT(CP9,$CP$8)))</formula>
    </cfRule>
  </conditionalFormatting>
  <conditionalFormatting sqref="CQ8">
    <cfRule type="notContainsBlanks" dxfId="10" priority="239">
      <formula>LEN(TRIM(CQ8))&gt;0</formula>
    </cfRule>
    <cfRule type="containsBlanks" dxfId="11" priority="240">
      <formula>LEN(TRIM(CQ8))=0</formula>
    </cfRule>
  </conditionalFormatting>
  <conditionalFormatting sqref="CQ9:CQ2508">
    <cfRule type="expression" dxfId="10" priority="241">
      <formula>AND($CQ$8&lt;&gt;"",OR(CQ9="",EXACT(CQ9,$CQ$8)))</formula>
    </cfRule>
  </conditionalFormatting>
  <conditionalFormatting sqref="CR8">
    <cfRule type="notContainsBlanks" dxfId="10" priority="242">
      <formula>LEN(TRIM(CR8))&gt;0</formula>
    </cfRule>
    <cfRule type="containsBlanks" dxfId="11" priority="243">
      <formula>LEN(TRIM(CR8))=0</formula>
    </cfRule>
  </conditionalFormatting>
  <conditionalFormatting sqref="CR9:CR2508">
    <cfRule type="expression" dxfId="10" priority="244">
      <formula>AND($CR$8&lt;&gt;"",OR(CR9="",EXACT(CR9,$CR$8)))</formula>
    </cfRule>
  </conditionalFormatting>
  <conditionalFormatting sqref="CS8">
    <cfRule type="notContainsBlanks" dxfId="10" priority="245">
      <formula>LEN(TRIM(CS8))&gt;0</formula>
    </cfRule>
    <cfRule type="containsBlanks" dxfId="11" priority="246">
      <formula>LEN(TRIM(CS8))=0</formula>
    </cfRule>
  </conditionalFormatting>
  <conditionalFormatting sqref="CS9:CS2508">
    <cfRule type="expression" dxfId="10" priority="247">
      <formula>AND($CS$8&lt;&gt;"",OR(CS9="",EXACT(CS9,$CS$8)))</formula>
    </cfRule>
  </conditionalFormatting>
  <conditionalFormatting sqref="CT8">
    <cfRule type="notContainsBlanks" dxfId="10" priority="248">
      <formula>LEN(TRIM(CT8))&gt;0</formula>
    </cfRule>
    <cfRule type="containsBlanks" dxfId="11" priority="249">
      <formula>LEN(TRIM(CT8))=0</formula>
    </cfRule>
  </conditionalFormatting>
  <conditionalFormatting sqref="CT9:CT2508">
    <cfRule type="expression" dxfId="10" priority="250">
      <formula>AND($CT$8&lt;&gt;"",OR(CT9="",EXACT(CT9,$CT$8)))</formula>
    </cfRule>
  </conditionalFormatting>
  <conditionalFormatting sqref="CU8">
    <cfRule type="notContainsBlanks" dxfId="10" priority="251">
      <formula>LEN(TRIM(CU8))&gt;0</formula>
    </cfRule>
    <cfRule type="containsBlanks" dxfId="11" priority="252">
      <formula>LEN(TRIM(CU8))=0</formula>
    </cfRule>
  </conditionalFormatting>
  <conditionalFormatting sqref="CU9:CU2508">
    <cfRule type="expression" dxfId="10" priority="253">
      <formula>AND($CU$8&lt;&gt;"",OR(CU9="",EXACT(CU9,$CU$8)))</formula>
    </cfRule>
  </conditionalFormatting>
  <conditionalFormatting sqref="CV8">
    <cfRule type="notContainsBlanks" dxfId="10" priority="254">
      <formula>LEN(TRIM(CV8))&gt;0</formula>
    </cfRule>
    <cfRule type="containsBlanks" dxfId="11" priority="255">
      <formula>LEN(TRIM(CV8))=0</formula>
    </cfRule>
  </conditionalFormatting>
  <conditionalFormatting sqref="CV9:CV2508">
    <cfRule type="expression" dxfId="10" priority="256">
      <formula>AND($CV$8&lt;&gt;"",OR(CV9="",EXACT(CV9,$CV$8)))</formula>
    </cfRule>
  </conditionalFormatting>
  <conditionalFormatting sqref="CW8">
    <cfRule type="notContainsBlanks" dxfId="10" priority="257">
      <formula>LEN(TRIM(CW8))&gt;0</formula>
    </cfRule>
    <cfRule type="containsBlanks" dxfId="11" priority="258">
      <formula>LEN(TRIM(CW8))=0</formula>
    </cfRule>
  </conditionalFormatting>
  <conditionalFormatting sqref="CW9:CW2508">
    <cfRule type="expression" dxfId="10" priority="259">
      <formula>AND($CW$8&lt;&gt;"",OR(CW9="",EXACT(CW9,$CW$8)))</formula>
    </cfRule>
  </conditionalFormatting>
  <conditionalFormatting sqref="CX8">
    <cfRule type="notContainsBlanks" dxfId="10" priority="260">
      <formula>LEN(TRIM(CX8))&gt;0</formula>
    </cfRule>
    <cfRule type="containsBlanks" dxfId="11" priority="261">
      <formula>LEN(TRIM(CX8))=0</formula>
    </cfRule>
  </conditionalFormatting>
  <conditionalFormatting sqref="CX9:CX2508">
    <cfRule type="expression" dxfId="10" priority="262">
      <formula>AND($CX$8&lt;&gt;"",OR(CX9="",EXACT(CX9,$CX$8)))</formula>
    </cfRule>
  </conditionalFormatting>
  <conditionalFormatting sqref="CY8">
    <cfRule type="notContainsBlanks" dxfId="10" priority="263">
      <formula>LEN(TRIM(CY8))&gt;0</formula>
    </cfRule>
    <cfRule type="containsBlanks" dxfId="11" priority="264">
      <formula>LEN(TRIM(CY8))=0</formula>
    </cfRule>
  </conditionalFormatting>
  <conditionalFormatting sqref="CY9:CY2508">
    <cfRule type="expression" dxfId="10" priority="265">
      <formula>AND($CY$8&lt;&gt;"",OR(CY9="",EXACT(CY9,$CY$8)))</formula>
    </cfRule>
  </conditionalFormatting>
  <conditionalFormatting sqref="CZ8">
    <cfRule type="notContainsBlanks" dxfId="10" priority="266">
      <formula>LEN(TRIM(CZ8))&gt;0</formula>
    </cfRule>
    <cfRule type="containsBlanks" dxfId="11" priority="267">
      <formula>LEN(TRIM(CZ8))=0</formula>
    </cfRule>
  </conditionalFormatting>
  <conditionalFormatting sqref="CZ9:CZ2508">
    <cfRule type="expression" dxfId="10" priority="268">
      <formula>AND($CZ$8&lt;&gt;"",OR(CZ9="",EXACT(CZ9,$CZ$8)))</formula>
    </cfRule>
  </conditionalFormatting>
  <conditionalFormatting sqref="DA8">
    <cfRule type="notContainsBlanks" dxfId="10" priority="269">
      <formula>LEN(TRIM(DA8))&gt;0</formula>
    </cfRule>
    <cfRule type="containsBlanks" dxfId="11" priority="270">
      <formula>LEN(TRIM(DA8))=0</formula>
    </cfRule>
  </conditionalFormatting>
  <conditionalFormatting sqref="DA9:DA2508">
    <cfRule type="expression" dxfId="10" priority="271">
      <formula>AND($DA$8&lt;&gt;"",OR(DA9="",EXACT(DA9,$DA$8)))</formula>
    </cfRule>
  </conditionalFormatting>
  <conditionalFormatting sqref="DB8">
    <cfRule type="notContainsBlanks" dxfId="10" priority="272">
      <formula>LEN(TRIM(DB8))&gt;0</formula>
    </cfRule>
    <cfRule type="containsBlanks" dxfId="11" priority="273">
      <formula>LEN(TRIM(DB8))=0</formula>
    </cfRule>
  </conditionalFormatting>
  <conditionalFormatting sqref="DB9:DB2508">
    <cfRule type="expression" dxfId="10" priority="274">
      <formula>AND($DB$8&lt;&gt;"",OR(DB9="",EXACT(DB9,$DB$8)))</formula>
    </cfRule>
  </conditionalFormatting>
  <conditionalFormatting sqref="DC8">
    <cfRule type="notContainsBlanks" dxfId="10" priority="275">
      <formula>LEN(TRIM(DC8))&gt;0</formula>
    </cfRule>
    <cfRule type="containsBlanks" dxfId="11" priority="276">
      <formula>LEN(TRIM(DC8))=0</formula>
    </cfRule>
  </conditionalFormatting>
  <conditionalFormatting sqref="DC9:DC2508">
    <cfRule type="expression" dxfId="10" priority="277">
      <formula>AND($DC$8&lt;&gt;"",OR(DC9="",EXACT(DC9,$DC$8)))</formula>
    </cfRule>
  </conditionalFormatting>
  <conditionalFormatting sqref="DD8">
    <cfRule type="notContainsBlanks" dxfId="10" priority="278">
      <formula>LEN(TRIM(DD8))&gt;0</formula>
    </cfRule>
    <cfRule type="containsBlanks" dxfId="11" priority="279">
      <formula>LEN(TRIM(DD8))=0</formula>
    </cfRule>
  </conditionalFormatting>
  <conditionalFormatting sqref="DD9:DD2508">
    <cfRule type="expression" dxfId="10" priority="280">
      <formula>AND($DD$8&lt;&gt;"",OR(DD9="",EXACT(DD9,$DD$8)))</formula>
    </cfRule>
  </conditionalFormatting>
  <conditionalFormatting sqref="DE8">
    <cfRule type="notContainsBlanks" dxfId="10" priority="281">
      <formula>LEN(TRIM(DE8))&gt;0</formula>
    </cfRule>
    <cfRule type="containsBlanks" dxfId="11" priority="282">
      <formula>LEN(TRIM(DE8))=0</formula>
    </cfRule>
  </conditionalFormatting>
  <conditionalFormatting sqref="DE9:DE2508">
    <cfRule type="expression" dxfId="10" priority="283">
      <formula>AND($DE$8&lt;&gt;"",OR(DE9="",EXACT(DE9,$DE$8)))</formula>
    </cfRule>
  </conditionalFormatting>
  <conditionalFormatting sqref="DF8">
    <cfRule type="notContainsBlanks" dxfId="10" priority="284">
      <formula>LEN(TRIM(DF8))&gt;0</formula>
    </cfRule>
    <cfRule type="containsBlanks" dxfId="11" priority="285">
      <formula>LEN(TRIM(DF8))=0</formula>
    </cfRule>
  </conditionalFormatting>
  <conditionalFormatting sqref="DF9:DF2508">
    <cfRule type="expression" dxfId="10" priority="286">
      <formula>AND($DF$8&lt;&gt;"",OR(DF9="",EXACT(DF9,$DF$8)))</formula>
    </cfRule>
  </conditionalFormatting>
  <conditionalFormatting sqref="DG8">
    <cfRule type="notContainsBlanks" dxfId="10" priority="287">
      <formula>LEN(TRIM(DG8))&gt;0</formula>
    </cfRule>
    <cfRule type="containsBlanks" dxfId="11" priority="288">
      <formula>LEN(TRIM(DG8))=0</formula>
    </cfRule>
  </conditionalFormatting>
  <conditionalFormatting sqref="DG9:DG2508">
    <cfRule type="expression" dxfId="10" priority="289">
      <formula>AND($DG$8&lt;&gt;"",OR(DG9="",EXACT(DG9,$DG$8)))</formula>
    </cfRule>
  </conditionalFormatting>
  <conditionalFormatting sqref="DH8">
    <cfRule type="notContainsBlanks" dxfId="10" priority="290">
      <formula>LEN(TRIM(DH8))&gt;0</formula>
    </cfRule>
    <cfRule type="containsBlanks" dxfId="11" priority="291">
      <formula>LEN(TRIM(DH8))=0</formula>
    </cfRule>
  </conditionalFormatting>
  <conditionalFormatting sqref="DH9:DH2508">
    <cfRule type="expression" dxfId="10" priority="292">
      <formula>AND($DH$8&lt;&gt;"",OR(DH9="",EXACT(DH9,$DH$8)))</formula>
    </cfRule>
  </conditionalFormatting>
  <conditionalFormatting sqref="DI8">
    <cfRule type="notContainsBlanks" dxfId="10" priority="293">
      <formula>LEN(TRIM(DI8))&gt;0</formula>
    </cfRule>
    <cfRule type="containsBlanks" dxfId="11" priority="294">
      <formula>LEN(TRIM(DI8))=0</formula>
    </cfRule>
  </conditionalFormatting>
  <conditionalFormatting sqref="DI9:DI2508">
    <cfRule type="expression" dxfId="10" priority="295">
      <formula>AND($DI$8&lt;&gt;"",OR(DI9="",EXACT(DI9,$DI$8)))</formula>
    </cfRule>
  </conditionalFormatting>
  <conditionalFormatting sqref="DJ8">
    <cfRule type="notContainsBlanks" dxfId="10" priority="296">
      <formula>LEN(TRIM(DJ8))&gt;0</formula>
    </cfRule>
    <cfRule type="containsBlanks" dxfId="11" priority="297">
      <formula>LEN(TRIM(DJ8))=0</formula>
    </cfRule>
  </conditionalFormatting>
  <conditionalFormatting sqref="DJ9:DJ2508">
    <cfRule type="expression" dxfId="10" priority="298">
      <formula>AND($DJ$8&lt;&gt;"",OR(DJ9="",EXACT(DJ9,$DJ$8)))</formula>
    </cfRule>
  </conditionalFormatting>
  <conditionalFormatting sqref="DK8">
    <cfRule type="notContainsBlanks" dxfId="10" priority="299">
      <formula>LEN(TRIM(DK8))&gt;0</formula>
    </cfRule>
    <cfRule type="containsBlanks" dxfId="11" priority="300">
      <formula>LEN(TRIM(DK8))=0</formula>
    </cfRule>
  </conditionalFormatting>
  <conditionalFormatting sqref="DK9:DK2508">
    <cfRule type="expression" dxfId="10" priority="301">
      <formula>AND($DK$8&lt;&gt;"",OR(DK9="",EXACT(DK9,$DK$8)))</formula>
    </cfRule>
  </conditionalFormatting>
  <conditionalFormatting sqref="DL8">
    <cfRule type="notContainsBlanks" dxfId="10" priority="302">
      <formula>LEN(TRIM(DL8))&gt;0</formula>
    </cfRule>
    <cfRule type="containsBlanks" dxfId="11" priority="303">
      <formula>LEN(TRIM(DL8))=0</formula>
    </cfRule>
  </conditionalFormatting>
  <conditionalFormatting sqref="DL9:DL2508">
    <cfRule type="expression" dxfId="10" priority="304">
      <formula>AND($DL$8&lt;&gt;"",OR(DL9="",EXACT(DL9,$DL$8)))</formula>
    </cfRule>
  </conditionalFormatting>
  <conditionalFormatting sqref="DM8">
    <cfRule type="notContainsBlanks" dxfId="10" priority="305">
      <formula>LEN(TRIM(DM8))&gt;0</formula>
    </cfRule>
    <cfRule type="containsBlanks" dxfId="11" priority="306">
      <formula>LEN(TRIM(DM8))=0</formula>
    </cfRule>
  </conditionalFormatting>
  <conditionalFormatting sqref="DM9:DM2508">
    <cfRule type="expression" dxfId="10" priority="307">
      <formula>AND($DM$8&lt;&gt;"",OR(DM9="",EXACT(DM9,$DM$8)))</formula>
    </cfRule>
  </conditionalFormatting>
  <conditionalFormatting sqref="DN8">
    <cfRule type="notContainsBlanks" dxfId="10" priority="308">
      <formula>LEN(TRIM(DN8))&gt;0</formula>
    </cfRule>
    <cfRule type="containsBlanks" dxfId="11" priority="309">
      <formula>LEN(TRIM(DN8))=0</formula>
    </cfRule>
  </conditionalFormatting>
  <conditionalFormatting sqref="DN9:DN2508">
    <cfRule type="expression" dxfId="10" priority="310">
      <formula>AND($DN$8&lt;&gt;"",OR(DN9="",EXACT(DN9,$DN$8)))</formula>
    </cfRule>
  </conditionalFormatting>
  <conditionalFormatting sqref="DO8">
    <cfRule type="notContainsBlanks" dxfId="10" priority="311">
      <formula>LEN(TRIM(DO8))&gt;0</formula>
    </cfRule>
    <cfRule type="containsBlanks" dxfId="11" priority="312">
      <formula>LEN(TRIM(DO8))=0</formula>
    </cfRule>
  </conditionalFormatting>
  <conditionalFormatting sqref="DO9:DO2508">
    <cfRule type="expression" dxfId="10" priority="313">
      <formula>AND($DO$8&lt;&gt;"",OR(DO9="",EXACT(DO9,$DO$8)))</formula>
    </cfRule>
  </conditionalFormatting>
  <conditionalFormatting sqref="DP8">
    <cfRule type="notContainsBlanks" dxfId="10" priority="314">
      <formula>LEN(TRIM(DP8))&gt;0</formula>
    </cfRule>
    <cfRule type="containsBlanks" dxfId="11" priority="315">
      <formula>LEN(TRIM(DP8))=0</formula>
    </cfRule>
  </conditionalFormatting>
  <conditionalFormatting sqref="DP9:DP2508">
    <cfRule type="expression" dxfId="10" priority="316">
      <formula>AND($DP$8&lt;&gt;"",OR(DP9="",EXACT(DP9,$DP$8)))</formula>
    </cfRule>
  </conditionalFormatting>
  <conditionalFormatting sqref="DQ8">
    <cfRule type="notContainsBlanks" dxfId="10" priority="317">
      <formula>LEN(TRIM(DQ8))&gt;0</formula>
    </cfRule>
    <cfRule type="containsBlanks" dxfId="11" priority="318">
      <formula>LEN(TRIM(DQ8))=0</formula>
    </cfRule>
  </conditionalFormatting>
  <conditionalFormatting sqref="DQ9:DQ2508">
    <cfRule type="expression" dxfId="10" priority="319">
      <formula>AND($DQ$8&lt;&gt;"",OR(DQ9="",EXACT(DQ9,$DQ$8)))</formula>
    </cfRule>
  </conditionalFormatting>
  <conditionalFormatting sqref="DR8">
    <cfRule type="notContainsBlanks" dxfId="10" priority="320">
      <formula>LEN(TRIM(DR8))&gt;0</formula>
    </cfRule>
    <cfRule type="containsBlanks" dxfId="11" priority="321">
      <formula>LEN(TRIM(DR8))=0</formula>
    </cfRule>
  </conditionalFormatting>
  <conditionalFormatting sqref="DR9:DR2508">
    <cfRule type="expression" dxfId="10" priority="322">
      <formula>AND($DR$8&lt;&gt;"",OR(DR9="",EXACT(DR9,$DR$8)))</formula>
    </cfRule>
  </conditionalFormatting>
  <conditionalFormatting sqref="DS8">
    <cfRule type="notContainsBlanks" dxfId="10" priority="323">
      <formula>LEN(TRIM(DS8))&gt;0</formula>
    </cfRule>
    <cfRule type="containsBlanks" dxfId="11" priority="324">
      <formula>LEN(TRIM(DS8))=0</formula>
    </cfRule>
  </conditionalFormatting>
  <conditionalFormatting sqref="DS9:DS2508">
    <cfRule type="expression" dxfId="10" priority="325">
      <formula>AND($DS$8&lt;&gt;"",OR(DS9="",EXACT(DS9,$DS$8)))</formula>
    </cfRule>
  </conditionalFormatting>
  <conditionalFormatting sqref="DT8">
    <cfRule type="notContainsBlanks" dxfId="10" priority="326">
      <formula>LEN(TRIM(DT8))&gt;0</formula>
    </cfRule>
    <cfRule type="containsBlanks" dxfId="11" priority="327">
      <formula>LEN(TRIM(DT8))=0</formula>
    </cfRule>
  </conditionalFormatting>
  <conditionalFormatting sqref="DT9:DT2508">
    <cfRule type="expression" dxfId="10" priority="328">
      <formula>AND($DT$8&lt;&gt;"",OR(DT9="",EXACT(DT9,$DT$8)))</formula>
    </cfRule>
  </conditionalFormatting>
  <conditionalFormatting sqref="DU8">
    <cfRule type="notContainsBlanks" dxfId="10" priority="329">
      <formula>LEN(TRIM(DU8))&gt;0</formula>
    </cfRule>
    <cfRule type="containsBlanks" dxfId="11" priority="330">
      <formula>LEN(TRIM(DU8))=0</formula>
    </cfRule>
  </conditionalFormatting>
  <conditionalFormatting sqref="DU9:DU2508">
    <cfRule type="expression" dxfId="10" priority="331">
      <formula>AND($DU$8&lt;&gt;"",OR(DU9="",EXACT(DU9,$DU$8)))</formula>
    </cfRule>
  </conditionalFormatting>
  <conditionalFormatting sqref="DV8">
    <cfRule type="notContainsBlanks" dxfId="10" priority="332">
      <formula>LEN(TRIM(DV8))&gt;0</formula>
    </cfRule>
    <cfRule type="containsBlanks" dxfId="11" priority="333">
      <formula>LEN(TRIM(DV8))=0</formula>
    </cfRule>
  </conditionalFormatting>
  <conditionalFormatting sqref="DV9:DV2508">
    <cfRule type="expression" dxfId="10" priority="334">
      <formula>AND($DV$8&lt;&gt;"",OR(DV9="",EXACT(DV9,$DV$8)))</formula>
    </cfRule>
  </conditionalFormatting>
  <conditionalFormatting sqref="DW8">
    <cfRule type="notContainsBlanks" dxfId="10" priority="335">
      <formula>LEN(TRIM(DW8))&gt;0</formula>
    </cfRule>
    <cfRule type="containsBlanks" dxfId="11" priority="336">
      <formula>LEN(TRIM(DW8))=0</formula>
    </cfRule>
  </conditionalFormatting>
  <conditionalFormatting sqref="DW9:DW2508">
    <cfRule type="expression" dxfId="10" priority="337">
      <formula>AND($DW$8&lt;&gt;"",OR(DW9="",EXACT(DW9,$DW$8)))</formula>
    </cfRule>
  </conditionalFormatting>
  <conditionalFormatting sqref="DX8">
    <cfRule type="notContainsBlanks" dxfId="10" priority="338">
      <formula>LEN(TRIM(DX8))&gt;0</formula>
    </cfRule>
    <cfRule type="containsBlanks" dxfId="11" priority="339">
      <formula>LEN(TRIM(DX8))=0</formula>
    </cfRule>
  </conditionalFormatting>
  <conditionalFormatting sqref="DX9:DX2508">
    <cfRule type="expression" dxfId="10" priority="340">
      <formula>AND($DX$8&lt;&gt;"",OR(DX9="",EXACT(DX9,$DX$8)))</formula>
    </cfRule>
  </conditionalFormatting>
  <conditionalFormatting sqref="DY8">
    <cfRule type="notContainsBlanks" dxfId="10" priority="341">
      <formula>LEN(TRIM(DY8))&gt;0</formula>
    </cfRule>
    <cfRule type="containsBlanks" dxfId="11" priority="342">
      <formula>LEN(TRIM(DY8))=0</formula>
    </cfRule>
  </conditionalFormatting>
  <conditionalFormatting sqref="DY9:DY2508">
    <cfRule type="expression" dxfId="10" priority="343">
      <formula>AND($DY$8&lt;&gt;"",OR(DY9="",EXACT(DY9,$DY$8)))</formula>
    </cfRule>
  </conditionalFormatting>
  <conditionalFormatting sqref="DZ8">
    <cfRule type="notContainsBlanks" dxfId="10" priority="344">
      <formula>LEN(TRIM(DZ8))&gt;0</formula>
    </cfRule>
    <cfRule type="containsBlanks" dxfId="11" priority="345">
      <formula>LEN(TRIM(DZ8))=0</formula>
    </cfRule>
  </conditionalFormatting>
  <conditionalFormatting sqref="DZ9:DZ2508">
    <cfRule type="expression" dxfId="10" priority="346">
      <formula>AND($DZ$8&lt;&gt;"",OR(DZ9="",EXACT(DZ9,$DZ$8)))</formula>
    </cfRule>
  </conditionalFormatting>
  <conditionalFormatting sqref="EA8">
    <cfRule type="notContainsBlanks" dxfId="10" priority="347">
      <formula>LEN(TRIM(EA8))&gt;0</formula>
    </cfRule>
    <cfRule type="containsBlanks" dxfId="11" priority="348">
      <formula>LEN(TRIM(EA8))=0</formula>
    </cfRule>
  </conditionalFormatting>
  <conditionalFormatting sqref="EA9:EA2508">
    <cfRule type="expression" dxfId="10" priority="349">
      <formula>AND($EA$8&lt;&gt;"",OR(EA9="",EXACT(EA9,$EA$8)))</formula>
    </cfRule>
  </conditionalFormatting>
  <conditionalFormatting sqref="EB8">
    <cfRule type="notContainsBlanks" dxfId="10" priority="350">
      <formula>LEN(TRIM(EB8))&gt;0</formula>
    </cfRule>
    <cfRule type="containsBlanks" dxfId="11" priority="351">
      <formula>LEN(TRIM(EB8))=0</formula>
    </cfRule>
  </conditionalFormatting>
  <conditionalFormatting sqref="EB9:EB2508">
    <cfRule type="expression" dxfId="10" priority="352">
      <formula>AND($EB$8&lt;&gt;"",OR(EB9="",EXACT(EB9,$EB$8)))</formula>
    </cfRule>
  </conditionalFormatting>
  <conditionalFormatting sqref="EC8">
    <cfRule type="notContainsBlanks" dxfId="10" priority="353">
      <formula>LEN(TRIM(EC8))&gt;0</formula>
    </cfRule>
    <cfRule type="containsBlanks" dxfId="11" priority="354">
      <formula>LEN(TRIM(EC8))=0</formula>
    </cfRule>
  </conditionalFormatting>
  <conditionalFormatting sqref="EC9:EC2508">
    <cfRule type="expression" dxfId="10" priority="355">
      <formula>AND($EC$8&lt;&gt;"",OR(EC9="",EXACT(EC9,$EC$8)))</formula>
    </cfRule>
  </conditionalFormatting>
  <conditionalFormatting sqref="ED8">
    <cfRule type="notContainsBlanks" dxfId="10" priority="356">
      <formula>LEN(TRIM(ED8))&gt;0</formula>
    </cfRule>
    <cfRule type="containsBlanks" dxfId="11" priority="357">
      <formula>LEN(TRIM(ED8))=0</formula>
    </cfRule>
  </conditionalFormatting>
  <conditionalFormatting sqref="ED9:ED2508">
    <cfRule type="expression" dxfId="10" priority="358">
      <formula>AND($ED$8&lt;&gt;"",OR(ED9="",EXACT(ED9,$ED$8)))</formula>
    </cfRule>
  </conditionalFormatting>
  <conditionalFormatting sqref="EE8">
    <cfRule type="notContainsBlanks" dxfId="10" priority="359">
      <formula>LEN(TRIM(EE8))&gt;0</formula>
    </cfRule>
    <cfRule type="containsBlanks" dxfId="11" priority="360">
      <formula>LEN(TRIM(EE8))=0</formula>
    </cfRule>
  </conditionalFormatting>
  <conditionalFormatting sqref="EE9:EE2508">
    <cfRule type="expression" dxfId="10" priority="361">
      <formula>AND($EE$8&lt;&gt;"",OR(EE9="",EXACT(EE9,$EE$8)))</formula>
    </cfRule>
  </conditionalFormatting>
  <conditionalFormatting sqref="EF8">
    <cfRule type="notContainsBlanks" dxfId="10" priority="362">
      <formula>LEN(TRIM(EF8))&gt;0</formula>
    </cfRule>
    <cfRule type="containsBlanks" dxfId="11" priority="363">
      <formula>LEN(TRIM(EF8))=0</formula>
    </cfRule>
  </conditionalFormatting>
  <conditionalFormatting sqref="EF9:EF2508">
    <cfRule type="expression" dxfId="10" priority="364">
      <formula>AND($EF$8&lt;&gt;"",OR(EF9="",EXACT(EF9,$EF$8)))</formula>
    </cfRule>
  </conditionalFormatting>
  <conditionalFormatting sqref="EG8">
    <cfRule type="notContainsBlanks" dxfId="10" priority="365">
      <formula>LEN(TRIM(EG8))&gt;0</formula>
    </cfRule>
    <cfRule type="containsBlanks" dxfId="11" priority="366">
      <formula>LEN(TRIM(EG8))=0</formula>
    </cfRule>
  </conditionalFormatting>
  <conditionalFormatting sqref="EG9:EG2508">
    <cfRule type="expression" dxfId="10" priority="367">
      <formula>AND($EG$8&lt;&gt;"",OR(EG9="",EXACT(EG9,$EG$8)))</formula>
    </cfRule>
  </conditionalFormatting>
  <conditionalFormatting sqref="EH8">
    <cfRule type="notContainsBlanks" dxfId="10" priority="368">
      <formula>LEN(TRIM(EH8))&gt;0</formula>
    </cfRule>
    <cfRule type="containsBlanks" dxfId="11" priority="369">
      <formula>LEN(TRIM(EH8))=0</formula>
    </cfRule>
  </conditionalFormatting>
  <conditionalFormatting sqref="EH9:EH2508">
    <cfRule type="expression" dxfId="10" priority="370">
      <formula>AND($EH$8&lt;&gt;"",OR(EH9="",EXACT(EH9,$EH$8)))</formula>
    </cfRule>
  </conditionalFormatting>
  <conditionalFormatting sqref="EI8">
    <cfRule type="notContainsBlanks" dxfId="10" priority="371">
      <formula>LEN(TRIM(EI8))&gt;0</formula>
    </cfRule>
    <cfRule type="containsBlanks" dxfId="11" priority="372">
      <formula>LEN(TRIM(EI8))=0</formula>
    </cfRule>
  </conditionalFormatting>
  <conditionalFormatting sqref="EI9:EI2508">
    <cfRule type="expression" dxfId="10" priority="373">
      <formula>AND($EI$8&lt;&gt;"",OR(EI9="",EXACT(EI9,$EI$8)))</formula>
    </cfRule>
  </conditionalFormatting>
  <conditionalFormatting sqref="EJ8">
    <cfRule type="notContainsBlanks" dxfId="10" priority="374">
      <formula>LEN(TRIM(EJ8))&gt;0</formula>
    </cfRule>
    <cfRule type="containsBlanks" dxfId="11" priority="375">
      <formula>LEN(TRIM(EJ8))=0</formula>
    </cfRule>
  </conditionalFormatting>
  <conditionalFormatting sqref="EJ9:EJ2508">
    <cfRule type="expression" dxfId="10" priority="376">
      <formula>AND($EJ$8&lt;&gt;"",OR(EJ9="",EXACT(EJ9,$EJ$8)))</formula>
    </cfRule>
  </conditionalFormatting>
  <conditionalFormatting sqref="EK8">
    <cfRule type="notContainsBlanks" dxfId="10" priority="377">
      <formula>LEN(TRIM(EK8))&gt;0</formula>
    </cfRule>
    <cfRule type="containsBlanks" dxfId="11" priority="378">
      <formula>LEN(TRIM(EK8))=0</formula>
    </cfRule>
  </conditionalFormatting>
  <conditionalFormatting sqref="EK9:EK2508">
    <cfRule type="expression" dxfId="10" priority="379">
      <formula>AND($EK$8&lt;&gt;"",OR(EK9="",EXACT(EK9,$EK$8)))</formula>
    </cfRule>
  </conditionalFormatting>
  <conditionalFormatting sqref="EL8">
    <cfRule type="notContainsBlanks" dxfId="10" priority="380">
      <formula>LEN(TRIM(EL8))&gt;0</formula>
    </cfRule>
    <cfRule type="containsBlanks" dxfId="11" priority="381">
      <formula>LEN(TRIM(EL8))=0</formula>
    </cfRule>
  </conditionalFormatting>
  <conditionalFormatting sqref="EL9:EL2508">
    <cfRule type="expression" dxfId="10" priority="382">
      <formula>AND($EL$8&lt;&gt;"",OR(EL9="",EXACT(EL9,$EL$8)))</formula>
    </cfRule>
  </conditionalFormatting>
  <conditionalFormatting sqref="EM8">
    <cfRule type="notContainsBlanks" dxfId="10" priority="383">
      <formula>LEN(TRIM(EM8))&gt;0</formula>
    </cfRule>
    <cfRule type="containsBlanks" dxfId="11" priority="384">
      <formula>LEN(TRIM(EM8))=0</formula>
    </cfRule>
  </conditionalFormatting>
  <conditionalFormatting sqref="EM9:EM2508">
    <cfRule type="expression" dxfId="10" priority="385">
      <formula>AND($EM$8&lt;&gt;"",OR(EM9="",EXACT(EM9,$EM$8)))</formula>
    </cfRule>
  </conditionalFormatting>
  <conditionalFormatting sqref="EN8">
    <cfRule type="notContainsBlanks" dxfId="10" priority="386">
      <formula>LEN(TRIM(EN8))&gt;0</formula>
    </cfRule>
    <cfRule type="containsBlanks" dxfId="11" priority="387">
      <formula>LEN(TRIM(EN8))=0</formula>
    </cfRule>
  </conditionalFormatting>
  <conditionalFormatting sqref="EN9:EN2508">
    <cfRule type="expression" dxfId="10" priority="388">
      <formula>AND($EN$8&lt;&gt;"",OR(EN9="",EXACT(EN9,$EN$8)))</formula>
    </cfRule>
  </conditionalFormatting>
  <conditionalFormatting sqref="EO8">
    <cfRule type="notContainsBlanks" dxfId="10" priority="389">
      <formula>LEN(TRIM(EO8))&gt;0</formula>
    </cfRule>
    <cfRule type="containsBlanks" dxfId="11" priority="390">
      <formula>LEN(TRIM(EO8))=0</formula>
    </cfRule>
  </conditionalFormatting>
  <conditionalFormatting sqref="EO9:EO2508">
    <cfRule type="expression" dxfId="10" priority="391">
      <formula>AND($EO$8&lt;&gt;"",OR(EO9="",EXACT(EO9,$EO$8)))</formula>
    </cfRule>
  </conditionalFormatting>
  <conditionalFormatting sqref="EP8">
    <cfRule type="notContainsBlanks" dxfId="10" priority="392">
      <formula>LEN(TRIM(EP8))&gt;0</formula>
    </cfRule>
    <cfRule type="containsBlanks" dxfId="11" priority="393">
      <formula>LEN(TRIM(EP8))=0</formula>
    </cfRule>
  </conditionalFormatting>
  <conditionalFormatting sqref="EP9:EP2508">
    <cfRule type="expression" dxfId="10" priority="394">
      <formula>AND($EP$8&lt;&gt;"",OR(EP9="",EXACT(EP9,$EP$8)))</formula>
    </cfRule>
  </conditionalFormatting>
  <conditionalFormatting sqref="EQ8">
    <cfRule type="notContainsBlanks" dxfId="10" priority="395">
      <formula>LEN(TRIM(EQ8))&gt;0</formula>
    </cfRule>
    <cfRule type="containsBlanks" dxfId="11" priority="396">
      <formula>LEN(TRIM(EQ8))=0</formula>
    </cfRule>
  </conditionalFormatting>
  <conditionalFormatting sqref="EQ9:EQ2508">
    <cfRule type="expression" dxfId="10" priority="397">
      <formula>AND($EQ$8&lt;&gt;"",OR(EQ9="",EXACT(EQ9,$EQ$8)))</formula>
    </cfRule>
  </conditionalFormatting>
  <conditionalFormatting sqref="ER8">
    <cfRule type="notContainsBlanks" dxfId="10" priority="398">
      <formula>LEN(TRIM(ER8))&gt;0</formula>
    </cfRule>
    <cfRule type="containsBlanks" dxfId="11" priority="399">
      <formula>LEN(TRIM(ER8))=0</formula>
    </cfRule>
  </conditionalFormatting>
  <conditionalFormatting sqref="ER9:ER2508">
    <cfRule type="expression" dxfId="10" priority="400">
      <formula>AND($ER$8&lt;&gt;"",OR(ER9="",EXACT(ER9,$ER$8)))</formula>
    </cfRule>
  </conditionalFormatting>
  <conditionalFormatting sqref="ES8">
    <cfRule type="notContainsBlanks" dxfId="10" priority="401">
      <formula>LEN(TRIM(ES8))&gt;0</formula>
    </cfRule>
    <cfRule type="containsBlanks" dxfId="11" priority="402">
      <formula>LEN(TRIM(ES8))=0</formula>
    </cfRule>
  </conditionalFormatting>
  <conditionalFormatting sqref="ES9:ES2508">
    <cfRule type="expression" dxfId="10" priority="403">
      <formula>AND($ES$8&lt;&gt;"",OR(ES9="",EXACT(ES9,$ES$8)))</formula>
    </cfRule>
  </conditionalFormatting>
  <conditionalFormatting sqref="ET8">
    <cfRule type="notContainsBlanks" dxfId="10" priority="404">
      <formula>LEN(TRIM(ET8))&gt;0</formula>
    </cfRule>
    <cfRule type="containsBlanks" dxfId="11" priority="405">
      <formula>LEN(TRIM(ET8))=0</formula>
    </cfRule>
  </conditionalFormatting>
  <conditionalFormatting sqref="ET9:ET2508">
    <cfRule type="expression" dxfId="10" priority="406">
      <formula>AND($ET$8&lt;&gt;"",OR(ET9="",EXACT(ET9,$ET$8)))</formula>
    </cfRule>
  </conditionalFormatting>
  <conditionalFormatting sqref="EU8">
    <cfRule type="notContainsBlanks" dxfId="10" priority="407">
      <formula>LEN(TRIM(EU8))&gt;0</formula>
    </cfRule>
    <cfRule type="containsBlanks" dxfId="11" priority="408">
      <formula>LEN(TRIM(EU8))=0</formula>
    </cfRule>
  </conditionalFormatting>
  <conditionalFormatting sqref="EU9:EU2508">
    <cfRule type="expression" dxfId="10" priority="409">
      <formula>AND($EU$8&lt;&gt;"",OR(EU9="",EXACT(EU9,$EU$8)))</formula>
    </cfRule>
  </conditionalFormatting>
  <conditionalFormatting sqref="EV8">
    <cfRule type="notContainsBlanks" dxfId="10" priority="410">
      <formula>LEN(TRIM(EV8))&gt;0</formula>
    </cfRule>
    <cfRule type="containsBlanks" dxfId="11" priority="411">
      <formula>LEN(TRIM(EV8))=0</formula>
    </cfRule>
  </conditionalFormatting>
  <conditionalFormatting sqref="EV9:EV2508">
    <cfRule type="expression" dxfId="10" priority="412">
      <formula>AND($EV$8&lt;&gt;"",OR(EV9="",EXACT(EV9,$EV$8)))</formula>
    </cfRule>
  </conditionalFormatting>
  <conditionalFormatting sqref="EW8">
    <cfRule type="notContainsBlanks" dxfId="10" priority="413">
      <formula>LEN(TRIM(EW8))&gt;0</formula>
    </cfRule>
    <cfRule type="containsBlanks" dxfId="11" priority="414">
      <formula>LEN(TRIM(EW8))=0</formula>
    </cfRule>
  </conditionalFormatting>
  <conditionalFormatting sqref="EW9:EW2508">
    <cfRule type="expression" dxfId="10" priority="415">
      <formula>AND($EW$8&lt;&gt;"",OR(EW9="",EXACT(EW9,$EW$8)))</formula>
    </cfRule>
  </conditionalFormatting>
  <conditionalFormatting sqref="EX8">
    <cfRule type="notContainsBlanks" dxfId="10" priority="416">
      <formula>LEN(TRIM(EX8))&gt;0</formula>
    </cfRule>
    <cfRule type="containsBlanks" dxfId="11" priority="417">
      <formula>LEN(TRIM(EX8))=0</formula>
    </cfRule>
  </conditionalFormatting>
  <conditionalFormatting sqref="EX9:EX2508">
    <cfRule type="expression" dxfId="10" priority="418">
      <formula>AND($EX$8&lt;&gt;"",OR(EX9="",EXACT(EX9,$EX$8)))</formula>
    </cfRule>
  </conditionalFormatting>
  <conditionalFormatting sqref="EY8">
    <cfRule type="notContainsBlanks" dxfId="10" priority="419">
      <formula>LEN(TRIM(EY8))&gt;0</formula>
    </cfRule>
    <cfRule type="containsBlanks" dxfId="11" priority="420">
      <formula>LEN(TRIM(EY8))=0</formula>
    </cfRule>
  </conditionalFormatting>
  <conditionalFormatting sqref="EY9:EY2508">
    <cfRule type="expression" dxfId="10" priority="421">
      <formula>AND($EY$8&lt;&gt;"",OR(EY9="",EXACT(EY9,$EY$8)))</formula>
    </cfRule>
  </conditionalFormatting>
  <conditionalFormatting sqref="EZ8">
    <cfRule type="notContainsBlanks" dxfId="10" priority="422">
      <formula>LEN(TRIM(EZ8))&gt;0</formula>
    </cfRule>
    <cfRule type="containsBlanks" dxfId="11" priority="423">
      <formula>LEN(TRIM(EZ8))=0</formula>
    </cfRule>
  </conditionalFormatting>
  <conditionalFormatting sqref="EZ9:EZ2508">
    <cfRule type="expression" dxfId="10" priority="424">
      <formula>AND($EZ$8&lt;&gt;"",OR(EZ9="",EXACT(EZ9,$EZ$8)))</formula>
    </cfRule>
  </conditionalFormatting>
  <conditionalFormatting sqref="F8">
    <cfRule type="notContainsBlanks" dxfId="10" priority="8">
      <formula>LEN(TRIM(F8))&gt;0</formula>
    </cfRule>
    <cfRule type="containsBlanks" dxfId="11" priority="9">
      <formula>LEN(TRIM(F8))=0</formula>
    </cfRule>
  </conditionalFormatting>
  <conditionalFormatting sqref="F9:F2508">
    <cfRule type="expression" dxfId="10" priority="10">
      <formula>AND($F$8&lt;&gt;"",OR(F9="",EXACT(F9,$F$8)))</formula>
    </cfRule>
  </conditionalFormatting>
  <conditionalFormatting sqref="FA8">
    <cfRule type="notContainsBlanks" dxfId="10" priority="425">
      <formula>LEN(TRIM(FA8))&gt;0</formula>
    </cfRule>
    <cfRule type="containsBlanks" dxfId="11" priority="426">
      <formula>LEN(TRIM(FA8))=0</formula>
    </cfRule>
  </conditionalFormatting>
  <conditionalFormatting sqref="FA9:FA2508">
    <cfRule type="expression" dxfId="10" priority="427">
      <formula>AND($FA$8&lt;&gt;"",OR(FA9="",EXACT(FA9,$FA$8)))</formula>
    </cfRule>
  </conditionalFormatting>
  <conditionalFormatting sqref="FB8">
    <cfRule type="notContainsBlanks" dxfId="10" priority="428">
      <formula>LEN(TRIM(FB8))&gt;0</formula>
    </cfRule>
    <cfRule type="containsBlanks" dxfId="11" priority="429">
      <formula>LEN(TRIM(FB8))=0</formula>
    </cfRule>
  </conditionalFormatting>
  <conditionalFormatting sqref="FB9:FB2508">
    <cfRule type="expression" dxfId="10" priority="430">
      <formula>AND($FB$8&lt;&gt;"",OR(FB9="",EXACT(FB9,$FB$8)))</formula>
    </cfRule>
  </conditionalFormatting>
  <conditionalFormatting sqref="FC8">
    <cfRule type="notContainsBlanks" dxfId="10" priority="431">
      <formula>LEN(TRIM(FC8))&gt;0</formula>
    </cfRule>
    <cfRule type="containsBlanks" dxfId="11" priority="432">
      <formula>LEN(TRIM(FC8))=0</formula>
    </cfRule>
  </conditionalFormatting>
  <conditionalFormatting sqref="FC9:FC2508">
    <cfRule type="expression" dxfId="10" priority="433">
      <formula>AND($FC$8&lt;&gt;"",OR(FC9="",EXACT(FC9,$FC$8)))</formula>
    </cfRule>
  </conditionalFormatting>
  <conditionalFormatting sqref="FD8">
    <cfRule type="notContainsBlanks" dxfId="10" priority="434">
      <formula>LEN(TRIM(FD8))&gt;0</formula>
    </cfRule>
    <cfRule type="containsBlanks" dxfId="11" priority="435">
      <formula>LEN(TRIM(FD8))=0</formula>
    </cfRule>
  </conditionalFormatting>
  <conditionalFormatting sqref="FD9:FD2508">
    <cfRule type="expression" dxfId="10" priority="436">
      <formula>AND($FD$8&lt;&gt;"",OR(FD9="",EXACT(FD9,$FD$8)))</formula>
    </cfRule>
  </conditionalFormatting>
  <conditionalFormatting sqref="FE8">
    <cfRule type="notContainsBlanks" dxfId="10" priority="437">
      <formula>LEN(TRIM(FE8))&gt;0</formula>
    </cfRule>
    <cfRule type="containsBlanks" dxfId="11" priority="438">
      <formula>LEN(TRIM(FE8))=0</formula>
    </cfRule>
  </conditionalFormatting>
  <conditionalFormatting sqref="FE9:FE2508">
    <cfRule type="expression" dxfId="10" priority="439">
      <formula>AND($FE$8&lt;&gt;"",OR(FE9="",EXACT(FE9,$FE$8)))</formula>
    </cfRule>
  </conditionalFormatting>
  <conditionalFormatting sqref="FF8">
    <cfRule type="notContainsBlanks" dxfId="10" priority="440">
      <formula>LEN(TRIM(FF8))&gt;0</formula>
    </cfRule>
    <cfRule type="containsBlanks" dxfId="11" priority="441">
      <formula>LEN(TRIM(FF8))=0</formula>
    </cfRule>
  </conditionalFormatting>
  <conditionalFormatting sqref="FF9:FF2508">
    <cfRule type="expression" dxfId="10" priority="442">
      <formula>AND($FF$8&lt;&gt;"",OR(FF9="",EXACT(FF9,$FF$8)))</formula>
    </cfRule>
  </conditionalFormatting>
  <conditionalFormatting sqref="FG8">
    <cfRule type="notContainsBlanks" dxfId="10" priority="443">
      <formula>LEN(TRIM(FG8))&gt;0</formula>
    </cfRule>
    <cfRule type="containsBlanks" dxfId="11" priority="444">
      <formula>LEN(TRIM(FG8))=0</formula>
    </cfRule>
  </conditionalFormatting>
  <conditionalFormatting sqref="FG9:FG2508">
    <cfRule type="expression" dxfId="10" priority="445">
      <formula>AND($FG$8&lt;&gt;"",OR(FG9="",EXACT(FG9,$FG$8)))</formula>
    </cfRule>
  </conditionalFormatting>
  <conditionalFormatting sqref="FH8">
    <cfRule type="notContainsBlanks" dxfId="10" priority="446">
      <formula>LEN(TRIM(FH8))&gt;0</formula>
    </cfRule>
    <cfRule type="containsBlanks" dxfId="11" priority="447">
      <formula>LEN(TRIM(FH8))=0</formula>
    </cfRule>
  </conditionalFormatting>
  <conditionalFormatting sqref="FH9:FH2508">
    <cfRule type="expression" dxfId="10" priority="448">
      <formula>AND($FH$8&lt;&gt;"",OR(FH9="",EXACT(FH9,$FH$8)))</formula>
    </cfRule>
  </conditionalFormatting>
  <conditionalFormatting sqref="FI8">
    <cfRule type="notContainsBlanks" dxfId="10" priority="449">
      <formula>LEN(TRIM(FI8))&gt;0</formula>
    </cfRule>
    <cfRule type="containsBlanks" dxfId="11" priority="450">
      <formula>LEN(TRIM(FI8))=0</formula>
    </cfRule>
  </conditionalFormatting>
  <conditionalFormatting sqref="FI9:FI2508">
    <cfRule type="expression" dxfId="10" priority="451">
      <formula>AND($FI$8&lt;&gt;"",OR(FI9="",EXACT(FI9,$FI$8)))</formula>
    </cfRule>
  </conditionalFormatting>
  <conditionalFormatting sqref="FJ8">
    <cfRule type="notContainsBlanks" dxfId="10" priority="452">
      <formula>LEN(TRIM(FJ8))&gt;0</formula>
    </cfRule>
    <cfRule type="containsBlanks" dxfId="11" priority="453">
      <formula>LEN(TRIM(FJ8))=0</formula>
    </cfRule>
  </conditionalFormatting>
  <conditionalFormatting sqref="FJ9:FJ2508">
    <cfRule type="expression" dxfId="10" priority="454">
      <formula>AND($FJ$8&lt;&gt;"",OR(FJ9="",EXACT(FJ9,$FJ$8)))</formula>
    </cfRule>
  </conditionalFormatting>
  <conditionalFormatting sqref="FK8">
    <cfRule type="notContainsBlanks" dxfId="10" priority="455">
      <formula>LEN(TRIM(FK8))&gt;0</formula>
    </cfRule>
    <cfRule type="containsBlanks" dxfId="11" priority="456">
      <formula>LEN(TRIM(FK8))=0</formula>
    </cfRule>
  </conditionalFormatting>
  <conditionalFormatting sqref="FK9:FK2508">
    <cfRule type="expression" dxfId="10" priority="457">
      <formula>AND($FK$8&lt;&gt;"",OR(FK9="",EXACT(FK9,$FK$8)))</formula>
    </cfRule>
  </conditionalFormatting>
  <conditionalFormatting sqref="FL8">
    <cfRule type="notContainsBlanks" dxfId="10" priority="458">
      <formula>LEN(TRIM(FL8))&gt;0</formula>
    </cfRule>
    <cfRule type="containsBlanks" dxfId="11" priority="459">
      <formula>LEN(TRIM(FL8))=0</formula>
    </cfRule>
  </conditionalFormatting>
  <conditionalFormatting sqref="FL9:FL2508">
    <cfRule type="expression" dxfId="10" priority="460">
      <formula>AND($FL$8&lt;&gt;"",OR(FL9="",EXACT(FL9,$FL$8)))</formula>
    </cfRule>
  </conditionalFormatting>
  <conditionalFormatting sqref="FM8">
    <cfRule type="notContainsBlanks" dxfId="10" priority="461">
      <formula>LEN(TRIM(FM8))&gt;0</formula>
    </cfRule>
    <cfRule type="containsBlanks" dxfId="11" priority="462">
      <formula>LEN(TRIM(FM8))=0</formula>
    </cfRule>
  </conditionalFormatting>
  <conditionalFormatting sqref="FM9:FM2508">
    <cfRule type="expression" dxfId="10" priority="463">
      <formula>AND($FM$8&lt;&gt;"",OR(FM9="",EXACT(FM9,$FM$8)))</formula>
    </cfRule>
  </conditionalFormatting>
  <conditionalFormatting sqref="FN8">
    <cfRule type="notContainsBlanks" dxfId="10" priority="464">
      <formula>LEN(TRIM(FN8))&gt;0</formula>
    </cfRule>
    <cfRule type="containsBlanks" dxfId="11" priority="465">
      <formula>LEN(TRIM(FN8))=0</formula>
    </cfRule>
  </conditionalFormatting>
  <conditionalFormatting sqref="FN9:FN2508">
    <cfRule type="expression" dxfId="10" priority="466">
      <formula>AND($FN$8&lt;&gt;"",OR(FN9="",EXACT(FN9,$FN$8)))</formula>
    </cfRule>
  </conditionalFormatting>
  <conditionalFormatting sqref="FO8">
    <cfRule type="notContainsBlanks" dxfId="10" priority="467">
      <formula>LEN(TRIM(FO8))&gt;0</formula>
    </cfRule>
    <cfRule type="containsBlanks" dxfId="11" priority="468">
      <formula>LEN(TRIM(FO8))=0</formula>
    </cfRule>
  </conditionalFormatting>
  <conditionalFormatting sqref="FO9:FO2508">
    <cfRule type="expression" dxfId="10" priority="469">
      <formula>AND($FO$8&lt;&gt;"",OR(FO9="",EXACT(FO9,$FO$8)))</formula>
    </cfRule>
  </conditionalFormatting>
  <conditionalFormatting sqref="FP8">
    <cfRule type="notContainsBlanks" dxfId="10" priority="470">
      <formula>LEN(TRIM(FP8))&gt;0</formula>
    </cfRule>
    <cfRule type="containsBlanks" dxfId="11" priority="471">
      <formula>LEN(TRIM(FP8))=0</formula>
    </cfRule>
  </conditionalFormatting>
  <conditionalFormatting sqref="FP9:FP2508">
    <cfRule type="expression" dxfId="10" priority="472">
      <formula>AND($FP$8&lt;&gt;"",OR(FP9="",EXACT(FP9,$FP$8)))</formula>
    </cfRule>
  </conditionalFormatting>
  <conditionalFormatting sqref="FQ8">
    <cfRule type="notContainsBlanks" dxfId="10" priority="473">
      <formula>LEN(TRIM(FQ8))&gt;0</formula>
    </cfRule>
    <cfRule type="containsBlanks" dxfId="11" priority="474">
      <formula>LEN(TRIM(FQ8))=0</formula>
    </cfRule>
  </conditionalFormatting>
  <conditionalFormatting sqref="FQ9:FQ2508">
    <cfRule type="expression" dxfId="10" priority="475">
      <formula>AND($FQ$8&lt;&gt;"",OR(FQ9="",EXACT(FQ9,$FQ$8)))</formula>
    </cfRule>
  </conditionalFormatting>
  <conditionalFormatting sqref="FR8">
    <cfRule type="notContainsBlanks" dxfId="10" priority="476">
      <formula>LEN(TRIM(FR8))&gt;0</formula>
    </cfRule>
    <cfRule type="containsBlanks" dxfId="11" priority="477">
      <formula>LEN(TRIM(FR8))=0</formula>
    </cfRule>
  </conditionalFormatting>
  <conditionalFormatting sqref="FR9:FR2508">
    <cfRule type="expression" dxfId="10" priority="478">
      <formula>AND($FR$8&lt;&gt;"",OR(FR9="",EXACT(FR9,$FR$8)))</formula>
    </cfRule>
  </conditionalFormatting>
  <conditionalFormatting sqref="FS8">
    <cfRule type="notContainsBlanks" dxfId="10" priority="479">
      <formula>LEN(TRIM(FS8))&gt;0</formula>
    </cfRule>
    <cfRule type="containsBlanks" dxfId="11" priority="480">
      <formula>LEN(TRIM(FS8))=0</formula>
    </cfRule>
  </conditionalFormatting>
  <conditionalFormatting sqref="FS9:FS2508">
    <cfRule type="expression" dxfId="10" priority="481">
      <formula>AND($FS$8&lt;&gt;"",OR(FS9="",EXACT(FS9,$FS$8)))</formula>
    </cfRule>
  </conditionalFormatting>
  <conditionalFormatting sqref="FT8">
    <cfRule type="notContainsBlanks" dxfId="10" priority="482">
      <formula>LEN(TRIM(FT8))&gt;0</formula>
    </cfRule>
    <cfRule type="containsBlanks" dxfId="11" priority="483">
      <formula>LEN(TRIM(FT8))=0</formula>
    </cfRule>
  </conditionalFormatting>
  <conditionalFormatting sqref="FT9:FT2508">
    <cfRule type="expression" dxfId="10" priority="484">
      <formula>AND($FT$8&lt;&gt;"",OR(FT9="",EXACT(FT9,$FT$8)))</formula>
    </cfRule>
  </conditionalFormatting>
  <conditionalFormatting sqref="FU8">
    <cfRule type="notContainsBlanks" dxfId="10" priority="485">
      <formula>LEN(TRIM(FU8))&gt;0</formula>
    </cfRule>
    <cfRule type="containsBlanks" dxfId="11" priority="486">
      <formula>LEN(TRIM(FU8))=0</formula>
    </cfRule>
  </conditionalFormatting>
  <conditionalFormatting sqref="FU9:FU2508">
    <cfRule type="expression" dxfId="10" priority="487">
      <formula>AND($FU$8&lt;&gt;"",OR(FU9="",EXACT(FU9,$FU$8)))</formula>
    </cfRule>
  </conditionalFormatting>
  <conditionalFormatting sqref="FV8">
    <cfRule type="notContainsBlanks" dxfId="10" priority="488">
      <formula>LEN(TRIM(FV8))&gt;0</formula>
    </cfRule>
    <cfRule type="containsBlanks" dxfId="11" priority="489">
      <formula>LEN(TRIM(FV8))=0</formula>
    </cfRule>
  </conditionalFormatting>
  <conditionalFormatting sqref="FV9:FV2508">
    <cfRule type="expression" dxfId="10" priority="490">
      <formula>AND($FV$8&lt;&gt;"",OR(FV9="",EXACT(FV9,$FV$8)))</formula>
    </cfRule>
  </conditionalFormatting>
  <conditionalFormatting sqref="FW8">
    <cfRule type="notContainsBlanks" dxfId="10" priority="491">
      <formula>LEN(TRIM(FW8))&gt;0</formula>
    </cfRule>
    <cfRule type="containsBlanks" dxfId="11" priority="492">
      <formula>LEN(TRIM(FW8))=0</formula>
    </cfRule>
  </conditionalFormatting>
  <conditionalFormatting sqref="FW9:FW2508">
    <cfRule type="expression" dxfId="10" priority="493">
      <formula>AND($FW$8&lt;&gt;"",OR(FW9="",EXACT(FW9,$FW$8)))</formula>
    </cfRule>
  </conditionalFormatting>
  <conditionalFormatting sqref="FX8">
    <cfRule type="notContainsBlanks" dxfId="10" priority="494">
      <formula>LEN(TRIM(FX8))&gt;0</formula>
    </cfRule>
    <cfRule type="containsBlanks" dxfId="11" priority="495">
      <formula>LEN(TRIM(FX8))=0</formula>
    </cfRule>
  </conditionalFormatting>
  <conditionalFormatting sqref="FX9:FX2508">
    <cfRule type="expression" dxfId="10" priority="496">
      <formula>AND($FX$8&lt;&gt;"",OR(FX9="",EXACT(FX9,$FX$8)))</formula>
    </cfRule>
  </conditionalFormatting>
  <conditionalFormatting sqref="FY8">
    <cfRule type="notContainsBlanks" dxfId="10" priority="497">
      <formula>LEN(TRIM(FY8))&gt;0</formula>
    </cfRule>
    <cfRule type="containsBlanks" dxfId="11" priority="498">
      <formula>LEN(TRIM(FY8))=0</formula>
    </cfRule>
  </conditionalFormatting>
  <conditionalFormatting sqref="FY9:FY2508">
    <cfRule type="expression" dxfId="10" priority="499">
      <formula>AND($FY$8&lt;&gt;"",OR(FY9="",EXACT(FY9,$FY$8)))</formula>
    </cfRule>
  </conditionalFormatting>
  <conditionalFormatting sqref="FZ8">
    <cfRule type="notContainsBlanks" dxfId="10" priority="500">
      <formula>LEN(TRIM(FZ8))&gt;0</formula>
    </cfRule>
    <cfRule type="containsBlanks" dxfId="11" priority="501">
      <formula>LEN(TRIM(FZ8))=0</formula>
    </cfRule>
  </conditionalFormatting>
  <conditionalFormatting sqref="FZ9:FZ2508">
    <cfRule type="expression" dxfId="10" priority="502">
      <formula>AND($FZ$8&lt;&gt;"",OR(FZ9="",EXACT(FZ9,$FZ$8)))</formula>
    </cfRule>
  </conditionalFormatting>
  <conditionalFormatting sqref="G8">
    <cfRule type="notContainsBlanks" dxfId="10" priority="11">
      <formula>LEN(TRIM(G8))&gt;0</formula>
    </cfRule>
    <cfRule type="containsBlanks" dxfId="11" priority="12">
      <formula>LEN(TRIM(G8))=0</formula>
    </cfRule>
  </conditionalFormatting>
  <conditionalFormatting sqref="G9:G2508">
    <cfRule type="expression" dxfId="10" priority="13">
      <formula>AND($G$8&lt;&gt;"",OR(G9="",EXACT(G9,$G$8)))</formula>
    </cfRule>
  </conditionalFormatting>
  <conditionalFormatting sqref="GA8">
    <cfRule type="notContainsBlanks" dxfId="10" priority="503">
      <formula>LEN(TRIM(GA8))&gt;0</formula>
    </cfRule>
    <cfRule type="containsBlanks" dxfId="11" priority="504">
      <formula>LEN(TRIM(GA8))=0</formula>
    </cfRule>
  </conditionalFormatting>
  <conditionalFormatting sqref="GA9:GA2508">
    <cfRule type="expression" dxfId="10" priority="505">
      <formula>AND($GA$8&lt;&gt;"",OR(GA9="",EXACT(GA9,$GA$8)))</formula>
    </cfRule>
  </conditionalFormatting>
  <conditionalFormatting sqref="GB8">
    <cfRule type="notContainsBlanks" dxfId="10" priority="506">
      <formula>LEN(TRIM(GB8))&gt;0</formula>
    </cfRule>
    <cfRule type="containsBlanks" dxfId="11" priority="507">
      <formula>LEN(TRIM(GB8))=0</formula>
    </cfRule>
  </conditionalFormatting>
  <conditionalFormatting sqref="GB9:GB2508">
    <cfRule type="expression" dxfId="10" priority="508">
      <formula>AND($GB$8&lt;&gt;"",OR(GB9="",EXACT(GB9,$GB$8)))</formula>
    </cfRule>
  </conditionalFormatting>
  <conditionalFormatting sqref="GC8">
    <cfRule type="notContainsBlanks" dxfId="10" priority="509">
      <formula>LEN(TRIM(GC8))&gt;0</formula>
    </cfRule>
    <cfRule type="containsBlanks" dxfId="11" priority="510">
      <formula>LEN(TRIM(GC8))=0</formula>
    </cfRule>
  </conditionalFormatting>
  <conditionalFormatting sqref="GC9:GC2508">
    <cfRule type="expression" dxfId="10" priority="511">
      <formula>AND($GC$8&lt;&gt;"",OR(GC9="",EXACT(GC9,$GC$8)))</formula>
    </cfRule>
  </conditionalFormatting>
  <conditionalFormatting sqref="GD8">
    <cfRule type="notContainsBlanks" dxfId="10" priority="512">
      <formula>LEN(TRIM(GD8))&gt;0</formula>
    </cfRule>
    <cfRule type="containsBlanks" dxfId="11" priority="513">
      <formula>LEN(TRIM(GD8))=0</formula>
    </cfRule>
  </conditionalFormatting>
  <conditionalFormatting sqref="GD9:GD2508">
    <cfRule type="expression" dxfId="10" priority="514">
      <formula>AND($GD$8&lt;&gt;"",OR(GD9="",EXACT(GD9,$GD$8)))</formula>
    </cfRule>
  </conditionalFormatting>
  <conditionalFormatting sqref="GE8">
    <cfRule type="notContainsBlanks" dxfId="10" priority="515">
      <formula>LEN(TRIM(GE8))&gt;0</formula>
    </cfRule>
    <cfRule type="containsBlanks" dxfId="11" priority="516">
      <formula>LEN(TRIM(GE8))=0</formula>
    </cfRule>
  </conditionalFormatting>
  <conditionalFormatting sqref="GE9:GE2508">
    <cfRule type="expression" dxfId="10" priority="517">
      <formula>AND($GE$8&lt;&gt;"",OR(GE9="",EXACT(GE9,$GE$8)))</formula>
    </cfRule>
  </conditionalFormatting>
  <conditionalFormatting sqref="GF8">
    <cfRule type="notContainsBlanks" dxfId="10" priority="518">
      <formula>LEN(TRIM(GF8))&gt;0</formula>
    </cfRule>
    <cfRule type="containsBlanks" dxfId="11" priority="519">
      <formula>LEN(TRIM(GF8))=0</formula>
    </cfRule>
  </conditionalFormatting>
  <conditionalFormatting sqref="GF9:GF2508">
    <cfRule type="expression" dxfId="10" priority="520">
      <formula>AND($GF$8&lt;&gt;"",OR(GF9="",EXACT(GF9,$GF$8)))</formula>
    </cfRule>
  </conditionalFormatting>
  <conditionalFormatting sqref="GG8">
    <cfRule type="notContainsBlanks" dxfId="10" priority="521">
      <formula>LEN(TRIM(GG8))&gt;0</formula>
    </cfRule>
    <cfRule type="containsBlanks" dxfId="11" priority="522">
      <formula>LEN(TRIM(GG8))=0</formula>
    </cfRule>
  </conditionalFormatting>
  <conditionalFormatting sqref="GG9:GG2508">
    <cfRule type="expression" dxfId="10" priority="523">
      <formula>AND($GG$8&lt;&gt;"",OR(GG9="",EXACT(GG9,$GG$8)))</formula>
    </cfRule>
  </conditionalFormatting>
  <conditionalFormatting sqref="GH8">
    <cfRule type="notContainsBlanks" dxfId="10" priority="524">
      <formula>LEN(TRIM(GH8))&gt;0</formula>
    </cfRule>
    <cfRule type="containsBlanks" dxfId="11" priority="525">
      <formula>LEN(TRIM(GH8))=0</formula>
    </cfRule>
  </conditionalFormatting>
  <conditionalFormatting sqref="GH9:GH2508">
    <cfRule type="expression" dxfId="10" priority="526">
      <formula>AND($GH$8&lt;&gt;"",OR(GH9="",EXACT(GH9,$GH$8)))</formula>
    </cfRule>
  </conditionalFormatting>
  <conditionalFormatting sqref="GI8">
    <cfRule type="notContainsBlanks" dxfId="10" priority="527">
      <formula>LEN(TRIM(GI8))&gt;0</formula>
    </cfRule>
    <cfRule type="containsBlanks" dxfId="11" priority="528">
      <formula>LEN(TRIM(GI8))=0</formula>
    </cfRule>
  </conditionalFormatting>
  <conditionalFormatting sqref="GI9:GI2508">
    <cfRule type="expression" dxfId="10" priority="529">
      <formula>AND($GI$8&lt;&gt;"",OR(GI9="",EXACT(GI9,$GI$8)))</formula>
    </cfRule>
  </conditionalFormatting>
  <conditionalFormatting sqref="GJ8">
    <cfRule type="notContainsBlanks" dxfId="10" priority="530">
      <formula>LEN(TRIM(GJ8))&gt;0</formula>
    </cfRule>
    <cfRule type="containsBlanks" dxfId="11" priority="531">
      <formula>LEN(TRIM(GJ8))=0</formula>
    </cfRule>
  </conditionalFormatting>
  <conditionalFormatting sqref="GJ9:GJ2508">
    <cfRule type="expression" dxfId="10" priority="532">
      <formula>AND($GJ$8&lt;&gt;"",OR(GJ9="",EXACT(GJ9,$GJ$8)))</formula>
    </cfRule>
  </conditionalFormatting>
  <conditionalFormatting sqref="GK8">
    <cfRule type="notContainsBlanks" dxfId="10" priority="533">
      <formula>LEN(TRIM(GK8))&gt;0</formula>
    </cfRule>
    <cfRule type="containsBlanks" dxfId="11" priority="534">
      <formula>LEN(TRIM(GK8))=0</formula>
    </cfRule>
  </conditionalFormatting>
  <conditionalFormatting sqref="GK9:GK2508">
    <cfRule type="expression" dxfId="10" priority="535">
      <formula>AND($GK$8&lt;&gt;"",OR(GK9="",EXACT(GK9,$GK$8)))</formula>
    </cfRule>
  </conditionalFormatting>
  <conditionalFormatting sqref="GL8">
    <cfRule type="notContainsBlanks" dxfId="10" priority="536">
      <formula>LEN(TRIM(GL8))&gt;0</formula>
    </cfRule>
    <cfRule type="containsBlanks" dxfId="11" priority="537">
      <formula>LEN(TRIM(GL8))=0</formula>
    </cfRule>
  </conditionalFormatting>
  <conditionalFormatting sqref="GL9:GL2508">
    <cfRule type="expression" dxfId="10" priority="538">
      <formula>AND($GL$8&lt;&gt;"",OR(GL9="",EXACT(GL9,$GL$8)))</formula>
    </cfRule>
  </conditionalFormatting>
  <conditionalFormatting sqref="GM8">
    <cfRule type="notContainsBlanks" dxfId="10" priority="539">
      <formula>LEN(TRIM(GM8))&gt;0</formula>
    </cfRule>
    <cfRule type="containsBlanks" dxfId="11" priority="540">
      <formula>LEN(TRIM(GM8))=0</formula>
    </cfRule>
  </conditionalFormatting>
  <conditionalFormatting sqref="GM9:GM2508">
    <cfRule type="expression" dxfId="10" priority="541">
      <formula>AND($GM$8&lt;&gt;"",OR(GM9="",EXACT(GM9,$GM$8)))</formula>
    </cfRule>
  </conditionalFormatting>
  <conditionalFormatting sqref="GN8">
    <cfRule type="notContainsBlanks" dxfId="10" priority="542">
      <formula>LEN(TRIM(GN8))&gt;0</formula>
    </cfRule>
    <cfRule type="containsBlanks" dxfId="11" priority="543">
      <formula>LEN(TRIM(GN8))=0</formula>
    </cfRule>
  </conditionalFormatting>
  <conditionalFormatting sqref="GN9:GN2508">
    <cfRule type="expression" dxfId="10" priority="544">
      <formula>AND($GN$8&lt;&gt;"",OR(GN9="",EXACT(GN9,$GN$8)))</formula>
    </cfRule>
  </conditionalFormatting>
  <conditionalFormatting sqref="GO8">
    <cfRule type="notContainsBlanks" dxfId="10" priority="545">
      <formula>LEN(TRIM(GO8))&gt;0</formula>
    </cfRule>
    <cfRule type="containsBlanks" dxfId="11" priority="546">
      <formula>LEN(TRIM(GO8))=0</formula>
    </cfRule>
  </conditionalFormatting>
  <conditionalFormatting sqref="GO9:GO2508">
    <cfRule type="expression" dxfId="10" priority="547">
      <formula>AND($GO$8&lt;&gt;"",OR(GO9="",EXACT(GO9,$GO$8)))</formula>
    </cfRule>
  </conditionalFormatting>
  <conditionalFormatting sqref="GP8">
    <cfRule type="notContainsBlanks" dxfId="10" priority="548">
      <formula>LEN(TRIM(GP8))&gt;0</formula>
    </cfRule>
    <cfRule type="containsBlanks" dxfId="11" priority="549">
      <formula>LEN(TRIM(GP8))=0</formula>
    </cfRule>
  </conditionalFormatting>
  <conditionalFormatting sqref="GP9:GP2508">
    <cfRule type="expression" dxfId="10" priority="550">
      <formula>AND($GP$8&lt;&gt;"",OR(GP9="",EXACT(GP9,$GP$8)))</formula>
    </cfRule>
  </conditionalFormatting>
  <conditionalFormatting sqref="GQ8">
    <cfRule type="notContainsBlanks" dxfId="10" priority="551">
      <formula>LEN(TRIM(GQ8))&gt;0</formula>
    </cfRule>
    <cfRule type="containsBlanks" dxfId="11" priority="552">
      <formula>LEN(TRIM(GQ8))=0</formula>
    </cfRule>
  </conditionalFormatting>
  <conditionalFormatting sqref="GQ9:GQ2508">
    <cfRule type="expression" dxfId="10" priority="553">
      <formula>AND($GQ$8&lt;&gt;"",OR(GQ9="",EXACT(GQ9,$GQ$8)))</formula>
    </cfRule>
  </conditionalFormatting>
  <conditionalFormatting sqref="GR8">
    <cfRule type="notContainsBlanks" dxfId="10" priority="554">
      <formula>LEN(TRIM(GR8))&gt;0</formula>
    </cfRule>
    <cfRule type="containsBlanks" dxfId="11" priority="555">
      <formula>LEN(TRIM(GR8))=0</formula>
    </cfRule>
  </conditionalFormatting>
  <conditionalFormatting sqref="GR9:GR2508">
    <cfRule type="expression" dxfId="10" priority="556">
      <formula>AND($GR$8&lt;&gt;"",OR(GR9="",EXACT(GR9,$GR$8)))</formula>
    </cfRule>
  </conditionalFormatting>
  <conditionalFormatting sqref="GS8">
    <cfRule type="notContainsBlanks" dxfId="10" priority="557">
      <formula>LEN(TRIM(GS8))&gt;0</formula>
    </cfRule>
    <cfRule type="containsBlanks" dxfId="11" priority="558">
      <formula>LEN(TRIM(GS8))=0</formula>
    </cfRule>
  </conditionalFormatting>
  <conditionalFormatting sqref="GS9:GS2508">
    <cfRule type="expression" dxfId="10" priority="559">
      <formula>AND($GS$8&lt;&gt;"",OR(GS9="",EXACT(GS9,$GS$8)))</formula>
    </cfRule>
  </conditionalFormatting>
  <conditionalFormatting sqref="GT8">
    <cfRule type="notContainsBlanks" dxfId="10" priority="560">
      <formula>LEN(TRIM(GT8))&gt;0</formula>
    </cfRule>
    <cfRule type="containsBlanks" dxfId="11" priority="561">
      <formula>LEN(TRIM(GT8))=0</formula>
    </cfRule>
  </conditionalFormatting>
  <conditionalFormatting sqref="GT9:GT2508">
    <cfRule type="expression" dxfId="10" priority="562">
      <formula>AND($GT$8&lt;&gt;"",OR(GT9="",EXACT(GT9,$GT$8)))</formula>
    </cfRule>
  </conditionalFormatting>
  <conditionalFormatting sqref="GU8">
    <cfRule type="notContainsBlanks" dxfId="10" priority="563">
      <formula>LEN(TRIM(GU8))&gt;0</formula>
    </cfRule>
    <cfRule type="containsBlanks" dxfId="11" priority="564">
      <formula>LEN(TRIM(GU8))=0</formula>
    </cfRule>
  </conditionalFormatting>
  <conditionalFormatting sqref="GU9:GU2508">
    <cfRule type="expression" dxfId="10" priority="565">
      <formula>AND($GU$8&lt;&gt;"",OR(GU9="",EXACT(GU9,$GU$8)))</formula>
    </cfRule>
  </conditionalFormatting>
  <conditionalFormatting sqref="GV8">
    <cfRule type="notContainsBlanks" dxfId="10" priority="566">
      <formula>LEN(TRIM(GV8))&gt;0</formula>
    </cfRule>
    <cfRule type="containsBlanks" dxfId="11" priority="567">
      <formula>LEN(TRIM(GV8))=0</formula>
    </cfRule>
  </conditionalFormatting>
  <conditionalFormatting sqref="GV9:GV2508">
    <cfRule type="expression" dxfId="10" priority="568">
      <formula>AND($GV$8&lt;&gt;"",OR(GV9="",EXACT(GV9,$GV$8)))</formula>
    </cfRule>
  </conditionalFormatting>
  <conditionalFormatting sqref="GW8">
    <cfRule type="notContainsBlanks" dxfId="10" priority="569">
      <formula>LEN(TRIM(GW8))&gt;0</formula>
    </cfRule>
    <cfRule type="containsBlanks" dxfId="11" priority="570">
      <formula>LEN(TRIM(GW8))=0</formula>
    </cfRule>
  </conditionalFormatting>
  <conditionalFormatting sqref="GW9:GW2508">
    <cfRule type="expression" dxfId="10" priority="571">
      <formula>AND($GW$8&lt;&gt;"",OR(GW9="",EXACT(GW9,$GW$8)))</formula>
    </cfRule>
  </conditionalFormatting>
  <conditionalFormatting sqref="GX8">
    <cfRule type="notContainsBlanks" dxfId="10" priority="572">
      <formula>LEN(TRIM(GX8))&gt;0</formula>
    </cfRule>
    <cfRule type="containsBlanks" dxfId="11" priority="573">
      <formula>LEN(TRIM(GX8))=0</formula>
    </cfRule>
  </conditionalFormatting>
  <conditionalFormatting sqref="GX9:GX2508">
    <cfRule type="expression" dxfId="10" priority="574">
      <formula>AND($GX$8&lt;&gt;"",OR(GX9="",EXACT(GX9,$GX$8)))</formula>
    </cfRule>
  </conditionalFormatting>
  <conditionalFormatting sqref="GY8">
    <cfRule type="notContainsBlanks" dxfId="10" priority="575">
      <formula>LEN(TRIM(GY8))&gt;0</formula>
    </cfRule>
    <cfRule type="containsBlanks" dxfId="11" priority="576">
      <formula>LEN(TRIM(GY8))=0</formula>
    </cfRule>
  </conditionalFormatting>
  <conditionalFormatting sqref="GY9:GY2508">
    <cfRule type="expression" dxfId="10" priority="577">
      <formula>AND($GY$8&lt;&gt;"",OR(GY9="",EXACT(GY9,$GY$8)))</formula>
    </cfRule>
  </conditionalFormatting>
  <conditionalFormatting sqref="GZ8">
    <cfRule type="notContainsBlanks" dxfId="10" priority="578">
      <formula>LEN(TRIM(GZ8))&gt;0</formula>
    </cfRule>
    <cfRule type="containsBlanks" dxfId="11" priority="579">
      <formula>LEN(TRIM(GZ8))=0</formula>
    </cfRule>
  </conditionalFormatting>
  <conditionalFormatting sqref="GZ9:GZ2508">
    <cfRule type="expression" dxfId="10" priority="580">
      <formula>AND($GZ$8&lt;&gt;"",OR(GZ9="",EXACT(GZ9,$GZ$8)))</formula>
    </cfRule>
  </conditionalFormatting>
  <conditionalFormatting sqref="HA8">
    <cfRule type="notContainsBlanks" dxfId="10" priority="581">
      <formula>LEN(TRIM(HA8))&gt;0</formula>
    </cfRule>
    <cfRule type="containsBlanks" dxfId="11" priority="582">
      <formula>LEN(TRIM(HA8))=0</formula>
    </cfRule>
  </conditionalFormatting>
  <conditionalFormatting sqref="HA9:HA2508">
    <cfRule type="expression" dxfId="10" priority="583">
      <formula>AND($HA$8&lt;&gt;"",OR(HA9="",EXACT(HA9,$HA$8)))</formula>
    </cfRule>
  </conditionalFormatting>
  <conditionalFormatting sqref="HB8">
    <cfRule type="notContainsBlanks" dxfId="10" priority="584">
      <formula>LEN(TRIM(HB8))&gt;0</formula>
    </cfRule>
    <cfRule type="containsBlanks" dxfId="11" priority="585">
      <formula>LEN(TRIM(HB8))=0</formula>
    </cfRule>
  </conditionalFormatting>
  <conditionalFormatting sqref="HB9:HB2508">
    <cfRule type="expression" dxfId="10" priority="586">
      <formula>AND($HB$8&lt;&gt;"",OR(HB9="",EXACT(HB9,$HB$8)))</formula>
    </cfRule>
  </conditionalFormatting>
  <conditionalFormatting sqref="HC8">
    <cfRule type="notContainsBlanks" dxfId="10" priority="587">
      <formula>LEN(TRIM(HC8))&gt;0</formula>
    </cfRule>
    <cfRule type="containsBlanks" dxfId="11" priority="588">
      <formula>LEN(TRIM(HC8))=0</formula>
    </cfRule>
  </conditionalFormatting>
  <conditionalFormatting sqref="HC9:HC2508">
    <cfRule type="expression" dxfId="10" priority="589">
      <formula>AND($HC$8&lt;&gt;"",OR(HC9="",EXACT(HC9,$HC$8)))</formula>
    </cfRule>
  </conditionalFormatting>
  <conditionalFormatting sqref="HD8">
    <cfRule type="notContainsBlanks" dxfId="10" priority="590">
      <formula>LEN(TRIM(HD8))&gt;0</formula>
    </cfRule>
    <cfRule type="containsBlanks" dxfId="11" priority="591">
      <formula>LEN(TRIM(HD8))=0</formula>
    </cfRule>
  </conditionalFormatting>
  <conditionalFormatting sqref="HD9:HD2508">
    <cfRule type="expression" dxfId="10" priority="592">
      <formula>AND($HD$8&lt;&gt;"",OR(HD9="",EXACT(HD9,$HD$8)))</formula>
    </cfRule>
  </conditionalFormatting>
  <conditionalFormatting sqref="JY8">
    <cfRule type="notContainsBlanks" dxfId="10" priority="593">
      <formula>LEN(TRIM(JY8))&gt;0</formula>
    </cfRule>
    <cfRule type="containsBlanks" dxfId="11" priority="594">
      <formula>LEN(TRIM(JY8))=0</formula>
    </cfRule>
  </conditionalFormatting>
  <conditionalFormatting sqref="JY9:JY2508">
    <cfRule type="expression" dxfId="10" priority="595">
      <formula>AND($JY$8&lt;&gt;"",OR(JY9="",EXACT(JY9,$JY$8)))</formula>
    </cfRule>
  </conditionalFormatting>
  <conditionalFormatting sqref="JZ8">
    <cfRule type="notContainsBlanks" dxfId="10" priority="596">
      <formula>LEN(TRIM(JZ8))&gt;0</formula>
    </cfRule>
    <cfRule type="containsBlanks" dxfId="11" priority="597">
      <formula>LEN(TRIM(JZ8))=0</formula>
    </cfRule>
  </conditionalFormatting>
  <conditionalFormatting sqref="JZ9:JZ2508">
    <cfRule type="expression" dxfId="10" priority="598">
      <formula>AND($JZ$8&lt;&gt;"",OR(JZ9="",EXACT(JZ9,$JZ$8)))</formula>
    </cfRule>
  </conditionalFormatting>
  <conditionalFormatting sqref="KA8">
    <cfRule type="notContainsBlanks" dxfId="10" priority="599">
      <formula>LEN(TRIM(KA8))&gt;0</formula>
    </cfRule>
    <cfRule type="containsBlanks" dxfId="11" priority="600">
      <formula>LEN(TRIM(KA8))=0</formula>
    </cfRule>
  </conditionalFormatting>
  <conditionalFormatting sqref="KA9:KA2508">
    <cfRule type="expression" dxfId="10" priority="601">
      <formula>AND($KA$8&lt;&gt;"",OR(KA9="",EXACT(KA9,$KA$8)))</formula>
    </cfRule>
  </conditionalFormatting>
  <conditionalFormatting sqref="KB8">
    <cfRule type="notContainsBlanks" dxfId="10" priority="602">
      <formula>LEN(TRIM(KB8))&gt;0</formula>
    </cfRule>
    <cfRule type="containsBlanks" dxfId="11" priority="603">
      <formula>LEN(TRIM(KB8))=0</formula>
    </cfRule>
  </conditionalFormatting>
  <conditionalFormatting sqref="KB9:KB2508">
    <cfRule type="expression" dxfId="10" priority="604">
      <formula>AND($KB$8&lt;&gt;"",OR(KB9="",EXACT(KB9,$KB$8)))</formula>
    </cfRule>
  </conditionalFormatting>
  <conditionalFormatting sqref="KC8">
    <cfRule type="notContainsBlanks" dxfId="10" priority="605">
      <formula>LEN(TRIM(KC8))&gt;0</formula>
    </cfRule>
    <cfRule type="containsBlanks" dxfId="11" priority="606">
      <formula>LEN(TRIM(KC8))=0</formula>
    </cfRule>
  </conditionalFormatting>
  <conditionalFormatting sqref="KC9:KC2508">
    <cfRule type="expression" dxfId="10" priority="607">
      <formula>AND($KC$8&lt;&gt;"",OR(KC9="",EXACT(KC9,$KC$8)))</formula>
    </cfRule>
  </conditionalFormatting>
  <conditionalFormatting sqref="KD8">
    <cfRule type="notContainsBlanks" dxfId="10" priority="608">
      <formula>LEN(TRIM(KD8))&gt;0</formula>
    </cfRule>
    <cfRule type="containsBlanks" dxfId="11" priority="609">
      <formula>LEN(TRIM(KD8))=0</formula>
    </cfRule>
  </conditionalFormatting>
  <conditionalFormatting sqref="KD9:KD2508">
    <cfRule type="expression" dxfId="10" priority="610">
      <formula>AND($KD$8&lt;&gt;"",OR(KD9="",EXACT(KD9,$KD$8)))</formula>
    </cfRule>
  </conditionalFormatting>
  <conditionalFormatting sqref="KE8">
    <cfRule type="notContainsBlanks" dxfId="10" priority="611">
      <formula>LEN(TRIM(KE8))&gt;0</formula>
    </cfRule>
    <cfRule type="containsBlanks" dxfId="11" priority="612">
      <formula>LEN(TRIM(KE8))=0</formula>
    </cfRule>
  </conditionalFormatting>
  <conditionalFormatting sqref="KE9:KE2508">
    <cfRule type="expression" dxfId="10" priority="613">
      <formula>AND($KE$8&lt;&gt;"",OR(KE9="",EXACT(KE9,$KE$8)))</formula>
    </cfRule>
  </conditionalFormatting>
  <conditionalFormatting sqref="KF8">
    <cfRule type="notContainsBlanks" dxfId="10" priority="614">
      <formula>LEN(TRIM(KF8))&gt;0</formula>
    </cfRule>
    <cfRule type="containsBlanks" dxfId="11" priority="615">
      <formula>LEN(TRIM(KF8))=0</formula>
    </cfRule>
  </conditionalFormatting>
  <conditionalFormatting sqref="KF9:KF2508">
    <cfRule type="expression" dxfId="10" priority="616">
      <formula>AND($KF$8&lt;&gt;"",OR(KF9="",EXACT(KF9,$KF$8)))</formula>
    </cfRule>
  </conditionalFormatting>
  <conditionalFormatting sqref="KG8">
    <cfRule type="notContainsBlanks" dxfId="10" priority="617">
      <formula>LEN(TRIM(KG8))&gt;0</formula>
    </cfRule>
    <cfRule type="containsBlanks" dxfId="11" priority="618">
      <formula>LEN(TRIM(KG8))=0</formula>
    </cfRule>
  </conditionalFormatting>
  <conditionalFormatting sqref="KG9:KG2508">
    <cfRule type="expression" dxfId="10" priority="619">
      <formula>AND($KG$8&lt;&gt;"",OR(KG9="",EXACT(KG9,$KG$8)))</formula>
    </cfRule>
  </conditionalFormatting>
  <conditionalFormatting sqref="KH8">
    <cfRule type="notContainsBlanks" dxfId="10" priority="620">
      <formula>LEN(TRIM(KH8))&gt;0</formula>
    </cfRule>
    <cfRule type="containsBlanks" dxfId="11" priority="621">
      <formula>LEN(TRIM(KH8))=0</formula>
    </cfRule>
  </conditionalFormatting>
  <conditionalFormatting sqref="KH9:KH2508">
    <cfRule type="expression" dxfId="10" priority="622">
      <formula>AND($KH$8&lt;&gt;"",OR(KH9="",EXACT(KH9,$KH$8)))</formula>
    </cfRule>
  </conditionalFormatting>
  <conditionalFormatting sqref="KI8">
    <cfRule type="notContainsBlanks" dxfId="10" priority="623">
      <formula>LEN(TRIM(KI8))&gt;0</formula>
    </cfRule>
    <cfRule type="containsBlanks" dxfId="11" priority="624">
      <formula>LEN(TRIM(KI8))=0</formula>
    </cfRule>
  </conditionalFormatting>
  <conditionalFormatting sqref="KI9:KI2508">
    <cfRule type="expression" dxfId="10" priority="625">
      <formula>AND($KI$8&lt;&gt;"",OR(KI9="",EXACT(KI9,$KI$8)))</formula>
    </cfRule>
  </conditionalFormatting>
  <conditionalFormatting sqref="KJ8">
    <cfRule type="notContainsBlanks" dxfId="10" priority="626">
      <formula>LEN(TRIM(KJ8))&gt;0</formula>
    </cfRule>
    <cfRule type="containsBlanks" dxfId="11" priority="627">
      <formula>LEN(TRIM(KJ8))=0</formula>
    </cfRule>
  </conditionalFormatting>
  <conditionalFormatting sqref="KJ9:KJ2508">
    <cfRule type="expression" dxfId="10" priority="628">
      <formula>AND($KJ$8&lt;&gt;"",OR(KJ9="",EXACT(KJ9,$KJ$8)))</formula>
    </cfRule>
  </conditionalFormatting>
  <conditionalFormatting sqref="KK8">
    <cfRule type="notContainsBlanks" dxfId="10" priority="629">
      <formula>LEN(TRIM(KK8))&gt;0</formula>
    </cfRule>
    <cfRule type="containsBlanks" dxfId="11" priority="630">
      <formula>LEN(TRIM(KK8))=0</formula>
    </cfRule>
  </conditionalFormatting>
  <conditionalFormatting sqref="KK9:KK2508">
    <cfRule type="expression" dxfId="10" priority="631">
      <formula>AND($KK$8&lt;&gt;"",OR(KK9="",EXACT(KK9,$KK$8)))</formula>
    </cfRule>
  </conditionalFormatting>
  <conditionalFormatting sqref="KL8">
    <cfRule type="notContainsBlanks" dxfId="10" priority="632">
      <formula>LEN(TRIM(KL8))&gt;0</formula>
    </cfRule>
    <cfRule type="containsBlanks" dxfId="11" priority="633">
      <formula>LEN(TRIM(KL8))=0</formula>
    </cfRule>
  </conditionalFormatting>
  <conditionalFormatting sqref="KL9:KL2508">
    <cfRule type="expression" dxfId="10" priority="634">
      <formula>AND($KL$8&lt;&gt;"",OR(KL9="",EXACT(KL9,$KL$8)))</formula>
    </cfRule>
  </conditionalFormatting>
  <conditionalFormatting sqref="KM8">
    <cfRule type="notContainsBlanks" dxfId="10" priority="635">
      <formula>LEN(TRIM(KM8))&gt;0</formula>
    </cfRule>
    <cfRule type="containsBlanks" dxfId="11" priority="636">
      <formula>LEN(TRIM(KM8))=0</formula>
    </cfRule>
  </conditionalFormatting>
  <conditionalFormatting sqref="KM9:KM2508">
    <cfRule type="expression" dxfId="10" priority="637">
      <formula>AND($KM$8&lt;&gt;"",OR(KM9="",EXACT(KM9,$KM$8)))</formula>
    </cfRule>
  </conditionalFormatting>
  <conditionalFormatting sqref="KN8">
    <cfRule type="notContainsBlanks" dxfId="10" priority="638">
      <formula>LEN(TRIM(KN8))&gt;0</formula>
    </cfRule>
    <cfRule type="containsBlanks" dxfId="11" priority="639">
      <formula>LEN(TRIM(KN8))=0</formula>
    </cfRule>
  </conditionalFormatting>
  <conditionalFormatting sqref="KN9:KN2508">
    <cfRule type="expression" dxfId="10" priority="640">
      <formula>AND($KN$8&lt;&gt;"",OR(KN9="",EXACT(KN9,$KN$8)))</formula>
    </cfRule>
  </conditionalFormatting>
  <conditionalFormatting sqref="KO8">
    <cfRule type="notContainsBlanks" dxfId="10" priority="641">
      <formula>LEN(TRIM(KO8))&gt;0</formula>
    </cfRule>
    <cfRule type="containsBlanks" dxfId="11" priority="642">
      <formula>LEN(TRIM(KO8))=0</formula>
    </cfRule>
  </conditionalFormatting>
  <conditionalFormatting sqref="KO9:KO2508">
    <cfRule type="expression" dxfId="10" priority="643">
      <formula>AND($KO$8&lt;&gt;"",OR(KO9="",EXACT(KO9,$KO$8)))</formula>
    </cfRule>
  </conditionalFormatting>
  <conditionalFormatting sqref="KP8">
    <cfRule type="notContainsBlanks" dxfId="10" priority="644">
      <formula>LEN(TRIM(KP8))&gt;0</formula>
    </cfRule>
    <cfRule type="containsBlanks" dxfId="11" priority="645">
      <formula>LEN(TRIM(KP8))=0</formula>
    </cfRule>
  </conditionalFormatting>
  <conditionalFormatting sqref="KP9:KP2508">
    <cfRule type="expression" dxfId="10" priority="646">
      <formula>AND($KP$8&lt;&gt;"",OR(KP9="",EXACT(KP9,$KP$8)))</formula>
    </cfRule>
  </conditionalFormatting>
  <conditionalFormatting sqref="KQ8">
    <cfRule type="notContainsBlanks" dxfId="10" priority="647">
      <formula>LEN(TRIM(KQ8))&gt;0</formula>
    </cfRule>
    <cfRule type="containsBlanks" dxfId="11" priority="648">
      <formula>LEN(TRIM(KQ8))=0</formula>
    </cfRule>
  </conditionalFormatting>
  <conditionalFormatting sqref="KQ9:KQ2508">
    <cfRule type="expression" dxfId="10" priority="649">
      <formula>AND($KQ$8&lt;&gt;"",OR(KQ9="",EXACT(KQ9,$KQ$8)))</formula>
    </cfRule>
  </conditionalFormatting>
  <conditionalFormatting sqref="KR8">
    <cfRule type="notContainsBlanks" dxfId="10" priority="650">
      <formula>LEN(TRIM(KR8))&gt;0</formula>
    </cfRule>
    <cfRule type="containsBlanks" dxfId="11" priority="651">
      <formula>LEN(TRIM(KR8))=0</formula>
    </cfRule>
  </conditionalFormatting>
  <conditionalFormatting sqref="KR9:KR2508">
    <cfRule type="expression" dxfId="10" priority="652">
      <formula>AND($KR$8&lt;&gt;"",OR(KR9="",EXACT(KR9,$KR$8)))</formula>
    </cfRule>
  </conditionalFormatting>
  <conditionalFormatting sqref="KS8">
    <cfRule type="notContainsBlanks" dxfId="10" priority="653">
      <formula>LEN(TRIM(KS8))&gt;0</formula>
    </cfRule>
    <cfRule type="containsBlanks" dxfId="11" priority="654">
      <formula>LEN(TRIM(KS8))=0</formula>
    </cfRule>
  </conditionalFormatting>
  <conditionalFormatting sqref="KS9:KS2508">
    <cfRule type="expression" dxfId="10" priority="655">
      <formula>AND($KS$8&lt;&gt;"",OR(KS9="",EXACT(KS9,$KS$8)))</formula>
    </cfRule>
  </conditionalFormatting>
  <conditionalFormatting sqref="KT8">
    <cfRule type="notContainsBlanks" dxfId="10" priority="656">
      <formula>LEN(TRIM(KT8))&gt;0</formula>
    </cfRule>
    <cfRule type="containsBlanks" dxfId="11" priority="657">
      <formula>LEN(TRIM(KT8))=0</formula>
    </cfRule>
  </conditionalFormatting>
  <conditionalFormatting sqref="KT9:KT2508">
    <cfRule type="expression" dxfId="10" priority="658">
      <formula>AND($KT$8&lt;&gt;"",OR(KT9="",EXACT(KT9,$KT$8)))</formula>
    </cfRule>
  </conditionalFormatting>
  <conditionalFormatting sqref="KU8">
    <cfRule type="notContainsBlanks" dxfId="10" priority="659">
      <formula>LEN(TRIM(KU8))&gt;0</formula>
    </cfRule>
    <cfRule type="containsBlanks" dxfId="11" priority="660">
      <formula>LEN(TRIM(KU8))=0</formula>
    </cfRule>
  </conditionalFormatting>
  <conditionalFormatting sqref="KU9:KU2508">
    <cfRule type="expression" dxfId="10" priority="661">
      <formula>AND($KU$8&lt;&gt;"",OR(KU9="",EXACT(KU9,$KU$8)))</formula>
    </cfRule>
  </conditionalFormatting>
  <conditionalFormatting sqref="KV8">
    <cfRule type="notContainsBlanks" dxfId="10" priority="662">
      <formula>LEN(TRIM(KV8))&gt;0</formula>
    </cfRule>
    <cfRule type="containsBlanks" dxfId="11" priority="663">
      <formula>LEN(TRIM(KV8))=0</formula>
    </cfRule>
  </conditionalFormatting>
  <conditionalFormatting sqref="KV9:KV2508">
    <cfRule type="expression" dxfId="10" priority="664">
      <formula>AND($KV$8&lt;&gt;"",OR(KV9="",EXACT(KV9,$KV$8)))</formula>
    </cfRule>
  </conditionalFormatting>
  <conditionalFormatting sqref="KW8">
    <cfRule type="notContainsBlanks" dxfId="10" priority="665">
      <formula>LEN(TRIM(KW8))&gt;0</formula>
    </cfRule>
    <cfRule type="containsBlanks" dxfId="11" priority="666">
      <formula>LEN(TRIM(KW8))=0</formula>
    </cfRule>
  </conditionalFormatting>
  <conditionalFormatting sqref="KW9:KW2508">
    <cfRule type="expression" dxfId="10" priority="667">
      <formula>AND($KW$8&lt;&gt;"",OR(KW9="",EXACT(KW9,$KW$8)))</formula>
    </cfRule>
  </conditionalFormatting>
  <conditionalFormatting sqref="KX8">
    <cfRule type="notContainsBlanks" dxfId="10" priority="668">
      <formula>LEN(TRIM(KX8))&gt;0</formula>
    </cfRule>
    <cfRule type="containsBlanks" dxfId="11" priority="669">
      <formula>LEN(TRIM(KX8))=0</formula>
    </cfRule>
  </conditionalFormatting>
  <conditionalFormatting sqref="KX9:KX2508">
    <cfRule type="expression" dxfId="10" priority="670">
      <formula>AND($KX$8&lt;&gt;"",OR(KX9="",EXACT(KX9,$KX$8)))</formula>
    </cfRule>
  </conditionalFormatting>
  <conditionalFormatting sqref="KY8">
    <cfRule type="notContainsBlanks" dxfId="10" priority="671">
      <formula>LEN(TRIM(KY8))&gt;0</formula>
    </cfRule>
    <cfRule type="containsBlanks" dxfId="11" priority="672">
      <formula>LEN(TRIM(KY8))=0</formula>
    </cfRule>
  </conditionalFormatting>
  <conditionalFormatting sqref="KY9:KY2508">
    <cfRule type="expression" dxfId="10" priority="673">
      <formula>AND($KY$8&lt;&gt;"",OR(KY9="",EXACT(KY9,$KY$8)))</formula>
    </cfRule>
  </conditionalFormatting>
  <conditionalFormatting sqref="KZ8">
    <cfRule type="notContainsBlanks" dxfId="10" priority="674">
      <formula>LEN(TRIM(KZ8))&gt;0</formula>
    </cfRule>
    <cfRule type="containsBlanks" dxfId="11" priority="675">
      <formula>LEN(TRIM(KZ8))=0</formula>
    </cfRule>
  </conditionalFormatting>
  <conditionalFormatting sqref="KZ9:KZ2508">
    <cfRule type="expression" dxfId="10" priority="676">
      <formula>AND($KZ$8&lt;&gt;"",OR(KZ9="",EXACT(KZ9,$KZ$8)))</formula>
    </cfRule>
  </conditionalFormatting>
  <conditionalFormatting sqref="LA8">
    <cfRule type="notContainsBlanks" dxfId="10" priority="677">
      <formula>LEN(TRIM(LA8))&gt;0</formula>
    </cfRule>
    <cfRule type="containsBlanks" dxfId="11" priority="678">
      <formula>LEN(TRIM(LA8))=0</formula>
    </cfRule>
  </conditionalFormatting>
  <conditionalFormatting sqref="LA9:LA2508">
    <cfRule type="expression" dxfId="10" priority="679">
      <formula>AND($LA$8&lt;&gt;"",OR(LA9="",EXACT(LA9,$LA$8)))</formula>
    </cfRule>
  </conditionalFormatting>
  <conditionalFormatting sqref="LB8">
    <cfRule type="notContainsBlanks" dxfId="10" priority="680">
      <formula>LEN(TRIM(LB8))&gt;0</formula>
    </cfRule>
    <cfRule type="containsBlanks" dxfId="11" priority="681">
      <formula>LEN(TRIM(LB8))=0</formula>
    </cfRule>
  </conditionalFormatting>
  <conditionalFormatting sqref="LB9:LB2508">
    <cfRule type="expression" dxfId="10" priority="682">
      <formula>AND($LB$8&lt;&gt;"",OR(LB9="",EXACT(LB9,$LB$8)))</formula>
    </cfRule>
  </conditionalFormatting>
  <conditionalFormatting sqref="LC8">
    <cfRule type="notContainsBlanks" dxfId="10" priority="683">
      <formula>LEN(TRIM(LC8))&gt;0</formula>
    </cfRule>
    <cfRule type="containsBlanks" dxfId="11" priority="684">
      <formula>LEN(TRIM(LC8))=0</formula>
    </cfRule>
  </conditionalFormatting>
  <conditionalFormatting sqref="LC9:LC2508">
    <cfRule type="expression" dxfId="10" priority="685">
      <formula>AND($LC$8&lt;&gt;"",OR(LC9="",EXACT(LC9,$LC$8)))</formula>
    </cfRule>
  </conditionalFormatting>
  <conditionalFormatting sqref="T8">
    <cfRule type="notContainsBlanks" dxfId="10" priority="14">
      <formula>LEN(TRIM(T8))&gt;0</formula>
    </cfRule>
    <cfRule type="containsBlanks" dxfId="11" priority="15">
      <formula>LEN(TRIM(T8))=0</formula>
    </cfRule>
  </conditionalFormatting>
  <conditionalFormatting sqref="T9:T2508">
    <cfRule type="expression" dxfId="10" priority="16">
      <formula>AND($T$8&lt;&gt;"",OR(T9="",EXACT(T9,$T$8)))</formula>
    </cfRule>
  </conditionalFormatting>
  <conditionalFormatting sqref="U8">
    <cfRule type="notContainsBlanks" dxfId="10" priority="17">
      <formula>LEN(TRIM(U8))&gt;0</formula>
    </cfRule>
    <cfRule type="containsBlanks" dxfId="11" priority="18">
      <formula>LEN(TRIM(U8))=0</formula>
    </cfRule>
  </conditionalFormatting>
  <conditionalFormatting sqref="U9:U2508">
    <cfRule type="expression" dxfId="10" priority="19">
      <formula>AND($U$8&lt;&gt;"",OR(U9="",EXACT(U9,$U$8)))</formula>
    </cfRule>
  </conditionalFormatting>
  <conditionalFormatting sqref="V8">
    <cfRule type="notContainsBlanks" dxfId="10" priority="20">
      <formula>LEN(TRIM(V8))&gt;0</formula>
    </cfRule>
    <cfRule type="containsBlanks" dxfId="11" priority="21">
      <formula>LEN(TRIM(V8))=0</formula>
    </cfRule>
  </conditionalFormatting>
  <conditionalFormatting sqref="V9:V2508">
    <cfRule type="expression" dxfId="10" priority="22">
      <formula>AND($V$8&lt;&gt;"",OR(V9="",EXACT(V9,$V$8)))</formula>
    </cfRule>
  </conditionalFormatting>
  <conditionalFormatting sqref="W8">
    <cfRule type="notContainsBlanks" dxfId="10" priority="23">
      <formula>LEN(TRIM(W8))&gt;0</formula>
    </cfRule>
    <cfRule type="containsBlanks" dxfId="11" priority="24">
      <formula>LEN(TRIM(W8))=0</formula>
    </cfRule>
  </conditionalFormatting>
  <conditionalFormatting sqref="W9:W2508">
    <cfRule type="expression" dxfId="10" priority="25">
      <formula>AND($W$8&lt;&gt;"",OR(W9="",EXACT(W9,$W$8)))</formula>
    </cfRule>
  </conditionalFormatting>
  <conditionalFormatting sqref="X8">
    <cfRule type="notContainsBlanks" dxfId="10" priority="26">
      <formula>LEN(TRIM(X8))&gt;0</formula>
    </cfRule>
    <cfRule type="containsBlanks" dxfId="11" priority="27">
      <formula>LEN(TRIM(X8))=0</formula>
    </cfRule>
  </conditionalFormatting>
  <conditionalFormatting sqref="X9:X2508">
    <cfRule type="expression" dxfId="10" priority="28">
      <formula>AND($X$8&lt;&gt;"",OR(X9="",EXACT(X9,$X$8)))</formula>
    </cfRule>
  </conditionalFormatting>
  <conditionalFormatting sqref="Y8">
    <cfRule type="notContainsBlanks" dxfId="10" priority="29">
      <formula>LEN(TRIM(Y8))&gt;0</formula>
    </cfRule>
    <cfRule type="containsBlanks" dxfId="11" priority="30">
      <formula>LEN(TRIM(Y8))=0</formula>
    </cfRule>
  </conditionalFormatting>
  <conditionalFormatting sqref="Y9:Y2508">
    <cfRule type="expression" dxfId="10" priority="31">
      <formula>AND($Y$8&lt;&gt;"",OR(Y9="",EXACT(Y9,$Y$8)))</formula>
    </cfRule>
  </conditionalFormatting>
  <conditionalFormatting sqref="Z8">
    <cfRule type="notContainsBlanks" dxfId="10" priority="32">
      <formula>LEN(TRIM(Z8))&gt;0</formula>
    </cfRule>
    <cfRule type="containsBlanks" dxfId="11" priority="33">
      <formula>LEN(TRIM(Z8))=0</formula>
    </cfRule>
  </conditionalFormatting>
  <conditionalFormatting sqref="Z9:Z2508">
    <cfRule type="expression" dxfId="10" priority="34">
      <formula>AND($Z$8&lt;&gt;"",OR(Z9="",EXACT(Z9,$Z$8)))</formula>
    </cfRule>
  </conditionalFormatting>
  <dataValidations count="701">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allowed9007_fp_S_class_6161</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allowed9030_fp_S_class_6161</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allowed9031_fp_S_class_6161</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allowed9032_fp_S_class_6161</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allowed9033_fp_S_class_6161</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allowed9035_fp_S_class_6161</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allowed647_fp_S_class_6161</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allowed9043_fp_S_class_6161</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allowed6109_fp_S_class_6161</formula1>
    </dataValidation>
    <dataValidation type="list" errorStyle="warning" allowBlank="1" showInputMessage="1" showErrorMessage="1" errorTitle="Invalid Application Type" error="The value provided is not a valid Application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Z8">
      <formula1>allowed6012_fp_S_class_6161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I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J8">
      <formula1>32767</formula1>
    </dataValidation>
    <dataValidation type="list" errorStyle="warning" allowBlank="1" showInputMessage="1" showErrorMessage="1" errorTitle="Invalid Wallpaper Texture" error="The value provided is not a valid Wallpaper Texture. Would you like to provide a custom answer?" promptTitle="" prompt="If all products in this class consistently have the same answer, you can set a default value to apply automatically. For any exceptions, you can modify the answer for specific products without changing the default." sqref="KL8">
      <formula1>allowed3921_fp_S_class_6161</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S8">
      <formula1>allowed807_fp_S_class_6161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W8">
      <formula1>32767</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X8">
      <formula1>allowed28_fp_S_class_6161</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Y8">
      <formula1>allowed135_fp_S_class_6161</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Z8">
      <formula1>allowed256_fp_S_class_6161</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LA8">
      <formula1>allowed31_fp_S_class_6161</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LB8">
      <formula1>allowed117_fp_S_class_6161</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C8">
      <formula1>allowed8462_fp_S_class_6161</formula1>
    </dataValidation>
    <dataValidation type="custom" allowBlank="1" showInputMessage="1" showErrorMessage="1" errorTitle="Duplicate supplier part number" error="The provided supplier part number is invalid due to having a duplicate value provided elsewhere in the sheet. Please provide a unique value here or remove the original value from the sheet." promptTitle="Supplier Part Number" prompt="Please enter Text" sqref="B9:B2508">
      <formula1>AND(LEN('6161 - Wallpaper (S)'!B9)&lt;32767, IF('6161 - Wallpaper (S)'!B9&lt;&gt;"",COUNTIF('6161 - Wallpaper (S)'!$B$9:$B$2508,'6161 - Wallpaper (S)'!B9)=1,""))</formula1>
    </dataValidation>
    <dataValidation type="custom" allowBlank="1" showInputMessage="1" showErrorMessage="1" errorTitle="Duplicate manufacturer part numb" error="The provided manufacturer part number is invalid due to having a duplicate value provided elsewhere in the sheet. Please provide a unique value here or remove the original value from the sheet." promptTitle="Manufacturer Part Number" prompt="Please enter Text" sqref="C9:C2508">
      <formula1>AND(LEN('6161 - Wallpaper (S)'!C9)&lt;32767, IF('6161 - Wallpaper (S)'!C9&lt;&gt;"",COUNTIF('6161 - Wallpaper (S)'!$C$9:$C$2508,'6161 - Wallpaper (S)'!C9)=1,""))</formula1>
    </dataValidation>
    <dataValidation type="custom" allowBlank="1" showInputMessage="1" showErrorMessage="1" errorTitle="Duplicate universal product code" error="The provided universal product code is invalid due to having a duplicate value provided elsewhere in the sheet. Please provide a unique value here or remove the original value from the sheet." promptTitle="Universal Product Code" prompt="Please enter Text" sqref="D9:D2508">
      <formula1>AND(LEN('6161 - Wallpaper (S)'!D9)&lt;32767, IF('6161 - Wallpaper (S)'!D9&lt;&gt;"",COUNTIF('6161 - Wallpaper (S)'!$D$9:$D$2508,'6161 - Wallpaper (S)'!D9)=1,""))</formula1>
    </dataValidation>
    <dataValidation type="textLength" operator="lessThanOrEqual" errorStyle="warning" showInputMessage="1" showErrorMessage="1" errorTitle="Invalid Text" error="The value provided is not a valid Text." promptTitle="Product Name" prompt="Please enter Text" sqref="E9:E2508">
      <formula1>32767</formula1>
    </dataValidation>
    <dataValidation type="list" allowBlank="1" showInputMessage="1" showErrorMessage="1" errorTitle="Invalid Brand" error="The value provided is not a valid Brand." promptTitle="Brand" prompt="Please select a valid Brand" sqref="F9:F2508">
      <formula1>allowed9007_fp_S_class_6161</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allowed9007_fp_S_class_6161</formula1>
    </dataValidation>
    <dataValidation type="textLength" operator="lessThanOrEqual" errorStyle="warning" showInputMessage="1" showErrorMessage="1" errorTitle="Invalid Text" error="The value provided is not a valid Text." promptTitle="Collection Name" prompt="Please enter Text" sqref="G9:G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list" allowBlank="1" showInputMessage="1" showErrorMessage="1" errorTitle="Invalid Variant Type" error="The value provided is not a valid Variant Type." promptTitle="Variant Type" prompt="Please select a valid Variant Type" sqref="H9:H2508">
      <formula1>allowed9009_fp_S_class_6161</formula1>
    </dataValidation>
    <dataValidation type="textLength" operator="lessThanOrEqual" errorStyle="warning" showInputMessage="1" showErrorMessage="1" errorTitle="Invalid Text" error="The value provided is not a valid Text." promptTitle="Group Reference ID" prompt="Please enter Text" sqref="I9:I2508">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J9:J2508">
      <formula1>allowed9011_fp_S_class_6161</formula1>
    </dataValidation>
    <dataValidation type="textLength" operator="lessThanOrEqual" errorStyle="warning" showInputMessage="1" showErrorMessage="1" errorTitle="Invalid Text" error="The value provided is not a valid Text." promptTitle="Variant Attribute Name On Site" prompt="Please enter Text" sqref="K9:K2508">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L9:L2508">
      <formula1>allowed9011_fp_S_class_6161</formula1>
    </dataValidation>
    <dataValidation type="textLength" operator="lessThanOrEqual" errorStyle="warning" showInputMessage="1" showErrorMessage="1" errorTitle="Invalid Text" error="The value provided is not a valid Text." promptTitle="Variant Attribute Name On Site" prompt="Please enter Text" sqref="M9:M2508">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N9:N2508">
      <formula1>allowed9011_fp_S_class_6161</formula1>
    </dataValidation>
    <dataValidation type="textLength" operator="lessThanOrEqual" errorStyle="warning" showInputMessage="1" showErrorMessage="1" errorTitle="Invalid Text" error="The value provided is not a valid Text." promptTitle="Variant Attribute Name On Site" prompt="Please enter Text" sqref="O9:O2508">
      <formula1>32767</formula1>
    </dataValidation>
    <dataValidation type="textLength" operator="lessThanOrEqual" errorStyle="warning" showInputMessage="1" showErrorMessage="1" errorTitle="Invalid Number" error="The value provided is not a valid Number." promptTitle="Base Cost" prompt="Please enter Number" sqref="P9:P2508">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Q9:Q2508">
      <formula1>32767</formula1>
    </dataValidation>
    <dataValidation type="textLength" operator="lessThanOrEqual" errorStyle="warning" showInputMessage="1" showErrorMessage="1" errorTitle="Invalid Number" error="The value provided is not a valid Number." promptTitle="Minimum Advertised Price" prompt="Please enter Number" sqref="R9:R2508">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S9:S2508">
      <formula1>32767</formula1>
    </dataValidation>
    <dataValidation type="textLength" operator="lessThanOrEqual" errorStyle="warning" showInputMessage="1" showErrorMessage="1" errorTitle="Invalid Text" error="The value provided is not a valid Text." promptTitle="Marketing Copy" prompt="Please enter Text" sqref="T9:T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Feature Bullet" prompt="Please enter Text" sqref="U9:U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Feature Bullet" prompt="Please enter Text" sqref="V9:V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Feature Bullet" prompt="Please enter Text" sqref="W9:W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Feature Bullet" prompt="Please enter Text" sqref="X9:X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Feature Bullet" prompt="Please enter Text" sqref="Y9:Y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Feature Bullet" prompt="Please enter Text" sqref="Z9:Z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Feature Bullet" prompt="Please enter Text" sqref="AA9:AA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Feature Bullet" prompt="Please enter Text" sqref="AB9:AB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Amazon Seller SKU" prompt="Please enter Text" sqref="AC9:AC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AD9:AD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E9:AE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F9:AF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Product Weight" prompt="Please enter Number" sqref="AG9:A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Ship Type" prompt="Please select a valid Ship Type" sqref="AH9:AH2508">
      <formula1>allowed9030_fp_S_class_6161</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allowed9030_fp_S_class_6161</formula1>
    </dataValidation>
    <dataValidation type="list" allowBlank="1" showInputMessage="1" showErrorMessage="1" errorTitle="Invalid Freight Class" error="The value provided is not a valid Freight Class." promptTitle="Freight Class" prompt="Please select a valid Freight Class" sqref="AI9:AI2508">
      <formula1>allowed9031_fp_S_class_6161</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allowed9031_fp_S_class_6161</formula1>
    </dataValidation>
    <dataValidation type="list" allowBlank="1" showInputMessage="1" showErrorMessage="1" errorTitle="Invalid Lead Time" error="The value provided is not a valid Lead Time." promptTitle="Lead Time" prompt="Please select a valid Lead Time" sqref="AJ9:AJ2508">
      <formula1>allowed9032_fp_S_class_6161</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allowed9032_fp_S_class_6161</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K9:AK2508">
      <formula1>allowed9033_fp_S_class_6161</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allowed9033_fp_S_class_6161</formula1>
    </dataValidation>
    <dataValidation type="textLength" operator="lessThanOrEqual" errorStyle="warning" showInputMessage="1" showErrorMessage="1" errorTitle="Invalid Text" error="The value provided is not a valid Text." promptTitle="National Motor Freight Class" prompt="Please enter Text" sqref="AL9:AL250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Flat Pack" prompt="Please select a valid Flat Pack" sqref="AM9:AM2508">
      <formula1>allowed9035_fp_S_class_6161</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allowed9035_fp_S_class_6161</formula1>
    </dataValidation>
    <dataValidation type="list" allowBlank="1" showInputMessage="1" showErrorMessage="1" errorTitle="Invalid Ship Palletized" error="The value provided is not a valid Ship Palletized." promptTitle="Ship Palletized" prompt="Please select a valid Ship Palletized" sqref="AN9:AN2508">
      <formula1>allowed9036_fp_S_class_6161</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allowed9036_fp_S_class_6161</formula1>
    </dataValidation>
    <dataValidation type="textLength" operator="lessThanOrEqual" errorStyle="warning" showInputMessage="1" showErrorMessage="1" errorTitle="Invalid Number" error="The value provided is not a valid Number." promptTitle="Carton Weight" prompt="Please enter Number" sqref="AO9:A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Carton Height" prompt="Please enter Number" sqref="AP9:A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Carton Width" prompt="Please enter Number" sqref="AQ9:A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Carton Depth" prompt="Please enter Number" sqref="AR9:A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Carton Weight" prompt="Please enter Number" sqref="AS9:A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Carton Height" prompt="Please enter Number" sqref="AT9:A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Carton Width" prompt="Please enter Number" sqref="AU9:A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Carton Depth" prompt="Please enter Number" sqref="AV9:A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Carton Weight" prompt="Please enter Number" sqref="AW9:A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Carton Height" prompt="Please enter Number" sqref="AX9:A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Carton Width" prompt="Please enter Number" sqref="AY9:A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Carton Depth" prompt="Please enter Number" sqref="AZ9:A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Carton Weight" prompt="Please enter Number" sqref="BA9:B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Carton Height" prompt="Please enter Number" sqref="BB9:B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Carton Width" prompt="Please enter Number" sqref="BC9:B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Carton Depth" prompt="Please enter Number" sqref="BD9:B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Carton Weight" prompt="Please enter Number" sqref="BE9:B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Carton Height" prompt="Please enter Number" sqref="BF9:B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Carton Width" prompt="Please enter Number" sqref="BG9:B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Carton Depth" prompt="Please enter Number" sqref="BH9:B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Carton Weight" prompt="Please enter Number" sqref="BI9:B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Carton Height" prompt="Please enter Number" sqref="BJ9:B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Carton Width" prompt="Please enter Number" sqref="BK9:B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Carton Depth" prompt="Please enter Number" sqref="BL9:B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Carton Weight" prompt="Please enter Number" sqref="BM9:B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Carton Height" prompt="Please enter Number" sqref="BN9:B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Carton Width" prompt="Please enter Number" sqref="BO9:B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Carton Depth" prompt="Please enter Number" sqref="BP9:B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Carton Weight" prompt="Please enter Number" sqref="BQ9:B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Carton Height" prompt="Please enter Number" sqref="BR9:B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Carton Width" prompt="Please enter Number" sqref="BS9:B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Carton Depth" prompt="Please enter Number" sqref="BT9:B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Carton Weight" prompt="Please enter Number" sqref="BU9:B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Carton Height" prompt="Please enter Number" sqref="BV9:B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Carton Width" prompt="Please enter Number" sqref="BW9:B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Carton Depth" prompt="Please enter Number" sqref="BX9:B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Carton Weight" prompt="Please enter Number" sqref="BY9:B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Carton Height" prompt="Please enter Number" sqref="BZ9:B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Carton Width" prompt="Please enter Number" sqref="CA9:C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Carton Depth" prompt="Please enter Number" sqref="CB9:C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Carton Weight" prompt="Please enter Number" sqref="CC9:C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Carton Height" prompt="Please enter Number" sqref="CD9:C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Carton Width" prompt="Please enter Number" sqref="CE9:C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Carton Depth" prompt="Please enter Number" sqref="CF9:C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Carton Weight" prompt="Please enter Number" sqref="CG9:C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Carton Height" prompt="Please enter Number" sqref="CH9:C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Carton Width" prompt="Please enter Number" sqref="CI9:C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Carton Depth" prompt="Please enter Number" sqref="CJ9:C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Carton Weight" prompt="Please enter Number" sqref="CK9:C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Carton Height" prompt="Please enter Number" sqref="CL9:C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Carton Width" prompt="Please enter Number" sqref="CM9:C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Carton Depth" prompt="Please enter Number" sqref="CN9:C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Carton Weight" prompt="Please enter Number" sqref="CO9:C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Carton Height" prompt="Please enter Number" sqref="CP9:C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Carton Width" prompt="Please enter Number" sqref="CQ9:C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Carton Depth" prompt="Please enter Number" sqref="CR9:C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Carton Weight" prompt="Please enter Number" sqref="CS9:C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Carton Height" prompt="Please enter Number" sqref="CT9:C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Carton Width" prompt="Please enter Number" sqref="CU9:C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Carton Depth" prompt="Please enter Number" sqref="CV9:C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Carton Weight" prompt="Please enter Number" sqref="CW9:C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Carton Height" prompt="Please enter Number" sqref="CX9:C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Carton Width" prompt="Please enter Number" sqref="CY9:C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Carton Depth" prompt="Please enter Number" sqref="CZ9:C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Carton Weight" prompt="Please enter Number" sqref="DA9:D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Carton Height" prompt="Please enter Number" sqref="DB9:D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Carton Width" prompt="Please enter Number" sqref="DC9:D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Carton Depth" prompt="Please enter Number" sqref="DD9:D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Carton Weight" prompt="Please enter Number" sqref="DE9:D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Carton Height" prompt="Please enter Number" sqref="DF9:D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Carton Width" prompt="Please enter Number" sqref="DG9:D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Carton Depth" prompt="Please enter Number" sqref="DH9:D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Carton Weight" prompt="Please enter Number" sqref="DI9:D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Carton Height" prompt="Please enter Number" sqref="DJ9:D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Carton Width" prompt="Please enter Number" sqref="DK9:D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Carton Depth" prompt="Please enter Number" sqref="DL9:D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Carton Weight" prompt="Please enter Number" sqref="DM9:D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Carton Height" prompt="Please enter Number" sqref="DN9:D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Carton Width" prompt="Please enter Number" sqref="DO9:D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Carton Depth" prompt="Please enter Number" sqref="DP9:D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Carton Weight" prompt="Please enter Number" sqref="DQ9:D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Carton Height" prompt="Please enter Number" sqref="DR9:D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Carton Width" prompt="Please enter Number" sqref="DS9:D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Carton Depth" prompt="Please enter Number" sqref="DT9:D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Carton Weight" prompt="Please enter Number" sqref="DU9:D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Carton Height" prompt="Please enter Number" sqref="DV9:D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Carton Width" prompt="Please enter Number" sqref="DW9:D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Carton Depth" prompt="Please enter Number" sqref="DX9:D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Carton Weight" prompt="Please enter Number" sqref="DY9:D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Carton Height" prompt="Please enter Number" sqref="DZ9:D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Carton Width" prompt="Please enter Number" sqref="EA9:E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Carton Depth" prompt="Please enter Number" sqref="EB9:E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Carton Weight" prompt="Please enter Number" sqref="EC9:E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Carton Height" prompt="Please enter Number" sqref="ED9:E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Carton Width" prompt="Please enter Number" sqref="EE9:E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Carton Depth" prompt="Please enter Number" sqref="EF9:E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Carton Weight" prompt="Please enter Number" sqref="EG9:E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Carton Height" prompt="Please enter Number" sqref="EH9:E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Carton Width" prompt="Please enter Number" sqref="EI9:E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Carton Depth" prompt="Please enter Number" sqref="EJ9:E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Carton Weight" prompt="Please enter Number" sqref="EK9:E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Carton Height" prompt="Please enter Number" sqref="EL9:E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Carton Width" prompt="Please enter Number" sqref="EM9:E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Carton Depth" prompt="Please enter Number" sqref="EN9:E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Carton Weight" prompt="Please enter Number" sqref="EO9:E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Carton Height" prompt="Please enter Number" sqref="EP9:E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Carton Width" prompt="Please enter Number" sqref="EQ9:E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Carton Depth" prompt="Please enter Number" sqref="ER9:E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Carton Weight" prompt="Please enter Number" sqref="ES9:E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Carton Height" prompt="Please enter Number" sqref="ET9:E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Carton Width" prompt="Please enter Number" sqref="EU9:E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Carton Depth" prompt="Please enter Number" sqref="EV9:E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Carton Weight" prompt="Please enter Number" sqref="EW9:E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Carton Height" prompt="Please enter Number" sqref="EX9:E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Carton Width" prompt="Please enter Number" sqref="EY9:E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Carton Depth" prompt="Please enter Number" sqref="EZ9:E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Carton Weight" prompt="Please enter Number" sqref="FA9:F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Carton Height" prompt="Please enter Number" sqref="FB9:F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Carton Width" prompt="Please enter Number" sqref="FC9:F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Carton Depth" prompt="Please enter Number" sqref="FD9:F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Carton Weight" prompt="Please enter Number" sqref="FE9:F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Carton Height" prompt="Please enter Number" sqref="FF9:F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Carton Width" prompt="Please enter Number" sqref="FG9:F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Carton Depth" prompt="Please enter Number" sqref="FH9:F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Carton Weight" prompt="Please enter Number" sqref="FI9:F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Carton Height" prompt="Please enter Number" sqref="FJ9:F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Carton Width" prompt="Please enter Number" sqref="FK9:F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Carton Depth" prompt="Please enter Number" sqref="FL9:F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Carton Weight" prompt="Please enter Number" sqref="FM9:F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Carton Height" prompt="Please enter Number" sqref="FN9:F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Carton Width" prompt="Please enter Number" sqref="FO9:F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Carton Depth" prompt="Please enter Number" sqref="FP9:F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Carton Weight" prompt="Please enter Number" sqref="FQ9:F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Carton Height" prompt="Please enter Number" sqref="FR9:F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Carton Width" prompt="Please enter Number" sqref="FS9:FS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Carton Depth" prompt="Please enter Number" sqref="FT9:F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Carton Weight" prompt="Please enter Number" sqref="FU9:F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Carton Height" prompt="Please enter Number" sqref="FV9:F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Carton Width" prompt="Please enter Number" sqref="FW9:F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Carton Depth" prompt="Please enter Number" sqref="FX9:FX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Carton Weight" prompt="Please enter Number" sqref="FY9:FY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Carton Height" prompt="Please enter Number" sqref="FZ9:FZ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Carton Width" prompt="Please enter Number" sqref="GA9:GA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Carton Depth" prompt="Please enter Number" sqref="GB9:GB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Carton Weight" prompt="Please enter Number" sqref="GC9:GC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Carton Height" prompt="Please enter Number" sqref="GD9:GD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Carton Width" prompt="Please enter Number" sqref="GE9:GE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Carton Depth" prompt="Please enter Number" sqref="GF9:GF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Carton Weight" prompt="Please enter Number" sqref="GG9:GG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Carton Height" prompt="Please enter Number" sqref="GH9:GH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Carton Width" prompt="Please enter Number" sqref="GI9:G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Carton Depth" prompt="Please enter Number" sqref="GJ9:GJ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Carton Weight" prompt="Please enter Number" sqref="GK9:GK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Carton Height" prompt="Please enter Number" sqref="GL9:GL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Carton Width" prompt="Please enter Number" sqref="GM9:GM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Carton Depth" prompt="Please enter Number" sqref="GN9:GN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Carton Weight" prompt="Please enter Number" sqref="GO9:GO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Carton Height" prompt="Please enter Number" sqref="GP9:GP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Carton Width" prompt="Please enter Number" sqref="GQ9:GQ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Carton Depth" prompt="Please enter Number" sqref="GR9:GR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Country of Origin" prompt="Please select a valid Country of Origin" sqref="GS9:GS2508">
      <formula1>allowed647_fp_S_class_6161</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allowed647_fp_S_class_6161</formula1>
    </dataValidation>
    <dataValidation type="list" allowBlank="1" showInputMessage="1" showErrorMessage="1" errorTitle="Invalid Warning Required" error="The value provided is not a valid Warning Required." promptTitle="Warning Required" prompt="Please select a valid Warning Required" sqref="GT9:GT2508">
      <formula1>allowed9041_fp_S_class_6161</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allowed9041_fp_S_class_6161</formula1>
    </dataValidation>
    <dataValidation type="list" allowBlank="1" showInputMessage="1" showErrorMessage="1" errorTitle="Invalid Chemical" error="The value provided is not a valid Chemical." promptTitle="Chemical" prompt="Please select a valid Chemical" sqref="GU9:GU2508">
      <formula1>allowed9042_fp_S_class_6161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allowed9042_fp_S_class_6161</formula1>
    </dataValidation>
    <dataValidation type="list" allowBlank="1" showInputMessage="1" showErrorMessage="1" errorTitle="Invalid Toxicity" error="The value provided is not a valid Toxicity." promptTitle="Toxicity" prompt="Please select a valid Toxicity" sqref="GV9:GV2508">
      <formula1>allowed9043_fp_S_class_6161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allowed9043_fp_S_class_6161</formula1>
    </dataValidation>
    <dataValidation type="list" allowBlank="1" showInputMessage="1" showErrorMessage="1" errorTitle="Invalid Chemical" error="The value provided is not a valid Chemical." promptTitle="Chemical" prompt="Please select a valid Chemical" sqref="GW9:GW2508">
      <formula1>allowed9042_fp_S_class_6161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allowed9042_fp_S_class_6161</formula1>
    </dataValidation>
    <dataValidation type="list" allowBlank="1" showInputMessage="1" showErrorMessage="1" errorTitle="Invalid Toxicity" error="The value provided is not a valid Toxicity." promptTitle="Toxicity" prompt="Please select a valid Toxicity" sqref="GX9:GX2508">
      <formula1>allowed9043_fp_S_class_6161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allowed9043_fp_S_class_6161</formula1>
    </dataValidation>
    <dataValidation type="list" allowBlank="1" showInputMessage="1" showErrorMessage="1" errorTitle="Invalid Chemical" error="The value provided is not a valid Chemical." promptTitle="Chemical" prompt="Please select a valid Chemical" sqref="GY9:GY2508">
      <formula1>allowed9042_fp_S_class_6161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allowed9042_fp_S_class_6161</formula1>
    </dataValidation>
    <dataValidation type="list" allowBlank="1" showInputMessage="1" showErrorMessage="1" errorTitle="Invalid Toxicity" error="The value provided is not a valid Toxicity." promptTitle="Toxicity" prompt="Please select a valid Toxicity" sqref="GZ9:GZ2508">
      <formula1>allowed9043_fp_S_class_6161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allowed9043_fp_S_class_6161</formula1>
    </dataValidation>
    <dataValidation type="list" allowBlank="1" showInputMessage="1" showErrorMessage="1" errorTitle="Invalid Chemical" error="The value provided is not a valid Chemical." promptTitle="Chemical" prompt="Please select a valid Chemical" sqref="HA9:HA2508">
      <formula1>allowed9042_fp_S_class_6161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allowed9042_fp_S_class_6161</formula1>
    </dataValidation>
    <dataValidation type="list" allowBlank="1" showInputMessage="1" showErrorMessage="1" errorTitle="Invalid Toxicity" error="The value provided is not a valid Toxicity." promptTitle="Toxicity" prompt="Please select a valid Toxicity" sqref="HB9:HB2508">
      <formula1>allowed9043_fp_S_class_6161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allowed9043_fp_S_class_6161</formula1>
    </dataValidation>
    <dataValidation type="list" allowBlank="1" showInputMessage="1" showErrorMessage="1" errorTitle="Invalid Chemical" error="The value provided is not a valid Chemical." promptTitle="Chemical" prompt="Please select a valid Chemical" sqref="HC9:HC2508">
      <formula1>allowed9042_fp_S_class_6161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allowed9042_fp_S_class_6161</formula1>
    </dataValidation>
    <dataValidation type="list" allowBlank="1" showInputMessage="1" showErrorMessage="1" errorTitle="Invalid Toxicity" error="The value provided is not a valid Toxicity." promptTitle="Toxicity" prompt="Please select a valid Toxicity" sqref="HD9:HD2508">
      <formula1>allowed9043_fp_S_class_6161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allowed9043_fp_S_class_6161</formula1>
    </dataValidation>
    <dataValidation type="textLength" operator="lessThanOrEqual" errorStyle="warning" showInputMessage="1" showErrorMessage="1" errorTitle="Invalid Text" error="The value provided is not a valid Text." promptTitle="Image File Name or URL" prompt="Please enter Text" sqref="HE9:HE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F9:HF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G9:HG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H9:HH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I9:HI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J9:HJ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K9:HK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L9:HL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M9:HM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N9:HN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O9:HO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P9:HP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Q9:HQ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R9:HR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S9:HS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T9:HT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U9:HU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V9:HV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W9:HW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X9:HX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Y9:HY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HZ9:HZ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A9:IA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B9:IB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C9:IC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D9:ID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E9:IE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F9:IF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G9:IG2508">
      <formula1>32767</formula1>
    </dataValidation>
    <dataValidation type="textLength" operator="lessThanOrEqual" errorStyle="warning" showInputMessage="1" showErrorMessage="1" errorTitle="Invalid Text" error="The value provided is not a valid Text." promptTitle="Image File Name or URL" prompt="Please enter Text" sqref="IH9:IH2508">
      <formula1>32767</formula1>
    </dataValidation>
    <dataValidation type="textLength" operator="lessThanOrEqual" errorStyle="warning" showInputMessage="1" showErrorMessage="1" errorTitle="Invalid Text" error="The value provided is not a valid Text." promptTitle="Video File Name or URL" prompt="Please enter Text" sqref="II9:II2508">
      <formula1>32767</formula1>
    </dataValidation>
    <dataValidation type="textLength" operator="lessThanOrEqual" errorStyle="warning" showInputMessage="1" showErrorMessage="1" errorTitle="Invalid Text" error="The value provided is not a valid Text." promptTitle="Video File Name or URL" prompt="Please enter Text" sqref="IJ9:IJ2508">
      <formula1>32767</formula1>
    </dataValidation>
    <dataValidation type="textLength" operator="lessThanOrEqual" errorStyle="warning" showInputMessage="1" showErrorMessage="1" errorTitle="Invalid Text" error="The value provided is not a valid Text." promptTitle="Document File Name or URL" prompt="Please enter Text" sqref="IK9:IK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N9:IN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IO9:IO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R9:IR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IS9:IS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V9:IV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IW9:IW2508">
      <formula1>32767</formula1>
    </dataValidation>
    <dataValidation type="list" allowBlank="1" showInputMessage="1" showErrorMessage="1" errorTitle="Invalid Document Region" error="The value provided is not a valid Document Region." promptTitle="Document Region" prompt="Please select a valid Document Region" sqref="IZ9:IZ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JA9:JA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D9:JD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JE9:JE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H9:JH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JI9:JI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L9:JL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JM9:JM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P9:JP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JQ9:JQ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T9:JT2508">
      <formula1>allowed9066_fp_S_class_6161</formula1>
    </dataValidation>
    <dataValidation type="textLength" operator="lessThanOrEqual" errorStyle="warning" showInputMessage="1" showErrorMessage="1" errorTitle="Invalid Text" error="The value provided is not a valid Text." promptTitle="Document File Name or URL" prompt="Please enter Text" sqref="JU9:JU2508">
      <formula1>32767</formula1>
    </dataValidation>
    <dataValidation type="list" allowBlank="1" showInputMessage="1" showErrorMessage="1" errorTitle="Invalid Document Region" error="The value provided is not a valid Document Region." promptTitle="Document Region" prompt="Please select a valid Document Region" sqref="JX9:JX2508">
      <formula1>allowed9066_fp_S_class_6161</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JY9:JY2508">
      <formula1>allowed6109_fp_S_class_6161</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allowed6109_fp_S_class_6161</formula1>
    </dataValidation>
    <dataValidation type="list" errorStyle="warning" allowBlank="1" showInputMessage="1" showErrorMessage="1" errorTitle="Invalid Application Type" error="The value provided is not a valid Application Type. Would you like to provide a custom answer?" promptTitle="Application Type" prompt="Please select a valid Application Type" sqref="JZ9:JZ2508">
      <formula1>allowed6012_fp_S_class_6161</formula1>
    </dataValidation>
    <dataValidation type="list" errorStyle="warning" allowBlank="1" showInputMessage="1" showErrorMessage="1" errorTitle="Invalid Application Type" error="The value provided is not a valid Application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Z8">
      <formula1>allowed6012_fp_S_class_6161</formula1>
    </dataValidation>
    <dataValidation type="textLength" operator="lessThanOrEqual" errorStyle="warning" showInputMessage="1" showErrorMessage="1" errorTitle="Invalid Number" error="The value provided is not a valid Number." promptTitle="Pattern Interval" prompt="Please enter Number" sqref="KI9:KI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I8">
      <formula1>32767</formula1>
    </dataValidation>
    <dataValidation type="textLength" operator="lessThanOrEqual" errorStyle="warning" showInputMessage="1" showErrorMessage="1" errorTitle="Invalid Whole Number" error="The value provided is not a valid Whole Number." promptTitle="Pattern Repeat Frequency" prompt="Please enter Whole Number" sqref="KJ9:KJ250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J8">
      <formula1>32767</formula1>
    </dataValidation>
    <dataValidation type="list" errorStyle="warning" allowBlank="1" showInputMessage="1" showErrorMessage="1" errorTitle="Invalid Wallpaper Texture" error="The value provided is not a valid Wallpaper Texture. Would you like to provide a custom answer?" promptTitle="Wallpaper Texture" prompt="Please select a valid Wallpaper Texture" sqref="KL9:KL2508">
      <formula1>allowed3921_fp_S_class_6161</formula1>
    </dataValidation>
    <dataValidation type="list" errorStyle="warning" allowBlank="1" showInputMessage="1" showErrorMessage="1" errorTitle="Invalid Wallpaper Texture" error="The value provided is not a valid Wallpaper Texture. Would you like to provide a custom answer?" promptTitle="" prompt="If all products in this class consistently have the same answer, you can set a default value to apply automatically. For any exceptions, you can modify the answer for specific products without changing the default." sqref="KL8">
      <formula1>allowed3921_fp_S_class_6161</formula1>
    </dataValidation>
    <dataValidation type="list" allowBlank="1" showInputMessage="1" showErrorMessage="1" errorTitle="Invalid BPA Free" error="The value provided is not a valid BPA Free." promptTitle="BPA Free" prompt="Please select a valid BPA Free" sqref="KS9:KS2508">
      <formula1>allowed807_fp_S_class_6161</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S8">
      <formula1>allowed807_fp_S_class_6161</formula1>
    </dataValidation>
    <dataValidation type="textLength" operator="lessThanOrEqual" errorStyle="warning" showInputMessage="1" showErrorMessage="1" errorTitle="Invalid Number" error="The value provided is not a valid Number." promptTitle="Overall Product Length - End to " prompt="Please enter Number" sqref="KT9:KT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KU9:KU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U8">
      <formula1>32767</formula1>
    </dataValidation>
    <dataValidation type="textLength" operator="lessThanOrEqual" errorStyle="warning" showInputMessage="1" showErrorMessage="1" errorTitle="Invalid Number" error="The value provided is not a valid Number." promptTitle="Square Footage per Unit" prompt="Please enter Number" sqref="KV9:KV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V8">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KW9:KW250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W8">
      <formula1>32767</formula1>
    </dataValidation>
    <dataValidation type="list" allowBlank="1" showInputMessage="1" showErrorMessage="1" errorTitle="Invalid Commercial Warranty" error="The value provided is not a valid Commercial Warranty." promptTitle="Commercial Warranty" prompt="Please select a valid Commercial Warranty" sqref="KX9:KX2508">
      <formula1>allowed28_fp_S_class_6161</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X8">
      <formula1>allowed28_fp_S_class_6161</formula1>
    </dataValidation>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KY9:KY2508">
      <formula1>allowed135_fp_S_class_6161</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Y8">
      <formula1>allowed135_fp_S_class_6161</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Wayfair Compliance Vetting Progr" prompt="Please select a valid Wayfair Compliance Vetting Program (including Baby Safety Alliance fka JPMA) for this product category" sqref="KZ9:KZ2508">
      <formula1>allowed256_fp_S_class_6161</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Z8">
      <formula1>allowed256_fp_S_class_6161</formula1>
    </dataValidation>
    <dataValidation type="list" allowBlank="1" showInputMessage="1" showErrorMessage="1" errorTitle="Invalid Uniform Packaging and La" error="The value provided is not a valid Uniform Packaging and Labeling Regulations (UPLR) Compliant." promptTitle="Uniform Packaging and Labeling R" prompt="Please select a valid Uniform Packaging and Labeling Regulations (UPLR) Compliant" sqref="LA9:LA2508">
      <formula1>allowed31_fp_S_class_6161</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LA8">
      <formula1>allowed31_fp_S_class_6161</formula1>
    </dataValidation>
    <dataValidation type="list" allowBlank="1" showInputMessage="1" showErrorMessage="1" errorTitle="Invalid Canada Product Restricti" error="The value provided is not a valid Canada Product Restriction." promptTitle="Canada Product Restriction" prompt="Please select a valid Canada Product Restriction" sqref="LB9:LB2508">
      <formula1>allowed117_fp_S_class_6161</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LB8">
      <formula1>allowed117_fp_S_class_6161</formula1>
    </dataValidation>
    <dataValidation type="list" allowBlank="1" showInputMessage="1" showErrorMessage="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sqref="LC9:LC2508">
      <formula1>allowed8462_fp_S_class_6161</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C8">
      <formula1>allowed8462_fp_S_class_6161</formula1>
    </dataValidation>
  </dataValidations>
  <hyperlinks>
    <hyperlink ref="F7" location="#vvh_9007_fp_S_class_6161" display="Select"/>
    <hyperlink ref="H7" location="#vvh_9009_fp_S_class_6161" display="Select"/>
    <hyperlink ref="J7" location="#vvh_9011_fp_S_class_6161" display="Select"/>
    <hyperlink ref="L7" location="#vvh_9011_fp_S_class_6161" display="Select"/>
    <hyperlink ref="N7" location="#vvh_9011_fp_S_class_6161" display="Select"/>
    <hyperlink ref="AH7" location="#vvh_9030_fp_S_class_6161" display="Select"/>
    <hyperlink ref="AI7" location="#vvh_9031_fp_S_class_6161" display="Select"/>
    <hyperlink ref="AJ7" location="#vvh_9032_fp_S_class_6161" display="Select"/>
    <hyperlink ref="AK7" location="#vvh_9033_fp_S_class_6161" display="Select"/>
    <hyperlink ref="GS7" location="#vvh_647_fp_S_class_6161" display="Select"/>
    <hyperlink ref="GU7" location="#vvh_9042_fp_S_class_6161" display="Select"/>
    <hyperlink ref="GV7" location="#vvh_9043_fp_S_class_6161" display="Select"/>
    <hyperlink ref="GW7" location="#vvh_9042_fp_S_class_6161" display="Select"/>
    <hyperlink ref="GX7" location="#vvh_9043_fp_S_class_6161" display="Select"/>
    <hyperlink ref="GY7" location="#vvh_9042_fp_S_class_6161" display="Select"/>
    <hyperlink ref="GZ7" location="#vvh_9043_fp_S_class_6161" display="Select"/>
    <hyperlink ref="HA7" location="#vvh_9042_fp_S_class_6161" display="Select"/>
    <hyperlink ref="HB7" location="#vvh_9043_fp_S_class_6161" display="Select"/>
    <hyperlink ref="HC7" location="#vvh_9042_fp_S_class_6161" display="Select"/>
    <hyperlink ref="HD7" location="#vvh_9043_fp_S_class_6161" display="Select"/>
    <hyperlink ref="IL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M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N7" location="#vvh_9066_fp_S_class_6161" display="Select"/>
    <hyperlink ref="IP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Q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R7" location="#vvh_9066_fp_S_class_6161" display="Select"/>
    <hyperlink ref="IT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U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V7" location="#vvh_9066_fp_S_class_6161" display="Select"/>
    <hyperlink ref="IX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Y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Z7" location="#vvh_9066_fp_S_class_6161" display="Select"/>
    <hyperlink ref="JB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C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D7" location="#vvh_9066_fp_S_class_6161" display="Select"/>
    <hyperlink ref="JF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G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H7" location="#vvh_9066_fp_S_class_6161" display="Select"/>
    <hyperlink ref="JJ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K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L7" location="#vvh_9066_fp_S_class_6161" display="Select"/>
    <hyperlink ref="JN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O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P7" location="#vvh_9066_fp_S_class_6161" display="Select"/>
    <hyperlink ref="JR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S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T7" location="#vvh_9066_fp_S_class_6161" display="Select"/>
    <hyperlink ref="JV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W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X7" location="#vvh_9066_fp_S_class_6161" display="Select"/>
    <hyperlink ref="JY7" location="#vvh_6109_fp_S_class_6161" display="Select"/>
    <hyperlink ref="JZ7" location="#vvh_6012_fp_S_class_6161" display="Select"/>
    <hyperlink ref="KA7" location="#vvh_5471_fp_S_class_6161" display="Please choose one or more from the following, using a semicolon (;) to separate each value: Peelable; Strippable; Solution Required; Does Not Apply; Unavailable"/>
    <hyperlink ref="KB7" location="#vvh_2385_fp_S_class_6161" display="Please choose one or more from the following, using a semicolon (;) to separate each value: Aluminum; Fabric; Paper; Plastic; PVC; Steel; Solid Wood; Vinyl; Fleece; Grass Cloth; MDF; Non-Woven; Particle Board / Chipboard; Plywood / Laminate Board; Paper / Printed Veneer; Real Wood Veneer"/>
    <hyperlink ref="KC7" location="#vvh_4123_fp_S_class_6161" display="Please choose one or more from the following, using a semicolon (;) to separate each value: Satin; Gloss; Distressed; Glitter / Shimmer; Low-Gloss; Matte; Metallic; Primed; Semi Gloss; Does Not Apply"/>
    <hyperlink ref="KD7" location="#vvh_1316_fp_S_class_6161" display="Please choose one or more from the following, using a semicolon (;) to separate each value: Black; Brown; White; Green; Gray; Red; Beige; Yellow; Pink; Orange; Purple; Silver; Gold; Clear; Cream; Ivory; Tan; Teal; Navy; Blue"/>
    <hyperlink ref="KE7" location="#vvh_8653_fp_S_class_6161" display="Please choose one or more from the following, using a semicolon (;) to separate each value: Breathable; Paintable / Stainable; No General Features"/>
    <hyperlink ref="KF7" location="#vvh_1388_fp_S_class_6161" display="Please choose one or more from the following, using a semicolon (;) to separate each value: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hyperlink ref="KG7" location="#vvh_1386_fp_S_class_6161" display="Please choose one or more from the following, using a semicolon (;) to separate each value: MLB Atlanta Braves; MLB Chicago Cubs; MLB Arizona Diamondbacks; MLB Baltimore Orioles; MLB Kansas City Royals; MLB Boston Red Sox; MLB Milwaukee Brewers; MLB Detroit Tigers; MLB Cincinnati Reds; MLB Los Angeles Dodgers; MLB Colorado Rockies; MLB Chicago White Sox; MLB Houston Astros; MLB Miami Marlins; MLB Minnesota Twins; MLB Philadelphia Phillies; NBA New York Knicks; NHL Edmonton Oilers; MLB Los Angeles Angels; MLB New York Mets; MLB New York Yankees; MLB Pittsburgh Pirates; MLB San Diego Padres; MLB San Francisco Giants; NHL Los Angeles Kings; NHL Pittsburgh Penguins; MLB Seattle Mariners; MLB Cleveland Guardians; MLB Tampa Bay Rays; MLB Toronto Blue Jays; MLB Washington Nationals; NBA Boston Celtics; NBA Charlotte Hornets; NBA Denver Nuggets; NBA Golden State Warriors; NFL Houston Texans; NFL Baltimore Ravens; NBA Detroit Pistons; NBA Cleveland Cavaliers; NBA Houston Rockets; NBA Atlanta Hawks; NHL Washington Capitals; NBA Los Angeles Clippers; NBA Minnesota Timberwolves; NBA Brooklyn Nets; NBA Sacramento Kings; NBA Washington Wizards; NBA San Antonio Spurs; NHL Calgary Flames; NHL Carolina Hurricanes; NBA Indiana Pacers; NBA New Orleans Pelicans; NFL New York Giants; NBA Memphis Grizzlies; MLB Oakland Athletics; NHL Detroit Red Wings; NHL Colorado Avalanche; NHL New York Islanders; NBA Chicago Bulls; NBA Utah Jazz; NBA Philadelphia 76ers; NBA Milwaukee Bucks; NBA Miami Heat; NBA Oklahoma City Thunder; NBA Orlando Magic; NHL Montreal Canadiens; NHL Vancouver Canucks; NHL San Jose Sharks; NHL Arizona Coyotes; NHL Winnipeg Jets; NHL Buffalo Sabres; NHL Boston Bruins; NHL Vegas Golden Knights; NFL Buffalo Bills; NBA Toronto Raptors; NFL Arizona Cardinals; MLB Texas Rangers; NFL Cincinnati Bengals; NFL Carolina Panthers; NFL Detroit Lions; NFL Atlanta Falcons; NFL Green Bay Packers; NFL Denver Broncos; NFL Miami Dolphins; NFL Jacksonville Jaguars; NHL Dallas Stars; NFL Kansas City Chiefs; NHL Florida Panthers; NHL Minnesota Wild; NBA Phoenix Suns; NFL "/>
    <hyperlink ref="KH7" location="#vvh_82_fp_S_class_6161" display="Please choose one or more from the following, using a semicolon (;) to separate each value: Abstract; Animal Print; Chevron; Damask; Floral; Geometric; Paisley; Plaid; Polka Dots; Striped; Toile; Brick; Solid Color; Stone; Wood &amp; Shiplap; Marble; Gingham; Camouflage; Ikat; Houndstooth; Patchwork; Ombre; Checkered; Argyle; No Pattern; Trellis; Dots; Starburst; Geometric Shapes; Irish Chain; Chevron / Zig Zag; Clear; Drunkard's Path; Moroccan; Oriental; Block Print; Arc; Vintage Look; Does Not Apply"/>
    <hyperlink ref="KK7" location="#vvh_4591_fp_S_class_6161" display="Please choose one or more from the following, using a semicolon (;) to separate each value: Drop; Random; Straight; Does Not Apply; Unavailable"/>
    <hyperlink ref="KL7" location="#vvh_3921_fp_S_class_6161" display="Select"/>
    <hyperlink ref="KM7" location="#vvh_2358_fp_S_class_6161" display="Please choose one or more from the following, using a semicolon (;) to separate each value: Achille Castiglioni; Alfredo Llorens; Becky Bailey; Badeloft; Alain Van Havre; Bannoura; Ann Gish; Ambesonne; Alberto Tabellini &amp; David Reiss; Andres Martinez; Allison Paladino; AERIN; Alexa Hampton; Antonio Citterio; BergHOFF; Ardmore; Arnold Krog; Bruno Marashlian; Carol Benson-Cobb; Campania International; Debra Ann of Atomic Mobiles; ARTCANVAS; Karen Didion; Maceteros; Rosiland Solomon; Ysnay; Ashley Norton; University frames; Ashley Helms; B2U; Artwall; Aviva Stanoff; ArtVerse; Artorang; ACROMA; Barrow Industries; Barclay Butera; Aqua Gallery; Barrow Fabric; Barbara Barry; Aston; Barry Goralnick; Barbara and James Restin; Arshs Fine Rugs; Brightech; C.L.L Collections; Bunny Williams; Busalt Design; Candice Olson; Betsy Drake Interiors; Bhawna's Fusion; Capital Lighting Fixture Co.; Booth &amp; Williams; Berbermade; Caroline's Treasures; Christian Lacroix; Chic Teak; Chapman &amp; Myers; ChiChi Decor; Celerie Kemble; ChildBeWild; Casa Fine Arts; Bespoky Rugs; Dawn Sweitzer; Dana Gibson; David Chipperfield; Darren Gygi; Creative Matters Inc.; Dana McMillan; Danielle Davis; David Phoenix; Christopher Fareed; E by Design; COXBRIGHT; Coe Steinwart; DreamLine; Daphne Polselli; Diane Beesley; Denny Knight; Diane Keaton; echo; Ebros Gift; EGLO; Duravit; Eleonora Ferragatta; E. F. Chapman; Elaine Smith; East West Furniture; iCanvas; Empava; Ernest Massuet; James Restin; Enrico Lavazzi; Ella's Bubbles; Emissary; Jaime Hayon; Evergreen; Jean-Marie Massaud; J Paul; Jennifer Hollack Raboin; Javier Mariscal; Jasper Morrison; James Brooksberry; Jamie Graney; J. Kent Martin; Jonathan Adler; Jennifer Ridel; Jose Javier Malavia; John Beard; JMV; Jordan Glassco Smith; Europatex; Jorge Pensi; Jose Luis Santes; John Strauss/Carisa Marie; Jose Maria Reina; Ettore Sottsass; Enrico Cosi &amp; Sergio Tabellini; Eugeni Quitllet; Jose Santaeulalia; Jessica Hollander; JoyJolt; Jim and Phoebe Howard; Julia Knight; Kelly Wearstler; Laura Park; Kurt Merki Jr.; Karin Reiter; Karo Martirosyan"/>
    <hyperlink ref="KN7" location="#vvh_1437_fp_S_class_6161" display="Please choose one or more from the following, using a semicolon (;) to separate each value: Mold / Mildew Resistant; Water Resistant; No Durability Features; Drip Free; Fade Resistant; Heat Resistant; Stain Resistant; Reinforced; Non-Porous; Fray Resistant; Non-Staining"/>
    <hyperlink ref="KO7" location="#vvh_1557_fp_S_class_6161" display="Please choose one or more from the following, using a semicolon (;) to separate each value: Newborn (Birth - 6 months old); Infant (6 - 12 Months); Toddler (1 - 3 Years); Pre-school (3 - 5 Years); Youth (5 - 8 Years); Pre-teen (9 - 12 Years); Teen (13+); Adult (18+); All Ages; Adult; Baby; Kid; Teen; Toddler"/>
    <hyperlink ref="KP7" location="#vvh_27_fp_S_class_6161" display="Please choose one or more from the following, using a semicolon (;) to separate each value: Non Residential Use; Residential Use"/>
    <hyperlink ref="KQ7" location="#vvh_1436_fp_S_class_6161" display="Please choose one or more from the following, using a semicolon (;) to separate each value: Wipe down with mild soap and water; Use product specific cleaner; Wipe clean with a dry cloth; Dust mop; Hand wash recommended; Spot clean only; Clean with soap and water; Clean spills immediately; Non-Abrasive, Neutral Ph Cleaner; Vacuum with no beater bar/rotating brush; Professional / Dry Clean Recommended; Vacuum with upholstery attachment; Avoid use of abrasive cleaners; Do not wash; Spot clean; Wipe with wet cloth; Spot clean with water; No washing / drying care; Do not bleach; Vacuum; Avoid direct sunlight; Clean with cloth, mild soap, and warm water; Spot clean with mild detergent; Spot clean as needed; Do not use any cleaning agents; Use dry, solvent-based cleaner; Wipe with cloth; Wipe Clean Only; Wipe clean with a damp cloth; Does Not Apply"/>
    <hyperlink ref="KR7" location="#vvh_95_fp_S_class_6161" display="Please choose one or more from the following, using a semicolon (;) to separate each value: Made in USA; Made in USA of Imported Materials; Product of Canada; Made In Canada; Does Not Apply"/>
    <hyperlink ref="KY7" location="#vvh_135_fp_S_class_6161" display="Select"/>
    <hyperlink ref="KZ7" location="#vvh_256_fp_S_class_6161" display="Select"/>
    <hyperlink ref="LA7" location="#vvh_31_fp_S_class_6161" display="Select"/>
  </hyperlink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sheetPr>
    <outlinePr summaryRight="0"/>
  </sheetPr>
  <dimension ref="A1:LC9"/>
  <sheetViews>
    <sheetView workbookViewId="0">
      <pane xSplit="2" topLeftCell="C1" activePane="topRight" state="frozen"/>
      <selection pane="topRight"/>
    </sheetView>
  </sheetViews>
  <sheetFormatPr defaultRowHeight="15" outlineLevelCol="7"/>
  <cols>
    <col min="1" max="1" width="35.7109375" customWidth="1"/>
    <col min="2" max="2" width="25.7109375" style="22" customWidth="1"/>
    <col min="3" max="3" width="29.7109375" style="22" customWidth="1"/>
    <col min="4" max="4" width="27.7109375" style="22" customWidth="1"/>
    <col min="5" max="5" width="17.7109375" style="22" customWidth="1"/>
    <col min="6" max="6" width="10.7109375" style="22" customWidth="1"/>
    <col min="7" max="7" width="20.7109375" style="22" customWidth="1"/>
    <col min="8" max="8" width="17.7109375" style="22" customWidth="1"/>
    <col min="9" max="10" width="23.7109375" style="22" customWidth="1"/>
    <col min="11" max="11" width="37.7109375" style="22" customWidth="1" collapsed="1"/>
    <col min="12" max="12" width="23.7109375" style="22" hidden="1" customWidth="1" outlineLevel="1"/>
    <col min="13" max="13" width="37.7109375" style="22" hidden="1" customWidth="1" outlineLevel="1"/>
    <col min="14" max="14" width="23.7109375" style="22" hidden="1" customWidth="1" outlineLevel="1"/>
    <col min="15" max="15" width="37.7109375" style="22" hidden="1" customWidth="1" outlineLevel="1"/>
    <col min="16" max="16" width="14.7109375" style="22" customWidth="1"/>
    <col min="17" max="17" width="31.7109375" style="22" customWidth="1"/>
    <col min="18" max="18" width="29.7109375" style="22" customWidth="1"/>
    <col min="19" max="19" width="40.7109375" style="22" customWidth="1"/>
    <col min="20" max="20" width="19.7109375" style="22" customWidth="1"/>
    <col min="21" max="22" width="21.7109375" style="22" customWidth="1"/>
    <col min="23" max="23" width="21.7109375" style="22" customWidth="1" collapsed="1"/>
    <col min="24" max="27" width="21.7109375" style="22" hidden="1" customWidth="1" outlineLevel="1"/>
    <col min="28" max="28" width="21.7109375" style="22" hidden="1" customWidth="1" outlineLevel="1" collapsed="1"/>
    <col min="29" max="29" width="22.7109375" style="22" customWidth="1"/>
    <col min="30" max="30" width="27.7109375" style="22" customWidth="1"/>
    <col min="31" max="31" width="30.7109375" style="22" customWidth="1"/>
    <col min="32" max="32" width="25.7109375" style="22" customWidth="1"/>
    <col min="33" max="33" width="19.7109375" style="22" customWidth="1"/>
    <col min="34" max="34" width="14.7109375" style="22" customWidth="1"/>
    <col min="35" max="35" width="18.7109375" style="22" customWidth="1"/>
    <col min="36" max="36" width="14.7109375" style="22" customWidth="1"/>
    <col min="37" max="37" width="26.7109375" style="22" customWidth="1"/>
    <col min="38" max="38" width="33.7109375" style="22" customWidth="1"/>
    <col min="39" max="39" width="14.7109375" style="22" customWidth="1"/>
    <col min="40" max="42" width="20.7109375" style="22" customWidth="1"/>
    <col min="43" max="44" width="19.7109375" style="22" customWidth="1"/>
    <col min="45" max="46" width="20.7109375" style="22" customWidth="1"/>
    <col min="47" max="48" width="19.7109375" style="22" customWidth="1"/>
    <col min="49" max="50" width="20.7109375" style="22" customWidth="1"/>
    <col min="51" max="51" width="19.7109375" style="22" customWidth="1"/>
    <col min="52" max="52" width="19.7109375" style="22" customWidth="1" collapsed="1"/>
    <col min="53" max="54" width="20.7109375" style="22" hidden="1" customWidth="1" outlineLevel="1"/>
    <col min="55" max="56" width="19.7109375" style="22" hidden="1" customWidth="1" outlineLevel="1"/>
    <col min="57" max="58" width="20.7109375" style="22" hidden="1" customWidth="1" outlineLevel="1"/>
    <col min="59" max="60" width="19.7109375" style="22" hidden="1" customWidth="1" outlineLevel="1"/>
    <col min="61" max="62" width="20.7109375" style="22" hidden="1" customWidth="1" outlineLevel="1"/>
    <col min="63" max="64" width="19.7109375" style="22" hidden="1" customWidth="1" outlineLevel="1"/>
    <col min="65" max="66" width="20.7109375" style="22" hidden="1" customWidth="1" outlineLevel="1"/>
    <col min="67" max="68" width="19.7109375" style="22" hidden="1" customWidth="1" outlineLevel="1"/>
    <col min="69" max="70" width="20.7109375" style="22" hidden="1" customWidth="1" outlineLevel="1"/>
    <col min="71" max="71" width="19.7109375" style="22" hidden="1" customWidth="1" outlineLevel="1"/>
    <col min="72" max="72" width="19.7109375" style="22" hidden="1" customWidth="1" outlineLevel="1" collapsed="1"/>
    <col min="73" max="74" width="20.7109375" style="22" hidden="1" customWidth="1" outlineLevel="2"/>
    <col min="75" max="76" width="19.7109375" style="22" hidden="1" customWidth="1" outlineLevel="2"/>
    <col min="77" max="78" width="21.7109375" style="22" hidden="1" customWidth="1" outlineLevel="2"/>
    <col min="79" max="80" width="20.7109375" style="22" hidden="1" customWidth="1" outlineLevel="2"/>
    <col min="81" max="82" width="21.7109375" style="22" hidden="1" customWidth="1" outlineLevel="2"/>
    <col min="83" max="84" width="20.7109375" style="22" hidden="1" customWidth="1" outlineLevel="2"/>
    <col min="85" max="86" width="21.7109375" style="22" hidden="1" customWidth="1" outlineLevel="2"/>
    <col min="87" max="88" width="20.7109375" style="22" hidden="1" customWidth="1" outlineLevel="2"/>
    <col min="89" max="90" width="21.7109375" style="22" hidden="1" customWidth="1" outlineLevel="2"/>
    <col min="91" max="91" width="20.7109375" style="22" hidden="1" customWidth="1" outlineLevel="2"/>
    <col min="92" max="92" width="20.7109375" style="22" hidden="1" customWidth="1" outlineLevel="2" collapsed="1"/>
    <col min="93" max="94" width="21.7109375" style="22" hidden="1" customWidth="1" outlineLevel="3"/>
    <col min="95" max="96" width="20.7109375" style="22" hidden="1" customWidth="1" outlineLevel="3"/>
    <col min="97" max="98" width="21.7109375" style="22" hidden="1" customWidth="1" outlineLevel="3"/>
    <col min="99" max="100" width="20.7109375" style="22" hidden="1" customWidth="1" outlineLevel="3"/>
    <col min="101" max="102" width="21.7109375" style="22" hidden="1" customWidth="1" outlineLevel="3"/>
    <col min="103" max="104" width="20.7109375" style="22" hidden="1" customWidth="1" outlineLevel="3"/>
    <col min="105" max="106" width="21.7109375" style="22" hidden="1" customWidth="1" outlineLevel="3"/>
    <col min="107" max="108" width="20.7109375" style="22" hidden="1" customWidth="1" outlineLevel="3"/>
    <col min="109" max="110" width="21.7109375" style="22" hidden="1" customWidth="1" outlineLevel="3"/>
    <col min="111" max="111" width="20.7109375" style="22" hidden="1" customWidth="1" outlineLevel="3"/>
    <col min="112" max="112" width="20.7109375" style="22" hidden="1" customWidth="1" outlineLevel="3" collapsed="1"/>
    <col min="113" max="114" width="21.7109375" style="22" hidden="1" customWidth="1" outlineLevel="4"/>
    <col min="115" max="116" width="20.7109375" style="22" hidden="1" customWidth="1" outlineLevel="4"/>
    <col min="117" max="118" width="21.7109375" style="22" hidden="1" customWidth="1" outlineLevel="4"/>
    <col min="119" max="120" width="20.7109375" style="22" hidden="1" customWidth="1" outlineLevel="4"/>
    <col min="121" max="122" width="21.7109375" style="22" hidden="1" customWidth="1" outlineLevel="4"/>
    <col min="123" max="124" width="20.7109375" style="22" hidden="1" customWidth="1" outlineLevel="4"/>
    <col min="125" max="126" width="21.7109375" style="22" hidden="1" customWidth="1" outlineLevel="4"/>
    <col min="127" max="128" width="20.7109375" style="22" hidden="1" customWidth="1" outlineLevel="4"/>
    <col min="129" max="130" width="21.7109375" style="22" hidden="1" customWidth="1" outlineLevel="4"/>
    <col min="131" max="131" width="20.7109375" style="22" hidden="1" customWidth="1" outlineLevel="4"/>
    <col min="132" max="132" width="20.7109375" style="22" hidden="1" customWidth="1" outlineLevel="4" collapsed="1"/>
    <col min="133" max="134" width="21.7109375" style="22" hidden="1" customWidth="1" outlineLevel="5"/>
    <col min="135" max="136" width="20.7109375" style="22" hidden="1" customWidth="1" outlineLevel="5"/>
    <col min="137" max="138" width="21.7109375" style="22" hidden="1" customWidth="1" outlineLevel="5"/>
    <col min="139" max="140" width="20.7109375" style="22" hidden="1" customWidth="1" outlineLevel="5"/>
    <col min="141" max="142" width="21.7109375" style="22" hidden="1" customWidth="1" outlineLevel="5"/>
    <col min="143" max="144" width="20.7109375" style="22" hidden="1" customWidth="1" outlineLevel="5"/>
    <col min="145" max="146" width="21.7109375" style="22" hidden="1" customWidth="1" outlineLevel="5"/>
    <col min="147" max="148" width="20.7109375" style="22" hidden="1" customWidth="1" outlineLevel="5"/>
    <col min="149" max="150" width="21.7109375" style="22" hidden="1" customWidth="1" outlineLevel="5"/>
    <col min="151" max="151" width="20.7109375" style="22" hidden="1" customWidth="1" outlineLevel="5"/>
    <col min="152" max="152" width="20.7109375" style="22" hidden="1" customWidth="1" outlineLevel="5" collapsed="1"/>
    <col min="153" max="154" width="21.7109375" style="22" hidden="1" customWidth="1" outlineLevel="6"/>
    <col min="155" max="156" width="20.7109375" style="22" hidden="1" customWidth="1" outlineLevel="6"/>
    <col min="157" max="158" width="21.7109375" style="22" hidden="1" customWidth="1" outlineLevel="6"/>
    <col min="159" max="160" width="20.7109375" style="22" hidden="1" customWidth="1" outlineLevel="6"/>
    <col min="161" max="162" width="21.7109375" style="22" hidden="1" customWidth="1" outlineLevel="6"/>
    <col min="163" max="164" width="20.7109375" style="22" hidden="1" customWidth="1" outlineLevel="6"/>
    <col min="165" max="166" width="21.7109375" style="22" hidden="1" customWidth="1" outlineLevel="6"/>
    <col min="167" max="168" width="20.7109375" style="22" hidden="1" customWidth="1" outlineLevel="6"/>
    <col min="169" max="170" width="21.7109375" style="22" hidden="1" customWidth="1" outlineLevel="6"/>
    <col min="171" max="171" width="20.7109375" style="22" hidden="1" customWidth="1" outlineLevel="6"/>
    <col min="172" max="172" width="20.7109375" style="22" hidden="1" customWidth="1" outlineLevel="6" collapsed="1"/>
    <col min="173" max="174" width="21.7109375" style="22" hidden="1" customWidth="1" outlineLevel="7"/>
    <col min="175" max="176" width="20.7109375" style="22" hidden="1" customWidth="1" outlineLevel="7"/>
    <col min="177" max="178" width="21.7109375" style="22" hidden="1" customWidth="1" outlineLevel="7"/>
    <col min="179" max="180" width="20.7109375" style="22" hidden="1" customWidth="1" outlineLevel="7"/>
    <col min="181" max="182" width="21.7109375" style="22" hidden="1" customWidth="1" outlineLevel="7"/>
    <col min="183" max="184" width="20.7109375" style="22" hidden="1" customWidth="1" outlineLevel="7"/>
    <col min="185" max="186" width="21.7109375" style="22" hidden="1" customWidth="1" outlineLevel="7"/>
    <col min="187" max="188" width="20.7109375" style="22" hidden="1" customWidth="1" outlineLevel="7"/>
    <col min="189" max="190" width="21.7109375" style="22" hidden="1" customWidth="1" outlineLevel="7"/>
    <col min="191" max="191" width="20.7109375" style="22" hidden="1" customWidth="1" outlineLevel="7"/>
    <col min="192" max="192" width="20.7109375" style="22" hidden="1" customWidth="1" outlineLevel="7" collapsed="1"/>
    <col min="193" max="194" width="21.7109375" style="22" hidden="1" customWidth="1" outlineLevel="7"/>
    <col min="195" max="196" width="20.7109375" style="22" hidden="1" customWidth="1" outlineLevel="7"/>
    <col min="197" max="198" width="21.7109375" style="22" hidden="1" customWidth="1" outlineLevel="7"/>
    <col min="199" max="200" width="20.7109375" style="22" hidden="1" customWidth="1" outlineLevel="7"/>
    <col min="201" max="201" width="22.7109375" style="22" customWidth="1"/>
    <col min="202" max="202" width="21.7109375" style="22" customWidth="1"/>
    <col min="203" max="203" width="15.7109375" style="22" customWidth="1"/>
    <col min="204" max="204" width="15.7109375" style="22" customWidth="1" collapsed="1"/>
    <col min="205" max="212" width="15.7109375" style="22" hidden="1" customWidth="1" outlineLevel="1"/>
    <col min="213" max="217" width="29.7109375" style="22" customWidth="1"/>
    <col min="218" max="218" width="29.7109375" style="22" customWidth="1" collapsed="1"/>
    <col min="219" max="221" width="29.7109375" style="22" hidden="1" customWidth="1" outlineLevel="1"/>
    <col min="222" max="222" width="30.7109375" style="22" hidden="1" customWidth="1" outlineLevel="1"/>
    <col min="223" max="223" width="30.7109375" style="22" hidden="1" customWidth="1" outlineLevel="1" collapsed="1"/>
    <col min="224" max="227" width="30.7109375" style="22" hidden="1" customWidth="1" outlineLevel="2"/>
    <col min="228" max="228" width="30.7109375" style="22" hidden="1" customWidth="1" outlineLevel="2" collapsed="1"/>
    <col min="229" max="232" width="30.7109375" style="22" hidden="1" customWidth="1" outlineLevel="3"/>
    <col min="233" max="233" width="30.7109375" style="22" hidden="1" customWidth="1" outlineLevel="3" collapsed="1"/>
    <col min="234" max="237" width="30.7109375" style="22" hidden="1" customWidth="1" outlineLevel="4"/>
    <col min="238" max="238" width="30.7109375" style="22" hidden="1" customWidth="1" outlineLevel="4" collapsed="1"/>
    <col min="239" max="242" width="30.7109375" style="22" hidden="1" customWidth="1" outlineLevel="5"/>
    <col min="243" max="243" width="29.7109375" style="22" customWidth="1" collapsed="1"/>
    <col min="244" max="244" width="29.7109375" style="22" hidden="1" customWidth="1" outlineLevel="1"/>
    <col min="245" max="245" width="32.7109375" style="22" customWidth="1"/>
    <col min="246" max="246" width="20.7109375" style="22" customWidth="1"/>
    <col min="247" max="247" width="26.7109375" style="22" customWidth="1"/>
    <col min="248" max="248" width="22.7109375" style="22" customWidth="1" collapsed="1"/>
    <col min="249" max="249" width="32.7109375" style="22" hidden="1" customWidth="1" outlineLevel="1"/>
    <col min="250" max="250" width="20.7109375" style="22" hidden="1" customWidth="1" outlineLevel="1"/>
    <col min="251" max="251" width="26.7109375" style="22" hidden="1" customWidth="1" outlineLevel="1"/>
    <col min="252" max="252" width="22.7109375" style="22" hidden="1" customWidth="1" outlineLevel="1"/>
    <col min="253" max="253" width="32.7109375" style="22" hidden="1" customWidth="1" outlineLevel="1"/>
    <col min="254" max="254" width="20.7109375" style="22" hidden="1" customWidth="1" outlineLevel="1"/>
    <col min="255" max="255" width="26.7109375" style="22" hidden="1" customWidth="1" outlineLevel="1"/>
    <col min="256" max="256" width="22.7109375" style="22" hidden="1" customWidth="1" outlineLevel="1"/>
    <col min="257" max="257" width="32.7109375" style="22" hidden="1" customWidth="1" outlineLevel="1"/>
    <col min="258" max="258" width="20.7109375" style="22" hidden="1" customWidth="1" outlineLevel="1"/>
    <col min="259" max="259" width="26.7109375" style="22" hidden="1" customWidth="1" outlineLevel="1"/>
    <col min="260" max="260" width="22.7109375" style="22" hidden="1" customWidth="1" outlineLevel="1"/>
    <col min="261" max="261" width="32.7109375" style="22" hidden="1" customWidth="1" outlineLevel="1"/>
    <col min="262" max="262" width="20.7109375" style="22" hidden="1" customWidth="1" outlineLevel="1"/>
    <col min="263" max="263" width="26.7109375" style="22" hidden="1" customWidth="1" outlineLevel="1"/>
    <col min="264" max="264" width="22.7109375" style="22" hidden="1" customWidth="1" outlineLevel="1"/>
    <col min="265" max="265" width="32.7109375" style="22" hidden="1" customWidth="1" outlineLevel="1"/>
    <col min="266" max="266" width="20.7109375" style="22" hidden="1" customWidth="1" outlineLevel="1"/>
    <col min="267" max="267" width="26.7109375" style="22" hidden="1" customWidth="1" outlineLevel="1"/>
    <col min="268" max="268" width="22.7109375" style="22" hidden="1" customWidth="1" outlineLevel="1" collapsed="1"/>
    <col min="269" max="269" width="32.7109375" style="22" hidden="1" customWidth="1" outlineLevel="2"/>
    <col min="270" max="270" width="20.7109375" style="22" hidden="1" customWidth="1" outlineLevel="2"/>
    <col min="271" max="271" width="26.7109375" style="22" hidden="1" customWidth="1" outlineLevel="2"/>
    <col min="272" max="272" width="22.7109375" style="22" hidden="1" customWidth="1" outlineLevel="2"/>
    <col min="273" max="273" width="32.7109375" style="22" hidden="1" customWidth="1" outlineLevel="2"/>
    <col min="274" max="274" width="20.7109375" style="22" hidden="1" customWidth="1" outlineLevel="2"/>
    <col min="275" max="275" width="26.7109375" style="22" hidden="1" customWidth="1" outlineLevel="2"/>
    <col min="276" max="276" width="22.7109375" style="22" hidden="1" customWidth="1" outlineLevel="2"/>
    <col min="277" max="277" width="32.7109375" style="22" hidden="1" customWidth="1" outlineLevel="2"/>
    <col min="278" max="278" width="20.7109375" style="22" hidden="1" customWidth="1" outlineLevel="2"/>
    <col min="279" max="279" width="26.7109375" style="22" hidden="1" customWidth="1" outlineLevel="2"/>
    <col min="280" max="280" width="22.7109375" style="22" hidden="1" customWidth="1" outlineLevel="2"/>
    <col min="281" max="281" width="33.7109375" style="22" hidden="1" customWidth="1" outlineLevel="2"/>
    <col min="282" max="282" width="21.7109375" style="22" hidden="1" customWidth="1" outlineLevel="2"/>
    <col min="283" max="283" width="27.7109375" style="22" hidden="1" customWidth="1" outlineLevel="2"/>
    <col min="284" max="284" width="23.7109375" style="22" hidden="1" customWidth="1" outlineLevel="2"/>
    <col min="285" max="285" width="17.7109375" style="22" customWidth="1"/>
    <col min="286" max="286" width="21.7109375" style="22" customWidth="1"/>
    <col min="287" max="287" width="17.7109375" style="22" customWidth="1"/>
    <col min="288" max="288" width="13.7109375" style="22" customWidth="1"/>
    <col min="289" max="289" width="11.7109375" style="22" customWidth="1"/>
    <col min="290" max="290" width="10.7109375" style="22" customWidth="1"/>
    <col min="291" max="291" width="21.7109375" style="22" customWidth="1"/>
    <col min="292" max="292" width="29.7109375" style="22" customWidth="1"/>
    <col min="293" max="293" width="21.7109375" style="22" customWidth="1"/>
    <col min="294" max="294" width="12.7109375" style="22" customWidth="1"/>
    <col min="295" max="295" width="21.7109375" style="22" customWidth="1"/>
    <col min="296" max="296" width="29.7109375" style="22" customWidth="1"/>
    <col min="297" max="297" width="15.7109375" style="22" customWidth="1"/>
    <col min="298" max="298" width="22.7109375" style="22" customWidth="1"/>
    <col min="299" max="299" width="13.7109375" style="22" customWidth="1"/>
    <col min="300" max="300" width="15.7109375" style="22" customWidth="1"/>
    <col min="301" max="301" width="14.7109375" style="22" customWidth="1"/>
    <col min="302" max="302" width="39.7109375" style="22" customWidth="1"/>
    <col min="303" max="303" width="17.7109375" style="22" customWidth="1"/>
    <col min="304" max="304" width="43.7109375" style="22" customWidth="1"/>
    <col min="305" max="305" width="13.7109375" style="22" customWidth="1"/>
    <col min="306" max="306" width="40.7109375" style="22" customWidth="1"/>
    <col min="307" max="307" width="33.7109375" style="22" customWidth="1"/>
    <col min="308" max="308" width="28.7109375" style="22" customWidth="1"/>
    <col min="309" max="309" width="27.7109375" style="22" customWidth="1"/>
    <col min="310" max="310" width="24.7109375" style="22" customWidth="1"/>
    <col min="311" max="311" width="31.7109375" style="22" customWidth="1"/>
    <col min="312" max="312" width="107.7109375" style="22" customWidth="1"/>
    <col min="313" max="313" width="64.7109375" style="22" customWidth="1"/>
    <col min="314" max="314" width="31.7109375" style="22" customWidth="1"/>
    <col min="315" max="315" width="79.7109375" style="22" customWidth="1"/>
  </cols>
  <sheetData>
    <row r="1" spans="1:315" hidden="1">
      <c r="B1" s="22" t="s">
        <v>100</v>
      </c>
      <c r="C1" s="22" t="s">
        <v>101</v>
      </c>
      <c r="D1" s="22" t="s">
        <v>102</v>
      </c>
      <c r="E1" s="22" t="s">
        <v>103</v>
      </c>
      <c r="F1" s="22" t="s">
        <v>104</v>
      </c>
      <c r="G1" s="22" t="s">
        <v>105</v>
      </c>
      <c r="H1" s="22" t="s">
        <v>106</v>
      </c>
      <c r="I1" s="22" t="s">
        <v>107</v>
      </c>
      <c r="J1" s="22" t="s">
        <v>108</v>
      </c>
      <c r="K1" s="22" t="s">
        <v>109</v>
      </c>
      <c r="L1" s="22" t="s">
        <v>108</v>
      </c>
      <c r="M1" s="22" t="s">
        <v>109</v>
      </c>
      <c r="N1" s="22" t="s">
        <v>108</v>
      </c>
      <c r="O1" s="22" t="s">
        <v>109</v>
      </c>
      <c r="P1" s="22" t="s">
        <v>110</v>
      </c>
      <c r="Q1" s="22" t="s">
        <v>111</v>
      </c>
      <c r="R1" s="22" t="s">
        <v>112</v>
      </c>
      <c r="S1" s="22" t="s">
        <v>113</v>
      </c>
      <c r="T1" s="22" t="s">
        <v>114</v>
      </c>
      <c r="U1" s="22" t="s">
        <v>115</v>
      </c>
      <c r="V1" s="22" t="s">
        <v>115</v>
      </c>
      <c r="W1" s="22" t="s">
        <v>115</v>
      </c>
      <c r="X1" s="22" t="s">
        <v>115</v>
      </c>
      <c r="Y1" s="22" t="s">
        <v>115</v>
      </c>
      <c r="Z1" s="22" t="s">
        <v>115</v>
      </c>
      <c r="AA1" s="22" t="s">
        <v>115</v>
      </c>
      <c r="AB1" s="22" t="s">
        <v>115</v>
      </c>
      <c r="AC1" s="22" t="s">
        <v>116</v>
      </c>
      <c r="AD1" s="22" t="s">
        <v>117</v>
      </c>
      <c r="AE1" s="22" t="s">
        <v>118</v>
      </c>
      <c r="AF1" s="22" t="s">
        <v>119</v>
      </c>
      <c r="AG1" s="22" t="s">
        <v>120</v>
      </c>
      <c r="AH1" s="22" t="s">
        <v>121</v>
      </c>
      <c r="AI1" s="22" t="s">
        <v>122</v>
      </c>
      <c r="AJ1" s="22" t="s">
        <v>123</v>
      </c>
      <c r="AK1" s="22" t="s">
        <v>124</v>
      </c>
      <c r="AL1" s="22" t="s">
        <v>125</v>
      </c>
      <c r="AM1" s="22" t="s">
        <v>126</v>
      </c>
      <c r="AN1" s="22" t="s">
        <v>127</v>
      </c>
      <c r="AO1" s="22" t="s">
        <v>128</v>
      </c>
      <c r="AP1" s="22" t="s">
        <v>129</v>
      </c>
      <c r="AQ1" s="22" t="s">
        <v>130</v>
      </c>
      <c r="AR1" s="22" t="s">
        <v>131</v>
      </c>
      <c r="AS1" s="22" t="s">
        <v>128</v>
      </c>
      <c r="AT1" s="22" t="s">
        <v>129</v>
      </c>
      <c r="AU1" s="22" t="s">
        <v>130</v>
      </c>
      <c r="AV1" s="22" t="s">
        <v>131</v>
      </c>
      <c r="AW1" s="22" t="s">
        <v>128</v>
      </c>
      <c r="AX1" s="22" t="s">
        <v>129</v>
      </c>
      <c r="AY1" s="22" t="s">
        <v>130</v>
      </c>
      <c r="AZ1" s="22" t="s">
        <v>131</v>
      </c>
      <c r="BA1" s="22" t="s">
        <v>128</v>
      </c>
      <c r="BB1" s="22" t="s">
        <v>129</v>
      </c>
      <c r="BC1" s="22" t="s">
        <v>130</v>
      </c>
      <c r="BD1" s="22" t="s">
        <v>131</v>
      </c>
      <c r="BE1" s="22" t="s">
        <v>128</v>
      </c>
      <c r="BF1" s="22" t="s">
        <v>129</v>
      </c>
      <c r="BG1" s="22" t="s">
        <v>130</v>
      </c>
      <c r="BH1" s="22" t="s">
        <v>131</v>
      </c>
      <c r="BI1" s="22" t="s">
        <v>128</v>
      </c>
      <c r="BJ1" s="22" t="s">
        <v>129</v>
      </c>
      <c r="BK1" s="22" t="s">
        <v>130</v>
      </c>
      <c r="BL1" s="22" t="s">
        <v>131</v>
      </c>
      <c r="BM1" s="22" t="s">
        <v>128</v>
      </c>
      <c r="BN1" s="22" t="s">
        <v>129</v>
      </c>
      <c r="BO1" s="22" t="s">
        <v>130</v>
      </c>
      <c r="BP1" s="22" t="s">
        <v>131</v>
      </c>
      <c r="BQ1" s="22" t="s">
        <v>128</v>
      </c>
      <c r="BR1" s="22" t="s">
        <v>129</v>
      </c>
      <c r="BS1" s="22" t="s">
        <v>130</v>
      </c>
      <c r="BT1" s="22" t="s">
        <v>131</v>
      </c>
      <c r="BU1" s="22" t="s">
        <v>128</v>
      </c>
      <c r="BV1" s="22" t="s">
        <v>129</v>
      </c>
      <c r="BW1" s="22" t="s">
        <v>130</v>
      </c>
      <c r="BX1" s="22" t="s">
        <v>131</v>
      </c>
      <c r="BY1" s="22" t="s">
        <v>128</v>
      </c>
      <c r="BZ1" s="22" t="s">
        <v>129</v>
      </c>
      <c r="CA1" s="22" t="s">
        <v>130</v>
      </c>
      <c r="CB1" s="22" t="s">
        <v>131</v>
      </c>
      <c r="CC1" s="22" t="s">
        <v>128</v>
      </c>
      <c r="CD1" s="22" t="s">
        <v>129</v>
      </c>
      <c r="CE1" s="22" t="s">
        <v>130</v>
      </c>
      <c r="CF1" s="22" t="s">
        <v>131</v>
      </c>
      <c r="CG1" s="22" t="s">
        <v>128</v>
      </c>
      <c r="CH1" s="22" t="s">
        <v>129</v>
      </c>
      <c r="CI1" s="22" t="s">
        <v>130</v>
      </c>
      <c r="CJ1" s="22" t="s">
        <v>131</v>
      </c>
      <c r="CK1" s="22" t="s">
        <v>128</v>
      </c>
      <c r="CL1" s="22" t="s">
        <v>129</v>
      </c>
      <c r="CM1" s="22" t="s">
        <v>130</v>
      </c>
      <c r="CN1" s="22" t="s">
        <v>131</v>
      </c>
      <c r="CO1" s="22" t="s">
        <v>128</v>
      </c>
      <c r="CP1" s="22" t="s">
        <v>129</v>
      </c>
      <c r="CQ1" s="22" t="s">
        <v>130</v>
      </c>
      <c r="CR1" s="22" t="s">
        <v>131</v>
      </c>
      <c r="CS1" s="22" t="s">
        <v>128</v>
      </c>
      <c r="CT1" s="22" t="s">
        <v>129</v>
      </c>
      <c r="CU1" s="22" t="s">
        <v>130</v>
      </c>
      <c r="CV1" s="22" t="s">
        <v>131</v>
      </c>
      <c r="CW1" s="22" t="s">
        <v>128</v>
      </c>
      <c r="CX1" s="22" t="s">
        <v>129</v>
      </c>
      <c r="CY1" s="22" t="s">
        <v>130</v>
      </c>
      <c r="CZ1" s="22" t="s">
        <v>131</v>
      </c>
      <c r="DA1" s="22" t="s">
        <v>128</v>
      </c>
      <c r="DB1" s="22" t="s">
        <v>129</v>
      </c>
      <c r="DC1" s="22" t="s">
        <v>130</v>
      </c>
      <c r="DD1" s="22" t="s">
        <v>131</v>
      </c>
      <c r="DE1" s="22" t="s">
        <v>128</v>
      </c>
      <c r="DF1" s="22" t="s">
        <v>129</v>
      </c>
      <c r="DG1" s="22" t="s">
        <v>130</v>
      </c>
      <c r="DH1" s="22" t="s">
        <v>131</v>
      </c>
      <c r="DI1" s="22" t="s">
        <v>128</v>
      </c>
      <c r="DJ1" s="22" t="s">
        <v>129</v>
      </c>
      <c r="DK1" s="22" t="s">
        <v>130</v>
      </c>
      <c r="DL1" s="22" t="s">
        <v>131</v>
      </c>
      <c r="DM1" s="22" t="s">
        <v>128</v>
      </c>
      <c r="DN1" s="22" t="s">
        <v>129</v>
      </c>
      <c r="DO1" s="22" t="s">
        <v>130</v>
      </c>
      <c r="DP1" s="22" t="s">
        <v>131</v>
      </c>
      <c r="DQ1" s="22" t="s">
        <v>128</v>
      </c>
      <c r="DR1" s="22" t="s">
        <v>129</v>
      </c>
      <c r="DS1" s="22" t="s">
        <v>130</v>
      </c>
      <c r="DT1" s="22" t="s">
        <v>131</v>
      </c>
      <c r="DU1" s="22" t="s">
        <v>128</v>
      </c>
      <c r="DV1" s="22" t="s">
        <v>129</v>
      </c>
      <c r="DW1" s="22" t="s">
        <v>130</v>
      </c>
      <c r="DX1" s="22" t="s">
        <v>131</v>
      </c>
      <c r="DY1" s="22" t="s">
        <v>128</v>
      </c>
      <c r="DZ1" s="22" t="s">
        <v>129</v>
      </c>
      <c r="EA1" s="22" t="s">
        <v>130</v>
      </c>
      <c r="EB1" s="22" t="s">
        <v>131</v>
      </c>
      <c r="EC1" s="22" t="s">
        <v>128</v>
      </c>
      <c r="ED1" s="22" t="s">
        <v>129</v>
      </c>
      <c r="EE1" s="22" t="s">
        <v>130</v>
      </c>
      <c r="EF1" s="22" t="s">
        <v>131</v>
      </c>
      <c r="EG1" s="22" t="s">
        <v>128</v>
      </c>
      <c r="EH1" s="22" t="s">
        <v>129</v>
      </c>
      <c r="EI1" s="22" t="s">
        <v>130</v>
      </c>
      <c r="EJ1" s="22" t="s">
        <v>131</v>
      </c>
      <c r="EK1" s="22" t="s">
        <v>128</v>
      </c>
      <c r="EL1" s="22" t="s">
        <v>129</v>
      </c>
      <c r="EM1" s="22" t="s">
        <v>130</v>
      </c>
      <c r="EN1" s="22" t="s">
        <v>131</v>
      </c>
      <c r="EO1" s="22" t="s">
        <v>128</v>
      </c>
      <c r="EP1" s="22" t="s">
        <v>129</v>
      </c>
      <c r="EQ1" s="22" t="s">
        <v>130</v>
      </c>
      <c r="ER1" s="22" t="s">
        <v>131</v>
      </c>
      <c r="ES1" s="22" t="s">
        <v>128</v>
      </c>
      <c r="ET1" s="22" t="s">
        <v>129</v>
      </c>
      <c r="EU1" s="22" t="s">
        <v>130</v>
      </c>
      <c r="EV1" s="22" t="s">
        <v>131</v>
      </c>
      <c r="EW1" s="22" t="s">
        <v>128</v>
      </c>
      <c r="EX1" s="22" t="s">
        <v>129</v>
      </c>
      <c r="EY1" s="22" t="s">
        <v>130</v>
      </c>
      <c r="EZ1" s="22" t="s">
        <v>131</v>
      </c>
      <c r="FA1" s="22" t="s">
        <v>128</v>
      </c>
      <c r="FB1" s="22" t="s">
        <v>129</v>
      </c>
      <c r="FC1" s="22" t="s">
        <v>130</v>
      </c>
      <c r="FD1" s="22" t="s">
        <v>131</v>
      </c>
      <c r="FE1" s="22" t="s">
        <v>128</v>
      </c>
      <c r="FF1" s="22" t="s">
        <v>129</v>
      </c>
      <c r="FG1" s="22" t="s">
        <v>130</v>
      </c>
      <c r="FH1" s="22" t="s">
        <v>131</v>
      </c>
      <c r="FI1" s="22" t="s">
        <v>128</v>
      </c>
      <c r="FJ1" s="22" t="s">
        <v>129</v>
      </c>
      <c r="FK1" s="22" t="s">
        <v>130</v>
      </c>
      <c r="FL1" s="22" t="s">
        <v>131</v>
      </c>
      <c r="FM1" s="22" t="s">
        <v>128</v>
      </c>
      <c r="FN1" s="22" t="s">
        <v>129</v>
      </c>
      <c r="FO1" s="22" t="s">
        <v>130</v>
      </c>
      <c r="FP1" s="22" t="s">
        <v>131</v>
      </c>
      <c r="FQ1" s="22" t="s">
        <v>128</v>
      </c>
      <c r="FR1" s="22" t="s">
        <v>129</v>
      </c>
      <c r="FS1" s="22" t="s">
        <v>130</v>
      </c>
      <c r="FT1" s="22" t="s">
        <v>131</v>
      </c>
      <c r="FU1" s="22" t="s">
        <v>128</v>
      </c>
      <c r="FV1" s="22" t="s">
        <v>129</v>
      </c>
      <c r="FW1" s="22" t="s">
        <v>130</v>
      </c>
      <c r="FX1" s="22" t="s">
        <v>131</v>
      </c>
      <c r="FY1" s="22" t="s">
        <v>128</v>
      </c>
      <c r="FZ1" s="22" t="s">
        <v>129</v>
      </c>
      <c r="GA1" s="22" t="s">
        <v>130</v>
      </c>
      <c r="GB1" s="22" t="s">
        <v>131</v>
      </c>
      <c r="GC1" s="22" t="s">
        <v>128</v>
      </c>
      <c r="GD1" s="22" t="s">
        <v>129</v>
      </c>
      <c r="GE1" s="22" t="s">
        <v>130</v>
      </c>
      <c r="GF1" s="22" t="s">
        <v>131</v>
      </c>
      <c r="GG1" s="22" t="s">
        <v>128</v>
      </c>
      <c r="GH1" s="22" t="s">
        <v>129</v>
      </c>
      <c r="GI1" s="22" t="s">
        <v>130</v>
      </c>
      <c r="GJ1" s="22" t="s">
        <v>131</v>
      </c>
      <c r="GK1" s="22" t="s">
        <v>128</v>
      </c>
      <c r="GL1" s="22" t="s">
        <v>129</v>
      </c>
      <c r="GM1" s="22" t="s">
        <v>130</v>
      </c>
      <c r="GN1" s="22" t="s">
        <v>131</v>
      </c>
      <c r="GO1" s="22" t="s">
        <v>128</v>
      </c>
      <c r="GP1" s="22" t="s">
        <v>129</v>
      </c>
      <c r="GQ1" s="22" t="s">
        <v>130</v>
      </c>
      <c r="GR1" s="22" t="s">
        <v>131</v>
      </c>
      <c r="GS1" s="22" t="s">
        <v>132</v>
      </c>
      <c r="GT1" s="22" t="s">
        <v>133</v>
      </c>
      <c r="GU1" s="22" t="s">
        <v>134</v>
      </c>
      <c r="GV1" s="22" t="s">
        <v>135</v>
      </c>
      <c r="GW1" s="22" t="s">
        <v>134</v>
      </c>
      <c r="GX1" s="22" t="s">
        <v>135</v>
      </c>
      <c r="GY1" s="22" t="s">
        <v>134</v>
      </c>
      <c r="GZ1" s="22" t="s">
        <v>135</v>
      </c>
      <c r="HA1" s="22" t="s">
        <v>134</v>
      </c>
      <c r="HB1" s="22" t="s">
        <v>135</v>
      </c>
      <c r="HC1" s="22" t="s">
        <v>134</v>
      </c>
      <c r="HD1" s="22" t="s">
        <v>135</v>
      </c>
      <c r="HE1" s="22" t="s">
        <v>136</v>
      </c>
      <c r="HF1" s="22" t="s">
        <v>136</v>
      </c>
      <c r="HG1" s="22" t="s">
        <v>136</v>
      </c>
      <c r="HH1" s="22" t="s">
        <v>136</v>
      </c>
      <c r="HI1" s="22" t="s">
        <v>136</v>
      </c>
      <c r="HJ1" s="22" t="s">
        <v>136</v>
      </c>
      <c r="HK1" s="22" t="s">
        <v>136</v>
      </c>
      <c r="HL1" s="22" t="s">
        <v>136</v>
      </c>
      <c r="HM1" s="22" t="s">
        <v>136</v>
      </c>
      <c r="HN1" s="22" t="s">
        <v>136</v>
      </c>
      <c r="HO1" s="22" t="s">
        <v>136</v>
      </c>
      <c r="HP1" s="22" t="s">
        <v>136</v>
      </c>
      <c r="HQ1" s="22" t="s">
        <v>136</v>
      </c>
      <c r="HR1" s="22" t="s">
        <v>136</v>
      </c>
      <c r="HS1" s="22" t="s">
        <v>136</v>
      </c>
      <c r="HT1" s="22" t="s">
        <v>136</v>
      </c>
      <c r="HU1" s="22" t="s">
        <v>136</v>
      </c>
      <c r="HV1" s="22" t="s">
        <v>136</v>
      </c>
      <c r="HW1" s="22" t="s">
        <v>136</v>
      </c>
      <c r="HX1" s="22" t="s">
        <v>136</v>
      </c>
      <c r="HY1" s="22" t="s">
        <v>136</v>
      </c>
      <c r="HZ1" s="22" t="s">
        <v>136</v>
      </c>
      <c r="IA1" s="22" t="s">
        <v>136</v>
      </c>
      <c r="IB1" s="22" t="s">
        <v>136</v>
      </c>
      <c r="IC1" s="22" t="s">
        <v>136</v>
      </c>
      <c r="ID1" s="22" t="s">
        <v>136</v>
      </c>
      <c r="IE1" s="22" t="s">
        <v>136</v>
      </c>
      <c r="IF1" s="22" t="s">
        <v>136</v>
      </c>
      <c r="IG1" s="22" t="s">
        <v>136</v>
      </c>
      <c r="IH1" s="22" t="s">
        <v>136</v>
      </c>
      <c r="II1" s="22" t="s">
        <v>137</v>
      </c>
      <c r="IJ1" s="22" t="s">
        <v>137</v>
      </c>
      <c r="IK1" s="22" t="s">
        <v>138</v>
      </c>
      <c r="IL1" s="22" t="s">
        <v>139</v>
      </c>
      <c r="IM1" s="22" t="s">
        <v>140</v>
      </c>
      <c r="IN1" s="22" t="s">
        <v>141</v>
      </c>
      <c r="IO1" s="22" t="s">
        <v>138</v>
      </c>
      <c r="IP1" s="22" t="s">
        <v>139</v>
      </c>
      <c r="IQ1" s="22" t="s">
        <v>140</v>
      </c>
      <c r="IR1" s="22" t="s">
        <v>141</v>
      </c>
      <c r="IS1" s="22" t="s">
        <v>138</v>
      </c>
      <c r="IT1" s="22" t="s">
        <v>139</v>
      </c>
      <c r="IU1" s="22" t="s">
        <v>140</v>
      </c>
      <c r="IV1" s="22" t="s">
        <v>141</v>
      </c>
      <c r="IW1" s="22" t="s">
        <v>138</v>
      </c>
      <c r="IX1" s="22" t="s">
        <v>139</v>
      </c>
      <c r="IY1" s="22" t="s">
        <v>140</v>
      </c>
      <c r="IZ1" s="22" t="s">
        <v>141</v>
      </c>
      <c r="JA1" s="22" t="s">
        <v>138</v>
      </c>
      <c r="JB1" s="22" t="s">
        <v>139</v>
      </c>
      <c r="JC1" s="22" t="s">
        <v>140</v>
      </c>
      <c r="JD1" s="22" t="s">
        <v>141</v>
      </c>
      <c r="JE1" s="22" t="s">
        <v>138</v>
      </c>
      <c r="JF1" s="22" t="s">
        <v>139</v>
      </c>
      <c r="JG1" s="22" t="s">
        <v>140</v>
      </c>
      <c r="JH1" s="22" t="s">
        <v>141</v>
      </c>
      <c r="JI1" s="22" t="s">
        <v>138</v>
      </c>
      <c r="JJ1" s="22" t="s">
        <v>139</v>
      </c>
      <c r="JK1" s="22" t="s">
        <v>140</v>
      </c>
      <c r="JL1" s="22" t="s">
        <v>141</v>
      </c>
      <c r="JM1" s="22" t="s">
        <v>138</v>
      </c>
      <c r="JN1" s="22" t="s">
        <v>139</v>
      </c>
      <c r="JO1" s="22" t="s">
        <v>140</v>
      </c>
      <c r="JP1" s="22" t="s">
        <v>141</v>
      </c>
      <c r="JQ1" s="22" t="s">
        <v>138</v>
      </c>
      <c r="JR1" s="22" t="s">
        <v>139</v>
      </c>
      <c r="JS1" s="22" t="s">
        <v>140</v>
      </c>
      <c r="JT1" s="22" t="s">
        <v>141</v>
      </c>
      <c r="JU1" s="22" t="s">
        <v>138</v>
      </c>
      <c r="JV1" s="22" t="s">
        <v>139</v>
      </c>
      <c r="JW1" s="22" t="s">
        <v>140</v>
      </c>
      <c r="JX1" s="22" t="s">
        <v>141</v>
      </c>
      <c r="JY1" s="22" t="s">
        <v>142</v>
      </c>
      <c r="JZ1" s="22" t="s">
        <v>621</v>
      </c>
      <c r="KA1" s="22" t="s">
        <v>622</v>
      </c>
      <c r="KB1" s="22" t="s">
        <v>145</v>
      </c>
      <c r="KC1" s="22" t="s">
        <v>623</v>
      </c>
      <c r="KD1" s="22" t="s">
        <v>155</v>
      </c>
      <c r="KE1" s="22" t="s">
        <v>159</v>
      </c>
      <c r="KF1" s="22" t="s">
        <v>158</v>
      </c>
      <c r="KG1" s="22" t="s">
        <v>624</v>
      </c>
      <c r="KH1" s="22" t="s">
        <v>625</v>
      </c>
      <c r="KI1" s="22" t="s">
        <v>626</v>
      </c>
      <c r="KJ1" s="22" t="s">
        <v>627</v>
      </c>
      <c r="KK1" s="22" t="s">
        <v>628</v>
      </c>
      <c r="KL1" s="22" t="s">
        <v>629</v>
      </c>
      <c r="KM1" s="22" t="s">
        <v>630</v>
      </c>
      <c r="KN1" s="22" t="s">
        <v>153</v>
      </c>
      <c r="KO1" s="22" t="s">
        <v>160</v>
      </c>
      <c r="KP1" s="22" t="s">
        <v>197</v>
      </c>
      <c r="KQ1" s="22" t="s">
        <v>631</v>
      </c>
      <c r="KR1" s="22" t="s">
        <v>150</v>
      </c>
      <c r="KS1" s="22" t="s">
        <v>151</v>
      </c>
      <c r="KT1" s="22" t="s">
        <v>632</v>
      </c>
      <c r="KU1" s="22" t="s">
        <v>162</v>
      </c>
      <c r="KV1" s="22" t="s">
        <v>633</v>
      </c>
      <c r="KW1" s="22" t="s">
        <v>163</v>
      </c>
      <c r="KX1" s="22" t="s">
        <v>164</v>
      </c>
      <c r="KY1" s="22" t="s">
        <v>165</v>
      </c>
      <c r="KZ1" s="22" t="s">
        <v>166</v>
      </c>
      <c r="LA1" s="22" t="s">
        <v>167</v>
      </c>
      <c r="LB1" s="22" t="s">
        <v>168</v>
      </c>
      <c r="LC1" s="22" t="s">
        <v>170</v>
      </c>
    </row>
    <row r="2" spans="1:315" hidden="1">
      <c r="J2" s="22" t="s">
        <v>171</v>
      </c>
      <c r="K2" s="22" t="s">
        <v>171</v>
      </c>
      <c r="L2" s="22" t="s">
        <v>172</v>
      </c>
      <c r="M2" s="22" t="s">
        <v>172</v>
      </c>
      <c r="N2" s="22" t="s">
        <v>173</v>
      </c>
      <c r="O2" s="22" t="s">
        <v>173</v>
      </c>
      <c r="U2" s="22" t="s">
        <v>171</v>
      </c>
      <c r="V2" s="22" t="s">
        <v>172</v>
      </c>
      <c r="W2" s="22" t="s">
        <v>173</v>
      </c>
      <c r="X2" s="22" t="s">
        <v>174</v>
      </c>
      <c r="Y2" s="22" t="s">
        <v>175</v>
      </c>
      <c r="Z2" s="22" t="s">
        <v>176</v>
      </c>
      <c r="AA2" s="22" t="s">
        <v>177</v>
      </c>
      <c r="AB2" s="22" t="s">
        <v>178</v>
      </c>
      <c r="AO2" s="22" t="s">
        <v>171</v>
      </c>
      <c r="AP2" s="22" t="s">
        <v>171</v>
      </c>
      <c r="AQ2" s="22" t="s">
        <v>171</v>
      </c>
      <c r="AR2" s="22" t="s">
        <v>171</v>
      </c>
      <c r="AS2" s="22" t="s">
        <v>172</v>
      </c>
      <c r="AT2" s="22" t="s">
        <v>172</v>
      </c>
      <c r="AU2" s="22" t="s">
        <v>172</v>
      </c>
      <c r="AV2" s="22" t="s">
        <v>172</v>
      </c>
      <c r="AW2" s="22" t="s">
        <v>173</v>
      </c>
      <c r="AX2" s="22" t="s">
        <v>173</v>
      </c>
      <c r="AY2" s="22" t="s">
        <v>173</v>
      </c>
      <c r="AZ2" s="22" t="s">
        <v>173</v>
      </c>
      <c r="BA2" s="22" t="s">
        <v>174</v>
      </c>
      <c r="BB2" s="22" t="s">
        <v>174</v>
      </c>
      <c r="BC2" s="22" t="s">
        <v>174</v>
      </c>
      <c r="BD2" s="22" t="s">
        <v>174</v>
      </c>
      <c r="BE2" s="22" t="s">
        <v>175</v>
      </c>
      <c r="BF2" s="22" t="s">
        <v>175</v>
      </c>
      <c r="BG2" s="22" t="s">
        <v>175</v>
      </c>
      <c r="BH2" s="22" t="s">
        <v>175</v>
      </c>
      <c r="BI2" s="22" t="s">
        <v>176</v>
      </c>
      <c r="BJ2" s="22" t="s">
        <v>176</v>
      </c>
      <c r="BK2" s="22" t="s">
        <v>176</v>
      </c>
      <c r="BL2" s="22" t="s">
        <v>176</v>
      </c>
      <c r="BM2" s="22" t="s">
        <v>177</v>
      </c>
      <c r="BN2" s="22" t="s">
        <v>177</v>
      </c>
      <c r="BO2" s="22" t="s">
        <v>177</v>
      </c>
      <c r="BP2" s="22" t="s">
        <v>177</v>
      </c>
      <c r="BQ2" s="22" t="s">
        <v>178</v>
      </c>
      <c r="BR2" s="22" t="s">
        <v>178</v>
      </c>
      <c r="BS2" s="22" t="s">
        <v>178</v>
      </c>
      <c r="BT2" s="22" t="s">
        <v>178</v>
      </c>
      <c r="BU2" s="22" t="s">
        <v>179</v>
      </c>
      <c r="BV2" s="22" t="s">
        <v>179</v>
      </c>
      <c r="BW2" s="22" t="s">
        <v>179</v>
      </c>
      <c r="BX2" s="22" t="s">
        <v>179</v>
      </c>
      <c r="BY2" s="22" t="s">
        <v>180</v>
      </c>
      <c r="BZ2" s="22" t="s">
        <v>180</v>
      </c>
      <c r="CA2" s="22" t="s">
        <v>180</v>
      </c>
      <c r="CB2" s="22" t="s">
        <v>180</v>
      </c>
      <c r="CC2" s="22" t="s">
        <v>181</v>
      </c>
      <c r="CD2" s="22" t="s">
        <v>181</v>
      </c>
      <c r="CE2" s="22" t="s">
        <v>181</v>
      </c>
      <c r="CF2" s="22" t="s">
        <v>181</v>
      </c>
      <c r="CG2" s="22" t="s">
        <v>182</v>
      </c>
      <c r="CH2" s="22" t="s">
        <v>182</v>
      </c>
      <c r="CI2" s="22" t="s">
        <v>182</v>
      </c>
      <c r="CJ2" s="22" t="s">
        <v>182</v>
      </c>
      <c r="CK2" s="22" t="s">
        <v>183</v>
      </c>
      <c r="CL2" s="22" t="s">
        <v>183</v>
      </c>
      <c r="CM2" s="22" t="s">
        <v>183</v>
      </c>
      <c r="CN2" s="22" t="s">
        <v>183</v>
      </c>
      <c r="CO2" s="22" t="s">
        <v>184</v>
      </c>
      <c r="CP2" s="22" t="s">
        <v>184</v>
      </c>
      <c r="CQ2" s="22" t="s">
        <v>184</v>
      </c>
      <c r="CR2" s="22" t="s">
        <v>184</v>
      </c>
      <c r="CS2" s="22" t="s">
        <v>185</v>
      </c>
      <c r="CT2" s="22" t="s">
        <v>185</v>
      </c>
      <c r="CU2" s="22" t="s">
        <v>185</v>
      </c>
      <c r="CV2" s="22" t="s">
        <v>185</v>
      </c>
      <c r="CW2" s="22" t="s">
        <v>186</v>
      </c>
      <c r="CX2" s="22" t="s">
        <v>186</v>
      </c>
      <c r="CY2" s="22" t="s">
        <v>186</v>
      </c>
      <c r="CZ2" s="22" t="s">
        <v>186</v>
      </c>
      <c r="DA2" s="22" t="s">
        <v>187</v>
      </c>
      <c r="DB2" s="22" t="s">
        <v>187</v>
      </c>
      <c r="DC2" s="22" t="s">
        <v>187</v>
      </c>
      <c r="DD2" s="22" t="s">
        <v>187</v>
      </c>
      <c r="DE2" s="22" t="s">
        <v>188</v>
      </c>
      <c r="DF2" s="22" t="s">
        <v>188</v>
      </c>
      <c r="DG2" s="22" t="s">
        <v>188</v>
      </c>
      <c r="DH2" s="22" t="s">
        <v>188</v>
      </c>
      <c r="DI2" s="22" t="s">
        <v>189</v>
      </c>
      <c r="DJ2" s="22" t="s">
        <v>189</v>
      </c>
      <c r="DK2" s="22" t="s">
        <v>189</v>
      </c>
      <c r="DL2" s="22" t="s">
        <v>189</v>
      </c>
      <c r="DM2" s="22" t="s">
        <v>190</v>
      </c>
      <c r="DN2" s="22" t="s">
        <v>190</v>
      </c>
      <c r="DO2" s="22" t="s">
        <v>190</v>
      </c>
      <c r="DP2" s="22" t="s">
        <v>190</v>
      </c>
      <c r="DQ2" s="22" t="s">
        <v>191</v>
      </c>
      <c r="DR2" s="22" t="s">
        <v>191</v>
      </c>
      <c r="DS2" s="22" t="s">
        <v>191</v>
      </c>
      <c r="DT2" s="22" t="s">
        <v>191</v>
      </c>
      <c r="DU2" s="22" t="s">
        <v>192</v>
      </c>
      <c r="DV2" s="22" t="s">
        <v>192</v>
      </c>
      <c r="DW2" s="22" t="s">
        <v>192</v>
      </c>
      <c r="DX2" s="22" t="s">
        <v>192</v>
      </c>
      <c r="DY2" s="22" t="s">
        <v>193</v>
      </c>
      <c r="DZ2" s="22" t="s">
        <v>193</v>
      </c>
      <c r="EA2" s="22" t="s">
        <v>193</v>
      </c>
      <c r="EB2" s="22" t="s">
        <v>193</v>
      </c>
      <c r="EC2" s="22" t="s">
        <v>194</v>
      </c>
      <c r="ED2" s="22" t="s">
        <v>194</v>
      </c>
      <c r="EE2" s="22" t="s">
        <v>194</v>
      </c>
      <c r="EF2" s="22" t="s">
        <v>194</v>
      </c>
      <c r="EG2" s="22" t="s">
        <v>195</v>
      </c>
      <c r="EH2" s="22" t="s">
        <v>195</v>
      </c>
      <c r="EI2" s="22" t="s">
        <v>195</v>
      </c>
      <c r="EJ2" s="22" t="s">
        <v>195</v>
      </c>
      <c r="EK2" s="22" t="s">
        <v>196</v>
      </c>
      <c r="EL2" s="22" t="s">
        <v>196</v>
      </c>
      <c r="EM2" s="22" t="s">
        <v>196</v>
      </c>
      <c r="EN2" s="22" t="s">
        <v>196</v>
      </c>
      <c r="EO2" s="22" t="s">
        <v>197</v>
      </c>
      <c r="EP2" s="22" t="s">
        <v>197</v>
      </c>
      <c r="EQ2" s="22" t="s">
        <v>197</v>
      </c>
      <c r="ER2" s="22" t="s">
        <v>197</v>
      </c>
      <c r="ES2" s="22" t="s">
        <v>164</v>
      </c>
      <c r="ET2" s="22" t="s">
        <v>164</v>
      </c>
      <c r="EU2" s="22" t="s">
        <v>164</v>
      </c>
      <c r="EV2" s="22" t="s">
        <v>164</v>
      </c>
      <c r="EW2" s="22" t="s">
        <v>198</v>
      </c>
      <c r="EX2" s="22" t="s">
        <v>198</v>
      </c>
      <c r="EY2" s="22" t="s">
        <v>198</v>
      </c>
      <c r="EZ2" s="22" t="s">
        <v>198</v>
      </c>
      <c r="FA2" s="22" t="s">
        <v>199</v>
      </c>
      <c r="FB2" s="22" t="s">
        <v>199</v>
      </c>
      <c r="FC2" s="22" t="s">
        <v>199</v>
      </c>
      <c r="FD2" s="22" t="s">
        <v>199</v>
      </c>
      <c r="FE2" s="22" t="s">
        <v>167</v>
      </c>
      <c r="FF2" s="22" t="s">
        <v>167</v>
      </c>
      <c r="FG2" s="22" t="s">
        <v>167</v>
      </c>
      <c r="FH2" s="22" t="s">
        <v>167</v>
      </c>
      <c r="FI2" s="22" t="s">
        <v>200</v>
      </c>
      <c r="FJ2" s="22" t="s">
        <v>200</v>
      </c>
      <c r="FK2" s="22" t="s">
        <v>200</v>
      </c>
      <c r="FL2" s="22" t="s">
        <v>200</v>
      </c>
      <c r="FM2" s="22" t="s">
        <v>201</v>
      </c>
      <c r="FN2" s="22" t="s">
        <v>201</v>
      </c>
      <c r="FO2" s="22" t="s">
        <v>201</v>
      </c>
      <c r="FP2" s="22" t="s">
        <v>201</v>
      </c>
      <c r="FQ2" s="22" t="s">
        <v>202</v>
      </c>
      <c r="FR2" s="22" t="s">
        <v>202</v>
      </c>
      <c r="FS2" s="22" t="s">
        <v>202</v>
      </c>
      <c r="FT2" s="22" t="s">
        <v>202</v>
      </c>
      <c r="FU2" s="22" t="s">
        <v>203</v>
      </c>
      <c r="FV2" s="22" t="s">
        <v>203</v>
      </c>
      <c r="FW2" s="22" t="s">
        <v>203</v>
      </c>
      <c r="FX2" s="22" t="s">
        <v>203</v>
      </c>
      <c r="FY2" s="22" t="s">
        <v>204</v>
      </c>
      <c r="FZ2" s="22" t="s">
        <v>204</v>
      </c>
      <c r="GA2" s="22" t="s">
        <v>204</v>
      </c>
      <c r="GB2" s="22" t="s">
        <v>204</v>
      </c>
      <c r="GC2" s="22" t="s">
        <v>205</v>
      </c>
      <c r="GD2" s="22" t="s">
        <v>205</v>
      </c>
      <c r="GE2" s="22" t="s">
        <v>205</v>
      </c>
      <c r="GF2" s="22" t="s">
        <v>205</v>
      </c>
      <c r="GG2" s="22" t="s">
        <v>206</v>
      </c>
      <c r="GH2" s="22" t="s">
        <v>206</v>
      </c>
      <c r="GI2" s="22" t="s">
        <v>206</v>
      </c>
      <c r="GJ2" s="22" t="s">
        <v>206</v>
      </c>
      <c r="GK2" s="22" t="s">
        <v>207</v>
      </c>
      <c r="GL2" s="22" t="s">
        <v>207</v>
      </c>
      <c r="GM2" s="22" t="s">
        <v>207</v>
      </c>
      <c r="GN2" s="22" t="s">
        <v>207</v>
      </c>
      <c r="GO2" s="22" t="s">
        <v>208</v>
      </c>
      <c r="GP2" s="22" t="s">
        <v>208</v>
      </c>
      <c r="GQ2" s="22" t="s">
        <v>208</v>
      </c>
      <c r="GR2" s="22" t="s">
        <v>208</v>
      </c>
      <c r="GU2" s="22" t="s">
        <v>171</v>
      </c>
      <c r="GV2" s="22" t="s">
        <v>171</v>
      </c>
      <c r="GW2" s="22" t="s">
        <v>172</v>
      </c>
      <c r="GX2" s="22" t="s">
        <v>172</v>
      </c>
      <c r="GY2" s="22" t="s">
        <v>173</v>
      </c>
      <c r="GZ2" s="22" t="s">
        <v>173</v>
      </c>
      <c r="HA2" s="22" t="s">
        <v>174</v>
      </c>
      <c r="HB2" s="22" t="s">
        <v>174</v>
      </c>
      <c r="HC2" s="22" t="s">
        <v>175</v>
      </c>
      <c r="HD2" s="22" t="s">
        <v>175</v>
      </c>
      <c r="HE2" s="22" t="s">
        <v>171</v>
      </c>
      <c r="HF2" s="22" t="s">
        <v>172</v>
      </c>
      <c r="HG2" s="22" t="s">
        <v>173</v>
      </c>
      <c r="HH2" s="22" t="s">
        <v>174</v>
      </c>
      <c r="HI2" s="22" t="s">
        <v>175</v>
      </c>
      <c r="HJ2" s="22" t="s">
        <v>176</v>
      </c>
      <c r="HK2" s="22" t="s">
        <v>177</v>
      </c>
      <c r="HL2" s="22" t="s">
        <v>178</v>
      </c>
      <c r="HM2" s="22" t="s">
        <v>179</v>
      </c>
      <c r="HN2" s="22" t="s">
        <v>180</v>
      </c>
      <c r="HO2" s="22" t="s">
        <v>181</v>
      </c>
      <c r="HP2" s="22" t="s">
        <v>182</v>
      </c>
      <c r="HQ2" s="22" t="s">
        <v>183</v>
      </c>
      <c r="HR2" s="22" t="s">
        <v>184</v>
      </c>
      <c r="HS2" s="22" t="s">
        <v>185</v>
      </c>
      <c r="HT2" s="22" t="s">
        <v>186</v>
      </c>
      <c r="HU2" s="22" t="s">
        <v>187</v>
      </c>
      <c r="HV2" s="22" t="s">
        <v>188</v>
      </c>
      <c r="HW2" s="22" t="s">
        <v>189</v>
      </c>
      <c r="HX2" s="22" t="s">
        <v>190</v>
      </c>
      <c r="HY2" s="22" t="s">
        <v>191</v>
      </c>
      <c r="HZ2" s="22" t="s">
        <v>192</v>
      </c>
      <c r="IA2" s="22" t="s">
        <v>193</v>
      </c>
      <c r="IB2" s="22" t="s">
        <v>194</v>
      </c>
      <c r="IC2" s="22" t="s">
        <v>195</v>
      </c>
      <c r="ID2" s="22" t="s">
        <v>196</v>
      </c>
      <c r="IE2" s="22" t="s">
        <v>197</v>
      </c>
      <c r="IF2" s="22" t="s">
        <v>164</v>
      </c>
      <c r="IG2" s="22" t="s">
        <v>198</v>
      </c>
      <c r="IH2" s="22" t="s">
        <v>199</v>
      </c>
      <c r="II2" s="22" t="s">
        <v>171</v>
      </c>
      <c r="IJ2" s="22" t="s">
        <v>172</v>
      </c>
      <c r="IK2" s="22" t="s">
        <v>171</v>
      </c>
      <c r="IL2" s="22" t="s">
        <v>171</v>
      </c>
      <c r="IM2" s="22" t="s">
        <v>171</v>
      </c>
      <c r="IN2" s="22" t="s">
        <v>171</v>
      </c>
      <c r="IO2" s="22" t="s">
        <v>172</v>
      </c>
      <c r="IP2" s="22" t="s">
        <v>172</v>
      </c>
      <c r="IQ2" s="22" t="s">
        <v>172</v>
      </c>
      <c r="IR2" s="22" t="s">
        <v>172</v>
      </c>
      <c r="IS2" s="22" t="s">
        <v>173</v>
      </c>
      <c r="IT2" s="22" t="s">
        <v>173</v>
      </c>
      <c r="IU2" s="22" t="s">
        <v>173</v>
      </c>
      <c r="IV2" s="22" t="s">
        <v>173</v>
      </c>
      <c r="IW2" s="22" t="s">
        <v>174</v>
      </c>
      <c r="IX2" s="22" t="s">
        <v>174</v>
      </c>
      <c r="IY2" s="22" t="s">
        <v>174</v>
      </c>
      <c r="IZ2" s="22" t="s">
        <v>174</v>
      </c>
      <c r="JA2" s="22" t="s">
        <v>175</v>
      </c>
      <c r="JB2" s="22" t="s">
        <v>175</v>
      </c>
      <c r="JC2" s="22" t="s">
        <v>175</v>
      </c>
      <c r="JD2" s="22" t="s">
        <v>175</v>
      </c>
      <c r="JE2" s="22" t="s">
        <v>176</v>
      </c>
      <c r="JF2" s="22" t="s">
        <v>176</v>
      </c>
      <c r="JG2" s="22" t="s">
        <v>176</v>
      </c>
      <c r="JH2" s="22" t="s">
        <v>176</v>
      </c>
      <c r="JI2" s="22" t="s">
        <v>177</v>
      </c>
      <c r="JJ2" s="22" t="s">
        <v>177</v>
      </c>
      <c r="JK2" s="22" t="s">
        <v>177</v>
      </c>
      <c r="JL2" s="22" t="s">
        <v>177</v>
      </c>
      <c r="JM2" s="22" t="s">
        <v>178</v>
      </c>
      <c r="JN2" s="22" t="s">
        <v>178</v>
      </c>
      <c r="JO2" s="22" t="s">
        <v>178</v>
      </c>
      <c r="JP2" s="22" t="s">
        <v>178</v>
      </c>
      <c r="JQ2" s="22" t="s">
        <v>179</v>
      </c>
      <c r="JR2" s="22" t="s">
        <v>179</v>
      </c>
      <c r="JS2" s="22" t="s">
        <v>179</v>
      </c>
      <c r="JT2" s="22" t="s">
        <v>179</v>
      </c>
      <c r="JU2" s="22" t="s">
        <v>180</v>
      </c>
      <c r="JV2" s="22" t="s">
        <v>180</v>
      </c>
      <c r="JW2" s="22" t="s">
        <v>180</v>
      </c>
      <c r="JX2" s="22" t="s">
        <v>180</v>
      </c>
    </row>
    <row r="3" spans="1:315">
      <c r="B3" s="23" t="s">
        <v>209</v>
      </c>
      <c r="F3" s="23" t="s">
        <v>210</v>
      </c>
      <c r="H3" s="24" t="s">
        <v>1</v>
      </c>
      <c r="P3" s="25" t="s">
        <v>211</v>
      </c>
      <c r="T3" s="26" t="s">
        <v>212</v>
      </c>
      <c r="AC3" s="27" t="s">
        <v>213</v>
      </c>
      <c r="AO3" s="28" t="s">
        <v>214</v>
      </c>
      <c r="GS3" s="29" t="s">
        <v>215</v>
      </c>
      <c r="HE3" s="30" t="s">
        <v>43</v>
      </c>
      <c r="JY3" s="31" t="s">
        <v>216</v>
      </c>
    </row>
    <row r="4" spans="1:315" ht="32" customHeight="1">
      <c r="B4" s="32" t="s">
        <v>62</v>
      </c>
      <c r="C4" s="32" t="s">
        <v>62</v>
      </c>
      <c r="D4" s="32" t="s">
        <v>63</v>
      </c>
      <c r="E4" s="32" t="s">
        <v>62</v>
      </c>
      <c r="F4" s="32" t="s">
        <v>62</v>
      </c>
      <c r="G4" s="32" t="s">
        <v>65</v>
      </c>
      <c r="H4" s="32" t="s">
        <v>63</v>
      </c>
      <c r="I4" s="32" t="s">
        <v>65</v>
      </c>
      <c r="J4" s="32" t="s">
        <v>65</v>
      </c>
      <c r="K4" s="32" t="s">
        <v>65</v>
      </c>
      <c r="L4" s="32" t="s">
        <v>65</v>
      </c>
      <c r="M4" s="32" t="s">
        <v>65</v>
      </c>
      <c r="N4" s="32" t="s">
        <v>65</v>
      </c>
      <c r="O4" s="32" t="s">
        <v>65</v>
      </c>
      <c r="P4" s="32" t="s">
        <v>62</v>
      </c>
      <c r="Q4" s="32" t="s">
        <v>64</v>
      </c>
      <c r="R4" s="32" t="s">
        <v>64</v>
      </c>
      <c r="S4" s="32" t="s">
        <v>64</v>
      </c>
      <c r="T4" s="32" t="s">
        <v>65</v>
      </c>
      <c r="U4" s="32" t="s">
        <v>65</v>
      </c>
      <c r="V4" s="32" t="s">
        <v>65</v>
      </c>
      <c r="W4" s="32" t="s">
        <v>65</v>
      </c>
      <c r="X4" s="32" t="s">
        <v>65</v>
      </c>
      <c r="Y4" s="32" t="s">
        <v>65</v>
      </c>
      <c r="Z4" s="32" t="s">
        <v>65</v>
      </c>
      <c r="AA4" s="32" t="s">
        <v>65</v>
      </c>
      <c r="AB4" s="32" t="s">
        <v>65</v>
      </c>
      <c r="AC4" s="32" t="s">
        <v>64</v>
      </c>
      <c r="AD4" s="32" t="s">
        <v>62</v>
      </c>
      <c r="AE4" s="32" t="s">
        <v>62</v>
      </c>
      <c r="AF4" s="32" t="s">
        <v>62</v>
      </c>
      <c r="AG4" s="32" t="s">
        <v>62</v>
      </c>
      <c r="AH4" s="32" t="s">
        <v>62</v>
      </c>
      <c r="AI4" s="32" t="s">
        <v>65</v>
      </c>
      <c r="AJ4" s="32" t="s">
        <v>62</v>
      </c>
      <c r="AK4" s="32" t="s">
        <v>62</v>
      </c>
      <c r="AL4" s="32" t="s">
        <v>65</v>
      </c>
      <c r="AM4" s="32" t="s">
        <v>65</v>
      </c>
      <c r="AN4" s="32" t="s">
        <v>65</v>
      </c>
      <c r="AO4" s="32" t="s">
        <v>62</v>
      </c>
      <c r="AP4" s="32" t="s">
        <v>62</v>
      </c>
      <c r="AQ4" s="32" t="s">
        <v>62</v>
      </c>
      <c r="AR4" s="32" t="s">
        <v>62</v>
      </c>
      <c r="AS4" s="32" t="s">
        <v>65</v>
      </c>
      <c r="AT4" s="32" t="s">
        <v>65</v>
      </c>
      <c r="AU4" s="32" t="s">
        <v>65</v>
      </c>
      <c r="AV4" s="32" t="s">
        <v>65</v>
      </c>
      <c r="AW4" s="32" t="s">
        <v>65</v>
      </c>
      <c r="AX4" s="32" t="s">
        <v>65</v>
      </c>
      <c r="AY4" s="32" t="s">
        <v>65</v>
      </c>
      <c r="AZ4" s="32" t="s">
        <v>65</v>
      </c>
      <c r="BA4" s="32" t="s">
        <v>65</v>
      </c>
      <c r="BB4" s="32" t="s">
        <v>65</v>
      </c>
      <c r="BC4" s="32" t="s">
        <v>65</v>
      </c>
      <c r="BD4" s="32" t="s">
        <v>65</v>
      </c>
      <c r="BE4" s="32" t="s">
        <v>65</v>
      </c>
      <c r="BF4" s="32" t="s">
        <v>65</v>
      </c>
      <c r="BG4" s="32" t="s">
        <v>65</v>
      </c>
      <c r="BH4" s="32" t="s">
        <v>65</v>
      </c>
      <c r="BI4" s="32" t="s">
        <v>65</v>
      </c>
      <c r="BJ4" s="32" t="s">
        <v>65</v>
      </c>
      <c r="BK4" s="32" t="s">
        <v>65</v>
      </c>
      <c r="BL4" s="32" t="s">
        <v>65</v>
      </c>
      <c r="BM4" s="32" t="s">
        <v>65</v>
      </c>
      <c r="BN4" s="32" t="s">
        <v>65</v>
      </c>
      <c r="BO4" s="32" t="s">
        <v>65</v>
      </c>
      <c r="BP4" s="32" t="s">
        <v>65</v>
      </c>
      <c r="BQ4" s="32" t="s">
        <v>65</v>
      </c>
      <c r="BR4" s="32" t="s">
        <v>65</v>
      </c>
      <c r="BS4" s="32" t="s">
        <v>65</v>
      </c>
      <c r="BT4" s="32" t="s">
        <v>65</v>
      </c>
      <c r="BU4" s="32" t="s">
        <v>65</v>
      </c>
      <c r="BV4" s="32" t="s">
        <v>65</v>
      </c>
      <c r="BW4" s="32" t="s">
        <v>65</v>
      </c>
      <c r="BX4" s="32" t="s">
        <v>65</v>
      </c>
      <c r="BY4" s="32" t="s">
        <v>65</v>
      </c>
      <c r="BZ4" s="32" t="s">
        <v>65</v>
      </c>
      <c r="CA4" s="32" t="s">
        <v>65</v>
      </c>
      <c r="CB4" s="32" t="s">
        <v>65</v>
      </c>
      <c r="CC4" s="32" t="s">
        <v>65</v>
      </c>
      <c r="CD4" s="32" t="s">
        <v>65</v>
      </c>
      <c r="CE4" s="32" t="s">
        <v>65</v>
      </c>
      <c r="CF4" s="32" t="s">
        <v>65</v>
      </c>
      <c r="CG4" s="32" t="s">
        <v>65</v>
      </c>
      <c r="CH4" s="32" t="s">
        <v>65</v>
      </c>
      <c r="CI4" s="32" t="s">
        <v>65</v>
      </c>
      <c r="CJ4" s="32" t="s">
        <v>65</v>
      </c>
      <c r="CK4" s="32" t="s">
        <v>65</v>
      </c>
      <c r="CL4" s="32" t="s">
        <v>65</v>
      </c>
      <c r="CM4" s="32" t="s">
        <v>65</v>
      </c>
      <c r="CN4" s="32" t="s">
        <v>65</v>
      </c>
      <c r="CO4" s="32" t="s">
        <v>65</v>
      </c>
      <c r="CP4" s="32" t="s">
        <v>65</v>
      </c>
      <c r="CQ4" s="32" t="s">
        <v>65</v>
      </c>
      <c r="CR4" s="32" t="s">
        <v>65</v>
      </c>
      <c r="CS4" s="32" t="s">
        <v>65</v>
      </c>
      <c r="CT4" s="32" t="s">
        <v>65</v>
      </c>
      <c r="CU4" s="32" t="s">
        <v>65</v>
      </c>
      <c r="CV4" s="32" t="s">
        <v>65</v>
      </c>
      <c r="CW4" s="32" t="s">
        <v>65</v>
      </c>
      <c r="CX4" s="32" t="s">
        <v>65</v>
      </c>
      <c r="CY4" s="32" t="s">
        <v>65</v>
      </c>
      <c r="CZ4" s="32" t="s">
        <v>65</v>
      </c>
      <c r="DA4" s="32" t="s">
        <v>65</v>
      </c>
      <c r="DB4" s="32" t="s">
        <v>65</v>
      </c>
      <c r="DC4" s="32" t="s">
        <v>65</v>
      </c>
      <c r="DD4" s="32" t="s">
        <v>65</v>
      </c>
      <c r="DE4" s="32" t="s">
        <v>65</v>
      </c>
      <c r="DF4" s="32" t="s">
        <v>65</v>
      </c>
      <c r="DG4" s="32" t="s">
        <v>65</v>
      </c>
      <c r="DH4" s="32" t="s">
        <v>65</v>
      </c>
      <c r="DI4" s="32" t="s">
        <v>65</v>
      </c>
      <c r="DJ4" s="32" t="s">
        <v>65</v>
      </c>
      <c r="DK4" s="32" t="s">
        <v>65</v>
      </c>
      <c r="DL4" s="32" t="s">
        <v>65</v>
      </c>
      <c r="DM4" s="32" t="s">
        <v>65</v>
      </c>
      <c r="DN4" s="32" t="s">
        <v>65</v>
      </c>
      <c r="DO4" s="32" t="s">
        <v>65</v>
      </c>
      <c r="DP4" s="32" t="s">
        <v>65</v>
      </c>
      <c r="DQ4" s="32" t="s">
        <v>65</v>
      </c>
      <c r="DR4" s="32" t="s">
        <v>65</v>
      </c>
      <c r="DS4" s="32" t="s">
        <v>65</v>
      </c>
      <c r="DT4" s="32" t="s">
        <v>65</v>
      </c>
      <c r="DU4" s="32" t="s">
        <v>65</v>
      </c>
      <c r="DV4" s="32" t="s">
        <v>65</v>
      </c>
      <c r="DW4" s="32" t="s">
        <v>65</v>
      </c>
      <c r="DX4" s="32" t="s">
        <v>65</v>
      </c>
      <c r="DY4" s="32" t="s">
        <v>65</v>
      </c>
      <c r="DZ4" s="32" t="s">
        <v>65</v>
      </c>
      <c r="EA4" s="32" t="s">
        <v>65</v>
      </c>
      <c r="EB4" s="32" t="s">
        <v>65</v>
      </c>
      <c r="EC4" s="32" t="s">
        <v>65</v>
      </c>
      <c r="ED4" s="32" t="s">
        <v>65</v>
      </c>
      <c r="EE4" s="32" t="s">
        <v>65</v>
      </c>
      <c r="EF4" s="32" t="s">
        <v>65</v>
      </c>
      <c r="EG4" s="32" t="s">
        <v>65</v>
      </c>
      <c r="EH4" s="32" t="s">
        <v>65</v>
      </c>
      <c r="EI4" s="32" t="s">
        <v>65</v>
      </c>
      <c r="EJ4" s="32" t="s">
        <v>65</v>
      </c>
      <c r="EK4" s="32" t="s">
        <v>65</v>
      </c>
      <c r="EL4" s="32" t="s">
        <v>65</v>
      </c>
      <c r="EM4" s="32" t="s">
        <v>65</v>
      </c>
      <c r="EN4" s="32" t="s">
        <v>65</v>
      </c>
      <c r="EO4" s="32" t="s">
        <v>65</v>
      </c>
      <c r="EP4" s="32" t="s">
        <v>65</v>
      </c>
      <c r="EQ4" s="32" t="s">
        <v>65</v>
      </c>
      <c r="ER4" s="32" t="s">
        <v>65</v>
      </c>
      <c r="ES4" s="32" t="s">
        <v>65</v>
      </c>
      <c r="ET4" s="32" t="s">
        <v>65</v>
      </c>
      <c r="EU4" s="32" t="s">
        <v>65</v>
      </c>
      <c r="EV4" s="32" t="s">
        <v>65</v>
      </c>
      <c r="EW4" s="32" t="s">
        <v>65</v>
      </c>
      <c r="EX4" s="32" t="s">
        <v>65</v>
      </c>
      <c r="EY4" s="32" t="s">
        <v>65</v>
      </c>
      <c r="EZ4" s="32" t="s">
        <v>65</v>
      </c>
      <c r="FA4" s="32" t="s">
        <v>65</v>
      </c>
      <c r="FB4" s="32" t="s">
        <v>65</v>
      </c>
      <c r="FC4" s="32" t="s">
        <v>65</v>
      </c>
      <c r="FD4" s="32" t="s">
        <v>65</v>
      </c>
      <c r="FE4" s="32" t="s">
        <v>65</v>
      </c>
      <c r="FF4" s="32" t="s">
        <v>65</v>
      </c>
      <c r="FG4" s="32" t="s">
        <v>65</v>
      </c>
      <c r="FH4" s="32" t="s">
        <v>65</v>
      </c>
      <c r="FI4" s="32" t="s">
        <v>65</v>
      </c>
      <c r="FJ4" s="32" t="s">
        <v>65</v>
      </c>
      <c r="FK4" s="32" t="s">
        <v>65</v>
      </c>
      <c r="FL4" s="32" t="s">
        <v>65</v>
      </c>
      <c r="FM4" s="32" t="s">
        <v>65</v>
      </c>
      <c r="FN4" s="32" t="s">
        <v>65</v>
      </c>
      <c r="FO4" s="32" t="s">
        <v>65</v>
      </c>
      <c r="FP4" s="32" t="s">
        <v>65</v>
      </c>
      <c r="FQ4" s="32" t="s">
        <v>65</v>
      </c>
      <c r="FR4" s="32" t="s">
        <v>65</v>
      </c>
      <c r="FS4" s="32" t="s">
        <v>65</v>
      </c>
      <c r="FT4" s="32" t="s">
        <v>65</v>
      </c>
      <c r="FU4" s="32" t="s">
        <v>65</v>
      </c>
      <c r="FV4" s="32" t="s">
        <v>65</v>
      </c>
      <c r="FW4" s="32" t="s">
        <v>65</v>
      </c>
      <c r="FX4" s="32" t="s">
        <v>65</v>
      </c>
      <c r="FY4" s="32" t="s">
        <v>65</v>
      </c>
      <c r="FZ4" s="32" t="s">
        <v>65</v>
      </c>
      <c r="GA4" s="32" t="s">
        <v>65</v>
      </c>
      <c r="GB4" s="32" t="s">
        <v>65</v>
      </c>
      <c r="GC4" s="32" t="s">
        <v>65</v>
      </c>
      <c r="GD4" s="32" t="s">
        <v>65</v>
      </c>
      <c r="GE4" s="32" t="s">
        <v>65</v>
      </c>
      <c r="GF4" s="32" t="s">
        <v>65</v>
      </c>
      <c r="GG4" s="32" t="s">
        <v>65</v>
      </c>
      <c r="GH4" s="32" t="s">
        <v>65</v>
      </c>
      <c r="GI4" s="32" t="s">
        <v>65</v>
      </c>
      <c r="GJ4" s="32" t="s">
        <v>65</v>
      </c>
      <c r="GK4" s="32" t="s">
        <v>65</v>
      </c>
      <c r="GL4" s="32" t="s">
        <v>65</v>
      </c>
      <c r="GM4" s="32" t="s">
        <v>65</v>
      </c>
      <c r="GN4" s="32" t="s">
        <v>65</v>
      </c>
      <c r="GO4" s="32" t="s">
        <v>65</v>
      </c>
      <c r="GP4" s="32" t="s">
        <v>65</v>
      </c>
      <c r="GQ4" s="32" t="s">
        <v>65</v>
      </c>
      <c r="GR4" s="32" t="s">
        <v>65</v>
      </c>
      <c r="GS4" s="32" t="s">
        <v>62</v>
      </c>
      <c r="GT4" s="32" t="s">
        <v>62</v>
      </c>
      <c r="GU4" s="32" t="s">
        <v>65</v>
      </c>
      <c r="GV4" s="32" t="s">
        <v>65</v>
      </c>
      <c r="GW4" s="32" t="s">
        <v>65</v>
      </c>
      <c r="GX4" s="32" t="s">
        <v>65</v>
      </c>
      <c r="GY4" s="32" t="s">
        <v>65</v>
      </c>
      <c r="GZ4" s="32" t="s">
        <v>65</v>
      </c>
      <c r="HA4" s="32" t="s">
        <v>65</v>
      </c>
      <c r="HB4" s="32" t="s">
        <v>65</v>
      </c>
      <c r="HC4" s="32" t="s">
        <v>65</v>
      </c>
      <c r="HD4" s="32" t="s">
        <v>65</v>
      </c>
      <c r="HE4" s="32" t="s">
        <v>62</v>
      </c>
      <c r="HF4" s="32" t="s">
        <v>64</v>
      </c>
      <c r="HG4" s="32" t="s">
        <v>64</v>
      </c>
      <c r="HH4" s="32" t="s">
        <v>64</v>
      </c>
      <c r="HI4" s="32" t="s">
        <v>64</v>
      </c>
      <c r="HJ4" s="32" t="s">
        <v>64</v>
      </c>
      <c r="HK4" s="32" t="s">
        <v>64</v>
      </c>
      <c r="HL4" s="32" t="s">
        <v>64</v>
      </c>
      <c r="HM4" s="32" t="s">
        <v>64</v>
      </c>
      <c r="HN4" s="32" t="s">
        <v>64</v>
      </c>
      <c r="HO4" s="32" t="s">
        <v>64</v>
      </c>
      <c r="HP4" s="32" t="s">
        <v>64</v>
      </c>
      <c r="HQ4" s="32" t="s">
        <v>64</v>
      </c>
      <c r="HR4" s="32" t="s">
        <v>64</v>
      </c>
      <c r="HS4" s="32" t="s">
        <v>64</v>
      </c>
      <c r="HT4" s="32" t="s">
        <v>64</v>
      </c>
      <c r="HU4" s="32" t="s">
        <v>64</v>
      </c>
      <c r="HV4" s="32" t="s">
        <v>64</v>
      </c>
      <c r="HW4" s="32" t="s">
        <v>64</v>
      </c>
      <c r="HX4" s="32" t="s">
        <v>64</v>
      </c>
      <c r="HY4" s="32" t="s">
        <v>64</v>
      </c>
      <c r="HZ4" s="32" t="s">
        <v>64</v>
      </c>
      <c r="IA4" s="32" t="s">
        <v>64</v>
      </c>
      <c r="IB4" s="32" t="s">
        <v>64</v>
      </c>
      <c r="IC4" s="32" t="s">
        <v>64</v>
      </c>
      <c r="ID4" s="32" t="s">
        <v>64</v>
      </c>
      <c r="IE4" s="32" t="s">
        <v>64</v>
      </c>
      <c r="IF4" s="32" t="s">
        <v>64</v>
      </c>
      <c r="IG4" s="32" t="s">
        <v>64</v>
      </c>
      <c r="IH4" s="32" t="s">
        <v>64</v>
      </c>
      <c r="II4" s="32" t="s">
        <v>64</v>
      </c>
      <c r="IJ4" s="32" t="s">
        <v>64</v>
      </c>
      <c r="IK4" s="32" t="s">
        <v>65</v>
      </c>
      <c r="IL4" s="32" t="s">
        <v>64</v>
      </c>
      <c r="IM4" s="32" t="s">
        <v>64</v>
      </c>
      <c r="IN4" s="32" t="s">
        <v>64</v>
      </c>
      <c r="IO4" s="32" t="s">
        <v>65</v>
      </c>
      <c r="IP4" s="32" t="s">
        <v>64</v>
      </c>
      <c r="IQ4" s="32" t="s">
        <v>64</v>
      </c>
      <c r="IR4" s="32" t="s">
        <v>64</v>
      </c>
      <c r="IS4" s="32" t="s">
        <v>65</v>
      </c>
      <c r="IT4" s="32" t="s">
        <v>64</v>
      </c>
      <c r="IU4" s="32" t="s">
        <v>64</v>
      </c>
      <c r="IV4" s="32" t="s">
        <v>64</v>
      </c>
      <c r="IW4" s="32" t="s">
        <v>65</v>
      </c>
      <c r="IX4" s="32" t="s">
        <v>64</v>
      </c>
      <c r="IY4" s="32" t="s">
        <v>64</v>
      </c>
      <c r="IZ4" s="32" t="s">
        <v>64</v>
      </c>
      <c r="JA4" s="32" t="s">
        <v>65</v>
      </c>
      <c r="JB4" s="32" t="s">
        <v>64</v>
      </c>
      <c r="JC4" s="32" t="s">
        <v>64</v>
      </c>
      <c r="JD4" s="32" t="s">
        <v>64</v>
      </c>
      <c r="JE4" s="32" t="s">
        <v>65</v>
      </c>
      <c r="JF4" s="32" t="s">
        <v>64</v>
      </c>
      <c r="JG4" s="32" t="s">
        <v>64</v>
      </c>
      <c r="JH4" s="32" t="s">
        <v>64</v>
      </c>
      <c r="JI4" s="32" t="s">
        <v>65</v>
      </c>
      <c r="JJ4" s="32" t="s">
        <v>64</v>
      </c>
      <c r="JK4" s="32" t="s">
        <v>64</v>
      </c>
      <c r="JL4" s="32" t="s">
        <v>64</v>
      </c>
      <c r="JM4" s="32" t="s">
        <v>65</v>
      </c>
      <c r="JN4" s="32" t="s">
        <v>64</v>
      </c>
      <c r="JO4" s="32" t="s">
        <v>64</v>
      </c>
      <c r="JP4" s="32" t="s">
        <v>64</v>
      </c>
      <c r="JQ4" s="32" t="s">
        <v>65</v>
      </c>
      <c r="JR4" s="32" t="s">
        <v>64</v>
      </c>
      <c r="JS4" s="32" t="s">
        <v>64</v>
      </c>
      <c r="JT4" s="32" t="s">
        <v>64</v>
      </c>
      <c r="JU4" s="32" t="s">
        <v>65</v>
      </c>
      <c r="JV4" s="32" t="s">
        <v>64</v>
      </c>
      <c r="JW4" s="32" t="s">
        <v>64</v>
      </c>
      <c r="JX4" s="32" t="s">
        <v>64</v>
      </c>
      <c r="JY4" s="32" t="s">
        <v>62</v>
      </c>
      <c r="JZ4" s="32" t="s">
        <v>63</v>
      </c>
      <c r="KA4" s="32" t="s">
        <v>63</v>
      </c>
      <c r="KB4" s="32" t="s">
        <v>62</v>
      </c>
      <c r="KC4" s="32" t="s">
        <v>62</v>
      </c>
      <c r="KD4" s="32" t="s">
        <v>62</v>
      </c>
      <c r="KE4" s="32" t="s">
        <v>63</v>
      </c>
      <c r="KF4" s="32" t="s">
        <v>63</v>
      </c>
      <c r="KG4" s="32" t="s">
        <v>63</v>
      </c>
      <c r="KH4" s="32" t="s">
        <v>63</v>
      </c>
      <c r="KI4" s="32" t="s">
        <v>65</v>
      </c>
      <c r="KJ4" s="32" t="s">
        <v>63</v>
      </c>
      <c r="KK4" s="32" t="s">
        <v>63</v>
      </c>
      <c r="KL4" s="32" t="s">
        <v>63</v>
      </c>
      <c r="KM4" s="32" t="s">
        <v>63</v>
      </c>
      <c r="KN4" s="32" t="s">
        <v>63</v>
      </c>
      <c r="KO4" s="32" t="s">
        <v>63</v>
      </c>
      <c r="KP4" s="32" t="s">
        <v>62</v>
      </c>
      <c r="KQ4" s="32" t="s">
        <v>63</v>
      </c>
      <c r="KR4" s="32" t="s">
        <v>64</v>
      </c>
      <c r="KS4" s="32" t="s">
        <v>62</v>
      </c>
      <c r="KT4" s="32" t="s">
        <v>62</v>
      </c>
      <c r="KU4" s="32" t="s">
        <v>62</v>
      </c>
      <c r="KV4" s="32" t="s">
        <v>62</v>
      </c>
      <c r="KW4" s="32" t="s">
        <v>62</v>
      </c>
      <c r="KX4" s="32" t="s">
        <v>62</v>
      </c>
      <c r="KY4" s="32" t="s">
        <v>65</v>
      </c>
      <c r="KZ4" s="32" t="s">
        <v>63</v>
      </c>
      <c r="LA4" s="32" t="s">
        <v>62</v>
      </c>
      <c r="LB4" s="32" t="s">
        <v>62</v>
      </c>
      <c r="LC4" s="32" t="s">
        <v>63</v>
      </c>
    </row>
    <row r="5" spans="1:315" ht="50" customHeight="1">
      <c r="A5" s="19" t="s">
        <v>217</v>
      </c>
      <c r="B5" s="19" t="s">
        <v>96</v>
      </c>
      <c r="C5" s="19" t="s">
        <v>218</v>
      </c>
      <c r="D5" s="19" t="s">
        <v>219</v>
      </c>
      <c r="E5" s="19" t="s">
        <v>220</v>
      </c>
      <c r="F5" s="19" t="s">
        <v>221</v>
      </c>
      <c r="G5" s="19" t="s">
        <v>222</v>
      </c>
      <c r="H5" s="19" t="s">
        <v>223</v>
      </c>
      <c r="I5" s="19" t="s">
        <v>224</v>
      </c>
      <c r="J5" s="19" t="s">
        <v>225</v>
      </c>
      <c r="K5" s="19" t="s">
        <v>226</v>
      </c>
      <c r="L5" s="19" t="s">
        <v>227</v>
      </c>
      <c r="M5" s="19" t="s">
        <v>228</v>
      </c>
      <c r="N5" s="19" t="s">
        <v>229</v>
      </c>
      <c r="O5" s="19" t="s">
        <v>230</v>
      </c>
      <c r="P5" s="19" t="s">
        <v>231</v>
      </c>
      <c r="Q5" s="19" t="s">
        <v>232</v>
      </c>
      <c r="R5" s="19" t="s">
        <v>233</v>
      </c>
      <c r="S5" s="19" t="s">
        <v>234</v>
      </c>
      <c r="T5" s="19" t="s">
        <v>235</v>
      </c>
      <c r="U5" s="19" t="s">
        <v>236</v>
      </c>
      <c r="V5" s="19" t="s">
        <v>237</v>
      </c>
      <c r="W5" s="19" t="s">
        <v>238</v>
      </c>
      <c r="X5" s="19" t="s">
        <v>239</v>
      </c>
      <c r="Y5" s="19" t="s">
        <v>240</v>
      </c>
      <c r="Z5" s="19" t="s">
        <v>241</v>
      </c>
      <c r="AA5" s="19" t="s">
        <v>242</v>
      </c>
      <c r="AB5" s="19" t="s">
        <v>243</v>
      </c>
      <c r="AC5" s="19" t="s">
        <v>244</v>
      </c>
      <c r="AD5" s="19" t="s">
        <v>245</v>
      </c>
      <c r="AE5" s="19" t="s">
        <v>246</v>
      </c>
      <c r="AF5" s="19" t="s">
        <v>247</v>
      </c>
      <c r="AG5" s="19" t="s">
        <v>248</v>
      </c>
      <c r="AH5" s="19" t="s">
        <v>249</v>
      </c>
      <c r="AI5" s="19" t="s">
        <v>250</v>
      </c>
      <c r="AJ5" s="19" t="s">
        <v>251</v>
      </c>
      <c r="AK5" s="19" t="s">
        <v>252</v>
      </c>
      <c r="AL5" s="19" t="s">
        <v>253</v>
      </c>
      <c r="AM5" s="19" t="s">
        <v>254</v>
      </c>
      <c r="AN5" s="19" t="s">
        <v>255</v>
      </c>
      <c r="AO5" s="19" t="s">
        <v>256</v>
      </c>
      <c r="AP5" s="19" t="s">
        <v>257</v>
      </c>
      <c r="AQ5" s="19" t="s">
        <v>258</v>
      </c>
      <c r="AR5" s="19" t="s">
        <v>259</v>
      </c>
      <c r="AS5" s="19" t="s">
        <v>260</v>
      </c>
      <c r="AT5" s="19" t="s">
        <v>261</v>
      </c>
      <c r="AU5" s="19" t="s">
        <v>262</v>
      </c>
      <c r="AV5" s="19" t="s">
        <v>263</v>
      </c>
      <c r="AW5" s="19" t="s">
        <v>264</v>
      </c>
      <c r="AX5" s="19" t="s">
        <v>265</v>
      </c>
      <c r="AY5" s="19" t="s">
        <v>266</v>
      </c>
      <c r="AZ5" s="19" t="s">
        <v>267</v>
      </c>
      <c r="BA5" s="19" t="s">
        <v>268</v>
      </c>
      <c r="BB5" s="19" t="s">
        <v>269</v>
      </c>
      <c r="BC5" s="19" t="s">
        <v>270</v>
      </c>
      <c r="BD5" s="19" t="s">
        <v>271</v>
      </c>
      <c r="BE5" s="19" t="s">
        <v>272</v>
      </c>
      <c r="BF5" s="19" t="s">
        <v>273</v>
      </c>
      <c r="BG5" s="19" t="s">
        <v>274</v>
      </c>
      <c r="BH5" s="19" t="s">
        <v>275</v>
      </c>
      <c r="BI5" s="19" t="s">
        <v>276</v>
      </c>
      <c r="BJ5" s="19" t="s">
        <v>277</v>
      </c>
      <c r="BK5" s="19" t="s">
        <v>278</v>
      </c>
      <c r="BL5" s="19" t="s">
        <v>279</v>
      </c>
      <c r="BM5" s="19" t="s">
        <v>280</v>
      </c>
      <c r="BN5" s="19" t="s">
        <v>281</v>
      </c>
      <c r="BO5" s="19" t="s">
        <v>282</v>
      </c>
      <c r="BP5" s="19" t="s">
        <v>283</v>
      </c>
      <c r="BQ5" s="19" t="s">
        <v>284</v>
      </c>
      <c r="BR5" s="19" t="s">
        <v>285</v>
      </c>
      <c r="BS5" s="19" t="s">
        <v>286</v>
      </c>
      <c r="BT5" s="19" t="s">
        <v>287</v>
      </c>
      <c r="BU5" s="19" t="s">
        <v>288</v>
      </c>
      <c r="BV5" s="19" t="s">
        <v>289</v>
      </c>
      <c r="BW5" s="19" t="s">
        <v>290</v>
      </c>
      <c r="BX5" s="19" t="s">
        <v>291</v>
      </c>
      <c r="BY5" s="19" t="s">
        <v>292</v>
      </c>
      <c r="BZ5" s="19" t="s">
        <v>293</v>
      </c>
      <c r="CA5" s="19" t="s">
        <v>294</v>
      </c>
      <c r="CB5" s="19" t="s">
        <v>295</v>
      </c>
      <c r="CC5" s="19" t="s">
        <v>296</v>
      </c>
      <c r="CD5" s="19" t="s">
        <v>297</v>
      </c>
      <c r="CE5" s="19" t="s">
        <v>298</v>
      </c>
      <c r="CF5" s="19" t="s">
        <v>299</v>
      </c>
      <c r="CG5" s="19" t="s">
        <v>300</v>
      </c>
      <c r="CH5" s="19" t="s">
        <v>301</v>
      </c>
      <c r="CI5" s="19" t="s">
        <v>302</v>
      </c>
      <c r="CJ5" s="19" t="s">
        <v>303</v>
      </c>
      <c r="CK5" s="19" t="s">
        <v>304</v>
      </c>
      <c r="CL5" s="19" t="s">
        <v>305</v>
      </c>
      <c r="CM5" s="19" t="s">
        <v>306</v>
      </c>
      <c r="CN5" s="19" t="s">
        <v>307</v>
      </c>
      <c r="CO5" s="19" t="s">
        <v>308</v>
      </c>
      <c r="CP5" s="19" t="s">
        <v>309</v>
      </c>
      <c r="CQ5" s="19" t="s">
        <v>310</v>
      </c>
      <c r="CR5" s="19" t="s">
        <v>311</v>
      </c>
      <c r="CS5" s="19" t="s">
        <v>312</v>
      </c>
      <c r="CT5" s="19" t="s">
        <v>313</v>
      </c>
      <c r="CU5" s="19" t="s">
        <v>314</v>
      </c>
      <c r="CV5" s="19" t="s">
        <v>315</v>
      </c>
      <c r="CW5" s="19" t="s">
        <v>316</v>
      </c>
      <c r="CX5" s="19" t="s">
        <v>317</v>
      </c>
      <c r="CY5" s="19" t="s">
        <v>318</v>
      </c>
      <c r="CZ5" s="19" t="s">
        <v>319</v>
      </c>
      <c r="DA5" s="19" t="s">
        <v>320</v>
      </c>
      <c r="DB5" s="19" t="s">
        <v>321</v>
      </c>
      <c r="DC5" s="19" t="s">
        <v>322</v>
      </c>
      <c r="DD5" s="19" t="s">
        <v>323</v>
      </c>
      <c r="DE5" s="19" t="s">
        <v>324</v>
      </c>
      <c r="DF5" s="19" t="s">
        <v>325</v>
      </c>
      <c r="DG5" s="19" t="s">
        <v>326</v>
      </c>
      <c r="DH5" s="19" t="s">
        <v>327</v>
      </c>
      <c r="DI5" s="19" t="s">
        <v>328</v>
      </c>
      <c r="DJ5" s="19" t="s">
        <v>329</v>
      </c>
      <c r="DK5" s="19" t="s">
        <v>330</v>
      </c>
      <c r="DL5" s="19" t="s">
        <v>331</v>
      </c>
      <c r="DM5" s="19" t="s">
        <v>332</v>
      </c>
      <c r="DN5" s="19" t="s">
        <v>333</v>
      </c>
      <c r="DO5" s="19" t="s">
        <v>334</v>
      </c>
      <c r="DP5" s="19" t="s">
        <v>335</v>
      </c>
      <c r="DQ5" s="19" t="s">
        <v>336</v>
      </c>
      <c r="DR5" s="19" t="s">
        <v>337</v>
      </c>
      <c r="DS5" s="19" t="s">
        <v>338</v>
      </c>
      <c r="DT5" s="19" t="s">
        <v>339</v>
      </c>
      <c r="DU5" s="19" t="s">
        <v>340</v>
      </c>
      <c r="DV5" s="19" t="s">
        <v>341</v>
      </c>
      <c r="DW5" s="19" t="s">
        <v>342</v>
      </c>
      <c r="DX5" s="19" t="s">
        <v>343</v>
      </c>
      <c r="DY5" s="19" t="s">
        <v>344</v>
      </c>
      <c r="DZ5" s="19" t="s">
        <v>345</v>
      </c>
      <c r="EA5" s="19" t="s">
        <v>346</v>
      </c>
      <c r="EB5" s="19" t="s">
        <v>347</v>
      </c>
      <c r="EC5" s="19" t="s">
        <v>348</v>
      </c>
      <c r="ED5" s="19" t="s">
        <v>349</v>
      </c>
      <c r="EE5" s="19" t="s">
        <v>350</v>
      </c>
      <c r="EF5" s="19" t="s">
        <v>351</v>
      </c>
      <c r="EG5" s="19" t="s">
        <v>352</v>
      </c>
      <c r="EH5" s="19" t="s">
        <v>353</v>
      </c>
      <c r="EI5" s="19" t="s">
        <v>354</v>
      </c>
      <c r="EJ5" s="19" t="s">
        <v>355</v>
      </c>
      <c r="EK5" s="19" t="s">
        <v>356</v>
      </c>
      <c r="EL5" s="19" t="s">
        <v>357</v>
      </c>
      <c r="EM5" s="19" t="s">
        <v>358</v>
      </c>
      <c r="EN5" s="19" t="s">
        <v>359</v>
      </c>
      <c r="EO5" s="19" t="s">
        <v>360</v>
      </c>
      <c r="EP5" s="19" t="s">
        <v>361</v>
      </c>
      <c r="EQ5" s="19" t="s">
        <v>362</v>
      </c>
      <c r="ER5" s="19" t="s">
        <v>363</v>
      </c>
      <c r="ES5" s="19" t="s">
        <v>364</v>
      </c>
      <c r="ET5" s="19" t="s">
        <v>365</v>
      </c>
      <c r="EU5" s="19" t="s">
        <v>366</v>
      </c>
      <c r="EV5" s="19" t="s">
        <v>367</v>
      </c>
      <c r="EW5" s="19" t="s">
        <v>368</v>
      </c>
      <c r="EX5" s="19" t="s">
        <v>369</v>
      </c>
      <c r="EY5" s="19" t="s">
        <v>370</v>
      </c>
      <c r="EZ5" s="19" t="s">
        <v>371</v>
      </c>
      <c r="FA5" s="19" t="s">
        <v>372</v>
      </c>
      <c r="FB5" s="19" t="s">
        <v>373</v>
      </c>
      <c r="FC5" s="19" t="s">
        <v>374</v>
      </c>
      <c r="FD5" s="19" t="s">
        <v>375</v>
      </c>
      <c r="FE5" s="19" t="s">
        <v>376</v>
      </c>
      <c r="FF5" s="19" t="s">
        <v>377</v>
      </c>
      <c r="FG5" s="19" t="s">
        <v>378</v>
      </c>
      <c r="FH5" s="19" t="s">
        <v>379</v>
      </c>
      <c r="FI5" s="19" t="s">
        <v>380</v>
      </c>
      <c r="FJ5" s="19" t="s">
        <v>381</v>
      </c>
      <c r="FK5" s="19" t="s">
        <v>382</v>
      </c>
      <c r="FL5" s="19" t="s">
        <v>383</v>
      </c>
      <c r="FM5" s="19" t="s">
        <v>384</v>
      </c>
      <c r="FN5" s="19" t="s">
        <v>385</v>
      </c>
      <c r="FO5" s="19" t="s">
        <v>386</v>
      </c>
      <c r="FP5" s="19" t="s">
        <v>387</v>
      </c>
      <c r="FQ5" s="19" t="s">
        <v>388</v>
      </c>
      <c r="FR5" s="19" t="s">
        <v>389</v>
      </c>
      <c r="FS5" s="19" t="s">
        <v>390</v>
      </c>
      <c r="FT5" s="19" t="s">
        <v>391</v>
      </c>
      <c r="FU5" s="19" t="s">
        <v>392</v>
      </c>
      <c r="FV5" s="19" t="s">
        <v>393</v>
      </c>
      <c r="FW5" s="19" t="s">
        <v>394</v>
      </c>
      <c r="FX5" s="19" t="s">
        <v>395</v>
      </c>
      <c r="FY5" s="19" t="s">
        <v>396</v>
      </c>
      <c r="FZ5" s="19" t="s">
        <v>397</v>
      </c>
      <c r="GA5" s="19" t="s">
        <v>398</v>
      </c>
      <c r="GB5" s="19" t="s">
        <v>399</v>
      </c>
      <c r="GC5" s="19" t="s">
        <v>400</v>
      </c>
      <c r="GD5" s="19" t="s">
        <v>401</v>
      </c>
      <c r="GE5" s="19" t="s">
        <v>402</v>
      </c>
      <c r="GF5" s="19" t="s">
        <v>403</v>
      </c>
      <c r="GG5" s="19" t="s">
        <v>404</v>
      </c>
      <c r="GH5" s="19" t="s">
        <v>405</v>
      </c>
      <c r="GI5" s="19" t="s">
        <v>406</v>
      </c>
      <c r="GJ5" s="19" t="s">
        <v>407</v>
      </c>
      <c r="GK5" s="19" t="s">
        <v>408</v>
      </c>
      <c r="GL5" s="19" t="s">
        <v>409</v>
      </c>
      <c r="GM5" s="19" t="s">
        <v>410</v>
      </c>
      <c r="GN5" s="19" t="s">
        <v>411</v>
      </c>
      <c r="GO5" s="19" t="s">
        <v>412</v>
      </c>
      <c r="GP5" s="19" t="s">
        <v>413</v>
      </c>
      <c r="GQ5" s="19" t="s">
        <v>414</v>
      </c>
      <c r="GR5" s="19" t="s">
        <v>415</v>
      </c>
      <c r="GS5" s="19" t="s">
        <v>416</v>
      </c>
      <c r="GT5" s="19" t="s">
        <v>417</v>
      </c>
      <c r="GU5" s="19" t="s">
        <v>418</v>
      </c>
      <c r="GV5" s="19" t="s">
        <v>419</v>
      </c>
      <c r="GW5" s="19" t="s">
        <v>420</v>
      </c>
      <c r="GX5" s="19" t="s">
        <v>421</v>
      </c>
      <c r="GY5" s="19" t="s">
        <v>422</v>
      </c>
      <c r="GZ5" s="19" t="s">
        <v>423</v>
      </c>
      <c r="HA5" s="19" t="s">
        <v>424</v>
      </c>
      <c r="HB5" s="19" t="s">
        <v>425</v>
      </c>
      <c r="HC5" s="19" t="s">
        <v>426</v>
      </c>
      <c r="HD5" s="19" t="s">
        <v>427</v>
      </c>
      <c r="HE5" s="19" t="s">
        <v>428</v>
      </c>
      <c r="HF5" s="19" t="s">
        <v>429</v>
      </c>
      <c r="HG5" s="19" t="s">
        <v>430</v>
      </c>
      <c r="HH5" s="19" t="s">
        <v>431</v>
      </c>
      <c r="HI5" s="19" t="s">
        <v>432</v>
      </c>
      <c r="HJ5" s="19" t="s">
        <v>433</v>
      </c>
      <c r="HK5" s="19" t="s">
        <v>434</v>
      </c>
      <c r="HL5" s="19" t="s">
        <v>435</v>
      </c>
      <c r="HM5" s="19" t="s">
        <v>436</v>
      </c>
      <c r="HN5" s="19" t="s">
        <v>437</v>
      </c>
      <c r="HO5" s="19" t="s">
        <v>438</v>
      </c>
      <c r="HP5" s="19" t="s">
        <v>439</v>
      </c>
      <c r="HQ5" s="19" t="s">
        <v>440</v>
      </c>
      <c r="HR5" s="19" t="s">
        <v>441</v>
      </c>
      <c r="HS5" s="19" t="s">
        <v>442</v>
      </c>
      <c r="HT5" s="19" t="s">
        <v>443</v>
      </c>
      <c r="HU5" s="19" t="s">
        <v>444</v>
      </c>
      <c r="HV5" s="19" t="s">
        <v>445</v>
      </c>
      <c r="HW5" s="19" t="s">
        <v>446</v>
      </c>
      <c r="HX5" s="19" t="s">
        <v>447</v>
      </c>
      <c r="HY5" s="19" t="s">
        <v>448</v>
      </c>
      <c r="HZ5" s="19" t="s">
        <v>449</v>
      </c>
      <c r="IA5" s="19" t="s">
        <v>450</v>
      </c>
      <c r="IB5" s="19" t="s">
        <v>451</v>
      </c>
      <c r="IC5" s="19" t="s">
        <v>452</v>
      </c>
      <c r="ID5" s="19" t="s">
        <v>453</v>
      </c>
      <c r="IE5" s="19" t="s">
        <v>454</v>
      </c>
      <c r="IF5" s="19" t="s">
        <v>455</v>
      </c>
      <c r="IG5" s="19" t="s">
        <v>456</v>
      </c>
      <c r="IH5" s="19" t="s">
        <v>457</v>
      </c>
      <c r="II5" s="19" t="s">
        <v>458</v>
      </c>
      <c r="IJ5" s="19" t="s">
        <v>459</v>
      </c>
      <c r="IK5" s="19" t="s">
        <v>460</v>
      </c>
      <c r="IL5" s="19" t="s">
        <v>461</v>
      </c>
      <c r="IM5" s="19" t="s">
        <v>462</v>
      </c>
      <c r="IN5" s="19" t="s">
        <v>463</v>
      </c>
      <c r="IO5" s="19" t="s">
        <v>464</v>
      </c>
      <c r="IP5" s="19" t="s">
        <v>465</v>
      </c>
      <c r="IQ5" s="19" t="s">
        <v>466</v>
      </c>
      <c r="IR5" s="19" t="s">
        <v>467</v>
      </c>
      <c r="IS5" s="19" t="s">
        <v>468</v>
      </c>
      <c r="IT5" s="19" t="s">
        <v>469</v>
      </c>
      <c r="IU5" s="19" t="s">
        <v>470</v>
      </c>
      <c r="IV5" s="19" t="s">
        <v>471</v>
      </c>
      <c r="IW5" s="19" t="s">
        <v>472</v>
      </c>
      <c r="IX5" s="19" t="s">
        <v>473</v>
      </c>
      <c r="IY5" s="19" t="s">
        <v>474</v>
      </c>
      <c r="IZ5" s="19" t="s">
        <v>475</v>
      </c>
      <c r="JA5" s="19" t="s">
        <v>476</v>
      </c>
      <c r="JB5" s="19" t="s">
        <v>477</v>
      </c>
      <c r="JC5" s="19" t="s">
        <v>478</v>
      </c>
      <c r="JD5" s="19" t="s">
        <v>479</v>
      </c>
      <c r="JE5" s="19" t="s">
        <v>480</v>
      </c>
      <c r="JF5" s="19" t="s">
        <v>481</v>
      </c>
      <c r="JG5" s="19" t="s">
        <v>482</v>
      </c>
      <c r="JH5" s="19" t="s">
        <v>483</v>
      </c>
      <c r="JI5" s="19" t="s">
        <v>484</v>
      </c>
      <c r="JJ5" s="19" t="s">
        <v>485</v>
      </c>
      <c r="JK5" s="19" t="s">
        <v>486</v>
      </c>
      <c r="JL5" s="19" t="s">
        <v>487</v>
      </c>
      <c r="JM5" s="19" t="s">
        <v>488</v>
      </c>
      <c r="JN5" s="19" t="s">
        <v>489</v>
      </c>
      <c r="JO5" s="19" t="s">
        <v>490</v>
      </c>
      <c r="JP5" s="19" t="s">
        <v>491</v>
      </c>
      <c r="JQ5" s="19" t="s">
        <v>492</v>
      </c>
      <c r="JR5" s="19" t="s">
        <v>493</v>
      </c>
      <c r="JS5" s="19" t="s">
        <v>494</v>
      </c>
      <c r="JT5" s="19" t="s">
        <v>495</v>
      </c>
      <c r="JU5" s="19" t="s">
        <v>496</v>
      </c>
      <c r="JV5" s="19" t="s">
        <v>497</v>
      </c>
      <c r="JW5" s="19" t="s">
        <v>498</v>
      </c>
      <c r="JX5" s="19" t="s">
        <v>499</v>
      </c>
      <c r="JY5" s="19" t="s">
        <v>500</v>
      </c>
      <c r="JZ5" s="19" t="s">
        <v>634</v>
      </c>
      <c r="KA5" s="19" t="s">
        <v>635</v>
      </c>
      <c r="KB5" s="19" t="s">
        <v>503</v>
      </c>
      <c r="KC5" s="19" t="s">
        <v>636</v>
      </c>
      <c r="KD5" s="19" t="s">
        <v>513</v>
      </c>
      <c r="KE5" s="19" t="s">
        <v>517</v>
      </c>
      <c r="KF5" s="19" t="s">
        <v>516</v>
      </c>
      <c r="KG5" s="19" t="s">
        <v>637</v>
      </c>
      <c r="KH5" s="19" t="s">
        <v>638</v>
      </c>
      <c r="KI5" s="19" t="s">
        <v>639</v>
      </c>
      <c r="KJ5" s="19" t="s">
        <v>640</v>
      </c>
      <c r="KK5" s="19" t="s">
        <v>641</v>
      </c>
      <c r="KL5" s="19" t="s">
        <v>642</v>
      </c>
      <c r="KM5" s="19" t="s">
        <v>643</v>
      </c>
      <c r="KN5" s="19" t="s">
        <v>511</v>
      </c>
      <c r="KO5" s="19" t="s">
        <v>518</v>
      </c>
      <c r="KP5" s="19" t="s">
        <v>644</v>
      </c>
      <c r="KQ5" s="19" t="s">
        <v>645</v>
      </c>
      <c r="KR5" s="19" t="s">
        <v>508</v>
      </c>
      <c r="KS5" s="19" t="s">
        <v>509</v>
      </c>
      <c r="KT5" s="19" t="s">
        <v>646</v>
      </c>
      <c r="KU5" s="19" t="s">
        <v>520</v>
      </c>
      <c r="KV5" s="19" t="s">
        <v>647</v>
      </c>
      <c r="KW5" s="19" t="s">
        <v>521</v>
      </c>
      <c r="KX5" s="33" t="s">
        <v>522</v>
      </c>
      <c r="KY5" s="34" t="s">
        <v>523</v>
      </c>
      <c r="KZ5" s="19" t="s">
        <v>524</v>
      </c>
      <c r="LA5" s="19" t="s">
        <v>525</v>
      </c>
      <c r="LB5" s="19" t="s">
        <v>526</v>
      </c>
      <c r="LC5" s="19" t="s">
        <v>528</v>
      </c>
    </row>
    <row r="6" spans="1:315" ht="50" customHeight="1">
      <c r="A6" s="35" t="s">
        <v>529</v>
      </c>
      <c r="B6" s="35" t="s">
        <v>530</v>
      </c>
      <c r="C6" s="35" t="s">
        <v>531</v>
      </c>
      <c r="D6" s="35" t="s">
        <v>532</v>
      </c>
      <c r="E6" s="35" t="s">
        <v>533</v>
      </c>
      <c r="F6" s="35" t="s">
        <v>534</v>
      </c>
      <c r="G6" s="35" t="s">
        <v>535</v>
      </c>
      <c r="H6" s="35" t="s">
        <v>536</v>
      </c>
      <c r="I6" s="35" t="s">
        <v>537</v>
      </c>
      <c r="J6" s="35" t="s">
        <v>538</v>
      </c>
      <c r="K6" s="35" t="s">
        <v>539</v>
      </c>
      <c r="L6" s="35" t="s">
        <v>538</v>
      </c>
      <c r="M6" s="35" t="s">
        <v>539</v>
      </c>
      <c r="N6" s="35" t="s">
        <v>538</v>
      </c>
      <c r="O6" s="35" t="s">
        <v>539</v>
      </c>
      <c r="P6" s="35" t="s">
        <v>540</v>
      </c>
      <c r="Q6" s="35" t="s">
        <v>541</v>
      </c>
      <c r="R6" s="35" t="s">
        <v>542</v>
      </c>
      <c r="S6" s="35" t="s">
        <v>543</v>
      </c>
      <c r="T6" s="35" t="s">
        <v>544</v>
      </c>
      <c r="U6" s="35" t="s">
        <v>545</v>
      </c>
      <c r="V6" s="35" t="s">
        <v>545</v>
      </c>
      <c r="W6" s="35" t="s">
        <v>545</v>
      </c>
      <c r="X6" s="35" t="s">
        <v>545</v>
      </c>
      <c r="Y6" s="35" t="s">
        <v>545</v>
      </c>
      <c r="Z6" s="35" t="s">
        <v>545</v>
      </c>
      <c r="AA6" s="35" t="s">
        <v>545</v>
      </c>
      <c r="AB6" s="35" t="s">
        <v>545</v>
      </c>
      <c r="AC6" s="35" t="s">
        <v>546</v>
      </c>
      <c r="AD6" s="35" t="s">
        <v>547</v>
      </c>
      <c r="AE6" s="35" t="s">
        <v>548</v>
      </c>
      <c r="AF6" s="35" t="s">
        <v>549</v>
      </c>
      <c r="AG6" s="35" t="s">
        <v>550</v>
      </c>
      <c r="AH6" s="35" t="s">
        <v>551</v>
      </c>
      <c r="AI6" s="35" t="s">
        <v>552</v>
      </c>
      <c r="AJ6" s="35" t="s">
        <v>553</v>
      </c>
      <c r="AK6" s="35" t="s">
        <v>554</v>
      </c>
      <c r="AL6" s="35" t="s">
        <v>555</v>
      </c>
      <c r="AM6" s="35" t="s">
        <v>556</v>
      </c>
      <c r="AN6" s="35" t="s">
        <v>557</v>
      </c>
      <c r="AO6" s="35" t="s">
        <v>558</v>
      </c>
      <c r="AP6" s="35" t="s">
        <v>559</v>
      </c>
      <c r="AQ6" s="35" t="s">
        <v>560</v>
      </c>
      <c r="AR6" s="35" t="s">
        <v>561</v>
      </c>
      <c r="AS6" s="35" t="s">
        <v>558</v>
      </c>
      <c r="AT6" s="35" t="s">
        <v>559</v>
      </c>
      <c r="AU6" s="35" t="s">
        <v>560</v>
      </c>
      <c r="AV6" s="35" t="s">
        <v>561</v>
      </c>
      <c r="AW6" s="35" t="s">
        <v>558</v>
      </c>
      <c r="AX6" s="35" t="s">
        <v>559</v>
      </c>
      <c r="AY6" s="35" t="s">
        <v>560</v>
      </c>
      <c r="AZ6" s="35" t="s">
        <v>561</v>
      </c>
      <c r="BA6" s="35" t="s">
        <v>558</v>
      </c>
      <c r="BB6" s="35" t="s">
        <v>559</v>
      </c>
      <c r="BC6" s="35" t="s">
        <v>560</v>
      </c>
      <c r="BD6" s="35" t="s">
        <v>561</v>
      </c>
      <c r="BE6" s="35" t="s">
        <v>558</v>
      </c>
      <c r="BF6" s="35" t="s">
        <v>559</v>
      </c>
      <c r="BG6" s="35" t="s">
        <v>560</v>
      </c>
      <c r="BH6" s="35" t="s">
        <v>561</v>
      </c>
      <c r="BI6" s="35" t="s">
        <v>558</v>
      </c>
      <c r="BJ6" s="35" t="s">
        <v>559</v>
      </c>
      <c r="BK6" s="35" t="s">
        <v>560</v>
      </c>
      <c r="BL6" s="35" t="s">
        <v>561</v>
      </c>
      <c r="BM6" s="35" t="s">
        <v>558</v>
      </c>
      <c r="BN6" s="35" t="s">
        <v>559</v>
      </c>
      <c r="BO6" s="35" t="s">
        <v>560</v>
      </c>
      <c r="BP6" s="35" t="s">
        <v>561</v>
      </c>
      <c r="BQ6" s="35" t="s">
        <v>558</v>
      </c>
      <c r="BR6" s="35" t="s">
        <v>559</v>
      </c>
      <c r="BS6" s="35" t="s">
        <v>560</v>
      </c>
      <c r="BT6" s="35" t="s">
        <v>561</v>
      </c>
      <c r="BU6" s="35" t="s">
        <v>558</v>
      </c>
      <c r="BV6" s="35" t="s">
        <v>559</v>
      </c>
      <c r="BW6" s="35" t="s">
        <v>560</v>
      </c>
      <c r="BX6" s="35" t="s">
        <v>561</v>
      </c>
      <c r="BY6" s="35" t="s">
        <v>558</v>
      </c>
      <c r="BZ6" s="35" t="s">
        <v>559</v>
      </c>
      <c r="CA6" s="35" t="s">
        <v>560</v>
      </c>
      <c r="CB6" s="35" t="s">
        <v>561</v>
      </c>
      <c r="CC6" s="35" t="s">
        <v>558</v>
      </c>
      <c r="CD6" s="35" t="s">
        <v>559</v>
      </c>
      <c r="CE6" s="35" t="s">
        <v>560</v>
      </c>
      <c r="CF6" s="35" t="s">
        <v>561</v>
      </c>
      <c r="CG6" s="35" t="s">
        <v>558</v>
      </c>
      <c r="CH6" s="35" t="s">
        <v>559</v>
      </c>
      <c r="CI6" s="35" t="s">
        <v>560</v>
      </c>
      <c r="CJ6" s="35" t="s">
        <v>561</v>
      </c>
      <c r="CK6" s="35" t="s">
        <v>558</v>
      </c>
      <c r="CL6" s="35" t="s">
        <v>559</v>
      </c>
      <c r="CM6" s="35" t="s">
        <v>560</v>
      </c>
      <c r="CN6" s="35" t="s">
        <v>561</v>
      </c>
      <c r="CO6" s="35" t="s">
        <v>558</v>
      </c>
      <c r="CP6" s="35" t="s">
        <v>559</v>
      </c>
      <c r="CQ6" s="35" t="s">
        <v>560</v>
      </c>
      <c r="CR6" s="35" t="s">
        <v>561</v>
      </c>
      <c r="CS6" s="35" t="s">
        <v>558</v>
      </c>
      <c r="CT6" s="35" t="s">
        <v>559</v>
      </c>
      <c r="CU6" s="35" t="s">
        <v>560</v>
      </c>
      <c r="CV6" s="35" t="s">
        <v>561</v>
      </c>
      <c r="CW6" s="35" t="s">
        <v>558</v>
      </c>
      <c r="CX6" s="35" t="s">
        <v>559</v>
      </c>
      <c r="CY6" s="35" t="s">
        <v>560</v>
      </c>
      <c r="CZ6" s="35" t="s">
        <v>561</v>
      </c>
      <c r="DA6" s="35" t="s">
        <v>558</v>
      </c>
      <c r="DB6" s="35" t="s">
        <v>559</v>
      </c>
      <c r="DC6" s="35" t="s">
        <v>560</v>
      </c>
      <c r="DD6" s="35" t="s">
        <v>561</v>
      </c>
      <c r="DE6" s="35" t="s">
        <v>558</v>
      </c>
      <c r="DF6" s="35" t="s">
        <v>559</v>
      </c>
      <c r="DG6" s="35" t="s">
        <v>560</v>
      </c>
      <c r="DH6" s="35" t="s">
        <v>561</v>
      </c>
      <c r="DI6" s="35" t="s">
        <v>558</v>
      </c>
      <c r="DJ6" s="35" t="s">
        <v>559</v>
      </c>
      <c r="DK6" s="35" t="s">
        <v>560</v>
      </c>
      <c r="DL6" s="35" t="s">
        <v>561</v>
      </c>
      <c r="DM6" s="35" t="s">
        <v>558</v>
      </c>
      <c r="DN6" s="35" t="s">
        <v>559</v>
      </c>
      <c r="DO6" s="35" t="s">
        <v>560</v>
      </c>
      <c r="DP6" s="35" t="s">
        <v>561</v>
      </c>
      <c r="DQ6" s="35" t="s">
        <v>558</v>
      </c>
      <c r="DR6" s="35" t="s">
        <v>559</v>
      </c>
      <c r="DS6" s="35" t="s">
        <v>560</v>
      </c>
      <c r="DT6" s="35" t="s">
        <v>561</v>
      </c>
      <c r="DU6" s="35" t="s">
        <v>558</v>
      </c>
      <c r="DV6" s="35" t="s">
        <v>559</v>
      </c>
      <c r="DW6" s="35" t="s">
        <v>560</v>
      </c>
      <c r="DX6" s="35" t="s">
        <v>561</v>
      </c>
      <c r="DY6" s="35" t="s">
        <v>558</v>
      </c>
      <c r="DZ6" s="35" t="s">
        <v>559</v>
      </c>
      <c r="EA6" s="35" t="s">
        <v>560</v>
      </c>
      <c r="EB6" s="35" t="s">
        <v>561</v>
      </c>
      <c r="EC6" s="35" t="s">
        <v>558</v>
      </c>
      <c r="ED6" s="35" t="s">
        <v>559</v>
      </c>
      <c r="EE6" s="35" t="s">
        <v>560</v>
      </c>
      <c r="EF6" s="35" t="s">
        <v>561</v>
      </c>
      <c r="EG6" s="35" t="s">
        <v>558</v>
      </c>
      <c r="EH6" s="35" t="s">
        <v>559</v>
      </c>
      <c r="EI6" s="35" t="s">
        <v>560</v>
      </c>
      <c r="EJ6" s="35" t="s">
        <v>561</v>
      </c>
      <c r="EK6" s="35" t="s">
        <v>558</v>
      </c>
      <c r="EL6" s="35" t="s">
        <v>559</v>
      </c>
      <c r="EM6" s="35" t="s">
        <v>560</v>
      </c>
      <c r="EN6" s="35" t="s">
        <v>561</v>
      </c>
      <c r="EO6" s="35" t="s">
        <v>558</v>
      </c>
      <c r="EP6" s="35" t="s">
        <v>559</v>
      </c>
      <c r="EQ6" s="35" t="s">
        <v>560</v>
      </c>
      <c r="ER6" s="35" t="s">
        <v>561</v>
      </c>
      <c r="ES6" s="35" t="s">
        <v>558</v>
      </c>
      <c r="ET6" s="35" t="s">
        <v>559</v>
      </c>
      <c r="EU6" s="35" t="s">
        <v>560</v>
      </c>
      <c r="EV6" s="35" t="s">
        <v>561</v>
      </c>
      <c r="EW6" s="35" t="s">
        <v>558</v>
      </c>
      <c r="EX6" s="35" t="s">
        <v>559</v>
      </c>
      <c r="EY6" s="35" t="s">
        <v>560</v>
      </c>
      <c r="EZ6" s="35" t="s">
        <v>561</v>
      </c>
      <c r="FA6" s="35" t="s">
        <v>558</v>
      </c>
      <c r="FB6" s="35" t="s">
        <v>559</v>
      </c>
      <c r="FC6" s="35" t="s">
        <v>560</v>
      </c>
      <c r="FD6" s="35" t="s">
        <v>561</v>
      </c>
      <c r="FE6" s="35" t="s">
        <v>558</v>
      </c>
      <c r="FF6" s="35" t="s">
        <v>559</v>
      </c>
      <c r="FG6" s="35" t="s">
        <v>560</v>
      </c>
      <c r="FH6" s="35" t="s">
        <v>561</v>
      </c>
      <c r="FI6" s="35" t="s">
        <v>558</v>
      </c>
      <c r="FJ6" s="35" t="s">
        <v>559</v>
      </c>
      <c r="FK6" s="35" t="s">
        <v>560</v>
      </c>
      <c r="FL6" s="35" t="s">
        <v>561</v>
      </c>
      <c r="FM6" s="35" t="s">
        <v>558</v>
      </c>
      <c r="FN6" s="35" t="s">
        <v>559</v>
      </c>
      <c r="FO6" s="35" t="s">
        <v>560</v>
      </c>
      <c r="FP6" s="35" t="s">
        <v>561</v>
      </c>
      <c r="FQ6" s="35" t="s">
        <v>558</v>
      </c>
      <c r="FR6" s="35" t="s">
        <v>559</v>
      </c>
      <c r="FS6" s="35" t="s">
        <v>560</v>
      </c>
      <c r="FT6" s="35" t="s">
        <v>561</v>
      </c>
      <c r="FU6" s="35" t="s">
        <v>558</v>
      </c>
      <c r="FV6" s="35" t="s">
        <v>559</v>
      </c>
      <c r="FW6" s="35" t="s">
        <v>560</v>
      </c>
      <c r="FX6" s="35" t="s">
        <v>561</v>
      </c>
      <c r="FY6" s="35" t="s">
        <v>558</v>
      </c>
      <c r="FZ6" s="35" t="s">
        <v>559</v>
      </c>
      <c r="GA6" s="35" t="s">
        <v>560</v>
      </c>
      <c r="GB6" s="35" t="s">
        <v>561</v>
      </c>
      <c r="GC6" s="35" t="s">
        <v>558</v>
      </c>
      <c r="GD6" s="35" t="s">
        <v>559</v>
      </c>
      <c r="GE6" s="35" t="s">
        <v>560</v>
      </c>
      <c r="GF6" s="35" t="s">
        <v>561</v>
      </c>
      <c r="GG6" s="35" t="s">
        <v>558</v>
      </c>
      <c r="GH6" s="35" t="s">
        <v>559</v>
      </c>
      <c r="GI6" s="35" t="s">
        <v>560</v>
      </c>
      <c r="GJ6" s="35" t="s">
        <v>561</v>
      </c>
      <c r="GK6" s="35" t="s">
        <v>558</v>
      </c>
      <c r="GL6" s="35" t="s">
        <v>559</v>
      </c>
      <c r="GM6" s="35" t="s">
        <v>560</v>
      </c>
      <c r="GN6" s="35" t="s">
        <v>561</v>
      </c>
      <c r="GO6" s="35" t="s">
        <v>558</v>
      </c>
      <c r="GP6" s="35" t="s">
        <v>559</v>
      </c>
      <c r="GQ6" s="35" t="s">
        <v>560</v>
      </c>
      <c r="GR6" s="35" t="s">
        <v>561</v>
      </c>
      <c r="GS6" s="35" t="s">
        <v>562</v>
      </c>
      <c r="GT6" s="35" t="s">
        <v>563</v>
      </c>
      <c r="GU6" s="35" t="s">
        <v>564</v>
      </c>
      <c r="GV6" s="35" t="s">
        <v>565</v>
      </c>
      <c r="GW6" s="35" t="s">
        <v>564</v>
      </c>
      <c r="GX6" s="35" t="s">
        <v>565</v>
      </c>
      <c r="GY6" s="35" t="s">
        <v>564</v>
      </c>
      <c r="GZ6" s="35" t="s">
        <v>565</v>
      </c>
      <c r="HA6" s="35" t="s">
        <v>564</v>
      </c>
      <c r="HB6" s="35" t="s">
        <v>565</v>
      </c>
      <c r="HC6" s="35" t="s">
        <v>564</v>
      </c>
      <c r="HD6" s="35" t="s">
        <v>565</v>
      </c>
      <c r="HE6" s="35" t="s">
        <v>566</v>
      </c>
      <c r="HF6" s="35" t="s">
        <v>566</v>
      </c>
      <c r="HG6" s="35" t="s">
        <v>566</v>
      </c>
      <c r="HH6" s="35" t="s">
        <v>566</v>
      </c>
      <c r="HI6" s="35" t="s">
        <v>566</v>
      </c>
      <c r="HJ6" s="35" t="s">
        <v>566</v>
      </c>
      <c r="HK6" s="35" t="s">
        <v>566</v>
      </c>
      <c r="HL6" s="35" t="s">
        <v>566</v>
      </c>
      <c r="HM6" s="35" t="s">
        <v>566</v>
      </c>
      <c r="HN6" s="35" t="s">
        <v>566</v>
      </c>
      <c r="HO6" s="35" t="s">
        <v>566</v>
      </c>
      <c r="HP6" s="35" t="s">
        <v>566</v>
      </c>
      <c r="HQ6" s="35" t="s">
        <v>566</v>
      </c>
      <c r="HR6" s="35" t="s">
        <v>566</v>
      </c>
      <c r="HS6" s="35" t="s">
        <v>566</v>
      </c>
      <c r="HT6" s="35" t="s">
        <v>566</v>
      </c>
      <c r="HU6" s="35" t="s">
        <v>566</v>
      </c>
      <c r="HV6" s="35" t="s">
        <v>566</v>
      </c>
      <c r="HW6" s="35" t="s">
        <v>566</v>
      </c>
      <c r="HX6" s="35" t="s">
        <v>566</v>
      </c>
      <c r="HY6" s="35" t="s">
        <v>566</v>
      </c>
      <c r="HZ6" s="35" t="s">
        <v>566</v>
      </c>
      <c r="IA6" s="35" t="s">
        <v>566</v>
      </c>
      <c r="IB6" s="35" t="s">
        <v>566</v>
      </c>
      <c r="IC6" s="35" t="s">
        <v>566</v>
      </c>
      <c r="ID6" s="35" t="s">
        <v>566</v>
      </c>
      <c r="IE6" s="35" t="s">
        <v>566</v>
      </c>
      <c r="IF6" s="35" t="s">
        <v>566</v>
      </c>
      <c r="IG6" s="35" t="s">
        <v>566</v>
      </c>
      <c r="IH6" s="35" t="s">
        <v>566</v>
      </c>
      <c r="II6" s="35" t="s">
        <v>567</v>
      </c>
      <c r="IJ6" s="35" t="s">
        <v>567</v>
      </c>
      <c r="IK6" s="35" t="s">
        <v>568</v>
      </c>
      <c r="IL6" s="35" t="s">
        <v>569</v>
      </c>
      <c r="IM6" s="35" t="s">
        <v>570</v>
      </c>
      <c r="IN6" s="35" t="s">
        <v>571</v>
      </c>
      <c r="IO6" s="35" t="s">
        <v>568</v>
      </c>
      <c r="IP6" s="35" t="s">
        <v>569</v>
      </c>
      <c r="IQ6" s="35" t="s">
        <v>570</v>
      </c>
      <c r="IR6" s="35" t="s">
        <v>571</v>
      </c>
      <c r="IS6" s="35" t="s">
        <v>568</v>
      </c>
      <c r="IT6" s="35" t="s">
        <v>569</v>
      </c>
      <c r="IU6" s="35" t="s">
        <v>570</v>
      </c>
      <c r="IV6" s="35" t="s">
        <v>571</v>
      </c>
      <c r="IW6" s="35" t="s">
        <v>568</v>
      </c>
      <c r="IX6" s="35" t="s">
        <v>569</v>
      </c>
      <c r="IY6" s="35" t="s">
        <v>570</v>
      </c>
      <c r="IZ6" s="35" t="s">
        <v>571</v>
      </c>
      <c r="JA6" s="35" t="s">
        <v>568</v>
      </c>
      <c r="JB6" s="35" t="s">
        <v>569</v>
      </c>
      <c r="JC6" s="35" t="s">
        <v>570</v>
      </c>
      <c r="JD6" s="35" t="s">
        <v>571</v>
      </c>
      <c r="JE6" s="35" t="s">
        <v>568</v>
      </c>
      <c r="JF6" s="35" t="s">
        <v>569</v>
      </c>
      <c r="JG6" s="35" t="s">
        <v>570</v>
      </c>
      <c r="JH6" s="35" t="s">
        <v>571</v>
      </c>
      <c r="JI6" s="35" t="s">
        <v>568</v>
      </c>
      <c r="JJ6" s="35" t="s">
        <v>569</v>
      </c>
      <c r="JK6" s="35" t="s">
        <v>570</v>
      </c>
      <c r="JL6" s="35" t="s">
        <v>571</v>
      </c>
      <c r="JM6" s="35" t="s">
        <v>568</v>
      </c>
      <c r="JN6" s="35" t="s">
        <v>569</v>
      </c>
      <c r="JO6" s="35" t="s">
        <v>570</v>
      </c>
      <c r="JP6" s="35" t="s">
        <v>571</v>
      </c>
      <c r="JQ6" s="35" t="s">
        <v>568</v>
      </c>
      <c r="JR6" s="35" t="s">
        <v>569</v>
      </c>
      <c r="JS6" s="35" t="s">
        <v>570</v>
      </c>
      <c r="JT6" s="35" t="s">
        <v>571</v>
      </c>
      <c r="JU6" s="35" t="s">
        <v>568</v>
      </c>
      <c r="JV6" s="35" t="s">
        <v>569</v>
      </c>
      <c r="JW6" s="35" t="s">
        <v>570</v>
      </c>
      <c r="JX6" s="35" t="s">
        <v>571</v>
      </c>
      <c r="JY6" s="35" t="s">
        <v>572</v>
      </c>
      <c r="JZ6" s="35" t="s">
        <v>648</v>
      </c>
      <c r="KA6" s="35" t="s">
        <v>649</v>
      </c>
      <c r="KB6" s="35" t="s">
        <v>575</v>
      </c>
      <c r="KC6" s="35" t="s">
        <v>650</v>
      </c>
      <c r="KD6" s="35" t="s">
        <v>585</v>
      </c>
      <c r="KE6" s="35" t="s">
        <v>589</v>
      </c>
      <c r="KF6" s="35" t="s">
        <v>588</v>
      </c>
      <c r="KG6" s="35" t="s">
        <v>651</v>
      </c>
      <c r="KH6" s="35" t="s">
        <v>652</v>
      </c>
      <c r="KI6" s="35" t="s">
        <v>653</v>
      </c>
      <c r="KJ6" s="35" t="s">
        <v>654</v>
      </c>
      <c r="KK6" s="35" t="s">
        <v>655</v>
      </c>
      <c r="KL6" s="35" t="s">
        <v>656</v>
      </c>
      <c r="KM6" s="35" t="s">
        <v>657</v>
      </c>
      <c r="KN6" s="35" t="s">
        <v>583</v>
      </c>
      <c r="KO6" s="35" t="s">
        <v>590</v>
      </c>
      <c r="KP6" s="35" t="s">
        <v>658</v>
      </c>
      <c r="KQ6" s="35" t="s">
        <v>659</v>
      </c>
      <c r="KR6" s="35" t="s">
        <v>580</v>
      </c>
      <c r="KS6" s="35" t="s">
        <v>581</v>
      </c>
      <c r="KT6" s="35" t="s">
        <v>660</v>
      </c>
      <c r="KU6" s="35" t="s">
        <v>592</v>
      </c>
      <c r="KV6" s="35" t="s">
        <v>661</v>
      </c>
      <c r="KW6" s="35" t="s">
        <v>593</v>
      </c>
      <c r="KX6" s="35" t="s">
        <v>594</v>
      </c>
      <c r="KY6" s="35" t="s">
        <v>595</v>
      </c>
      <c r="KZ6" s="35" t="s">
        <v>596</v>
      </c>
      <c r="LA6" s="35" t="s">
        <v>597</v>
      </c>
      <c r="LB6" s="35" t="s">
        <v>598</v>
      </c>
      <c r="LC6" s="35" t="s">
        <v>600</v>
      </c>
    </row>
    <row r="7" spans="1:315" ht="50" customHeight="1">
      <c r="A7" s="35" t="s">
        <v>601</v>
      </c>
      <c r="B7" s="35" t="s">
        <v>67</v>
      </c>
      <c r="C7" s="35" t="s">
        <v>67</v>
      </c>
      <c r="D7" s="35" t="s">
        <v>67</v>
      </c>
      <c r="E7" s="35" t="s">
        <v>67</v>
      </c>
      <c r="F7" s="36" t="s">
        <v>602</v>
      </c>
      <c r="G7" s="35" t="s">
        <v>67</v>
      </c>
      <c r="H7" s="36" t="s">
        <v>602</v>
      </c>
      <c r="I7" s="35" t="s">
        <v>67</v>
      </c>
      <c r="J7" s="36" t="s">
        <v>602</v>
      </c>
      <c r="K7" s="35" t="s">
        <v>67</v>
      </c>
      <c r="L7" s="36" t="s">
        <v>602</v>
      </c>
      <c r="M7" s="35" t="s">
        <v>67</v>
      </c>
      <c r="N7" s="36" t="s">
        <v>602</v>
      </c>
      <c r="O7" s="35" t="s">
        <v>67</v>
      </c>
      <c r="P7" s="35" t="s">
        <v>603</v>
      </c>
      <c r="Q7" s="35" t="s">
        <v>603</v>
      </c>
      <c r="R7" s="35" t="s">
        <v>603</v>
      </c>
      <c r="S7" s="35" t="s">
        <v>603</v>
      </c>
      <c r="T7" s="35" t="s">
        <v>67</v>
      </c>
      <c r="U7" s="35" t="s">
        <v>67</v>
      </c>
      <c r="V7" s="35" t="s">
        <v>67</v>
      </c>
      <c r="W7" s="35" t="s">
        <v>67</v>
      </c>
      <c r="X7" s="35" t="s">
        <v>67</v>
      </c>
      <c r="Y7" s="35" t="s">
        <v>67</v>
      </c>
      <c r="Z7" s="35" t="s">
        <v>67</v>
      </c>
      <c r="AA7" s="35" t="s">
        <v>67</v>
      </c>
      <c r="AB7" s="35" t="s">
        <v>67</v>
      </c>
      <c r="AC7" s="35" t="s">
        <v>67</v>
      </c>
      <c r="AD7" s="35" t="s">
        <v>604</v>
      </c>
      <c r="AE7" s="35" t="s">
        <v>604</v>
      </c>
      <c r="AF7" s="35" t="s">
        <v>604</v>
      </c>
      <c r="AG7" s="35" t="s">
        <v>603</v>
      </c>
      <c r="AH7" s="36" t="s">
        <v>602</v>
      </c>
      <c r="AI7" s="36" t="s">
        <v>602</v>
      </c>
      <c r="AJ7" s="36" t="s">
        <v>602</v>
      </c>
      <c r="AK7" s="36" t="s">
        <v>602</v>
      </c>
      <c r="AL7" s="35" t="s">
        <v>67</v>
      </c>
      <c r="AM7" s="35" t="s">
        <v>72</v>
      </c>
      <c r="AN7" s="35" t="s">
        <v>72</v>
      </c>
      <c r="AO7" s="35" t="s">
        <v>603</v>
      </c>
      <c r="AP7" s="35" t="s">
        <v>603</v>
      </c>
      <c r="AQ7" s="35" t="s">
        <v>603</v>
      </c>
      <c r="AR7" s="35" t="s">
        <v>603</v>
      </c>
      <c r="AS7" s="35" t="s">
        <v>603</v>
      </c>
      <c r="AT7" s="35" t="s">
        <v>603</v>
      </c>
      <c r="AU7" s="35" t="s">
        <v>603</v>
      </c>
      <c r="AV7" s="35" t="s">
        <v>603</v>
      </c>
      <c r="AW7" s="35" t="s">
        <v>603</v>
      </c>
      <c r="AX7" s="35" t="s">
        <v>603</v>
      </c>
      <c r="AY7" s="35" t="s">
        <v>603</v>
      </c>
      <c r="AZ7" s="35" t="s">
        <v>603</v>
      </c>
      <c r="BA7" s="35" t="s">
        <v>603</v>
      </c>
      <c r="BB7" s="35" t="s">
        <v>603</v>
      </c>
      <c r="BC7" s="35" t="s">
        <v>603</v>
      </c>
      <c r="BD7" s="35" t="s">
        <v>603</v>
      </c>
      <c r="BE7" s="35" t="s">
        <v>603</v>
      </c>
      <c r="BF7" s="35" t="s">
        <v>603</v>
      </c>
      <c r="BG7" s="35" t="s">
        <v>603</v>
      </c>
      <c r="BH7" s="35" t="s">
        <v>603</v>
      </c>
      <c r="BI7" s="35" t="s">
        <v>603</v>
      </c>
      <c r="BJ7" s="35" t="s">
        <v>603</v>
      </c>
      <c r="BK7" s="35" t="s">
        <v>603</v>
      </c>
      <c r="BL7" s="35" t="s">
        <v>603</v>
      </c>
      <c r="BM7" s="35" t="s">
        <v>603</v>
      </c>
      <c r="BN7" s="35" t="s">
        <v>603</v>
      </c>
      <c r="BO7" s="35" t="s">
        <v>603</v>
      </c>
      <c r="BP7" s="35" t="s">
        <v>603</v>
      </c>
      <c r="BQ7" s="35" t="s">
        <v>603</v>
      </c>
      <c r="BR7" s="35" t="s">
        <v>603</v>
      </c>
      <c r="BS7" s="35" t="s">
        <v>603</v>
      </c>
      <c r="BT7" s="35" t="s">
        <v>603</v>
      </c>
      <c r="BU7" s="35" t="s">
        <v>603</v>
      </c>
      <c r="BV7" s="35" t="s">
        <v>603</v>
      </c>
      <c r="BW7" s="35" t="s">
        <v>603</v>
      </c>
      <c r="BX7" s="35" t="s">
        <v>603</v>
      </c>
      <c r="BY7" s="35" t="s">
        <v>603</v>
      </c>
      <c r="BZ7" s="35" t="s">
        <v>603</v>
      </c>
      <c r="CA7" s="35" t="s">
        <v>603</v>
      </c>
      <c r="CB7" s="35" t="s">
        <v>603</v>
      </c>
      <c r="CC7" s="35" t="s">
        <v>603</v>
      </c>
      <c r="CD7" s="35" t="s">
        <v>603</v>
      </c>
      <c r="CE7" s="35" t="s">
        <v>603</v>
      </c>
      <c r="CF7" s="35" t="s">
        <v>603</v>
      </c>
      <c r="CG7" s="35" t="s">
        <v>603</v>
      </c>
      <c r="CH7" s="35" t="s">
        <v>603</v>
      </c>
      <c r="CI7" s="35" t="s">
        <v>603</v>
      </c>
      <c r="CJ7" s="35" t="s">
        <v>603</v>
      </c>
      <c r="CK7" s="35" t="s">
        <v>603</v>
      </c>
      <c r="CL7" s="35" t="s">
        <v>603</v>
      </c>
      <c r="CM7" s="35" t="s">
        <v>603</v>
      </c>
      <c r="CN7" s="35" t="s">
        <v>603</v>
      </c>
      <c r="CO7" s="35" t="s">
        <v>603</v>
      </c>
      <c r="CP7" s="35" t="s">
        <v>603</v>
      </c>
      <c r="CQ7" s="35" t="s">
        <v>603</v>
      </c>
      <c r="CR7" s="35" t="s">
        <v>603</v>
      </c>
      <c r="CS7" s="35" t="s">
        <v>603</v>
      </c>
      <c r="CT7" s="35" t="s">
        <v>603</v>
      </c>
      <c r="CU7" s="35" t="s">
        <v>603</v>
      </c>
      <c r="CV7" s="35" t="s">
        <v>603</v>
      </c>
      <c r="CW7" s="35" t="s">
        <v>603</v>
      </c>
      <c r="CX7" s="35" t="s">
        <v>603</v>
      </c>
      <c r="CY7" s="35" t="s">
        <v>603</v>
      </c>
      <c r="CZ7" s="35" t="s">
        <v>603</v>
      </c>
      <c r="DA7" s="35" t="s">
        <v>603</v>
      </c>
      <c r="DB7" s="35" t="s">
        <v>603</v>
      </c>
      <c r="DC7" s="35" t="s">
        <v>603</v>
      </c>
      <c r="DD7" s="35" t="s">
        <v>603</v>
      </c>
      <c r="DE7" s="35" t="s">
        <v>603</v>
      </c>
      <c r="DF7" s="35" t="s">
        <v>603</v>
      </c>
      <c r="DG7" s="35" t="s">
        <v>603</v>
      </c>
      <c r="DH7" s="35" t="s">
        <v>603</v>
      </c>
      <c r="DI7" s="35" t="s">
        <v>603</v>
      </c>
      <c r="DJ7" s="35" t="s">
        <v>603</v>
      </c>
      <c r="DK7" s="35" t="s">
        <v>603</v>
      </c>
      <c r="DL7" s="35" t="s">
        <v>603</v>
      </c>
      <c r="DM7" s="35" t="s">
        <v>603</v>
      </c>
      <c r="DN7" s="35" t="s">
        <v>603</v>
      </c>
      <c r="DO7" s="35" t="s">
        <v>603</v>
      </c>
      <c r="DP7" s="35" t="s">
        <v>603</v>
      </c>
      <c r="DQ7" s="35" t="s">
        <v>603</v>
      </c>
      <c r="DR7" s="35" t="s">
        <v>603</v>
      </c>
      <c r="DS7" s="35" t="s">
        <v>603</v>
      </c>
      <c r="DT7" s="35" t="s">
        <v>603</v>
      </c>
      <c r="DU7" s="35" t="s">
        <v>603</v>
      </c>
      <c r="DV7" s="35" t="s">
        <v>603</v>
      </c>
      <c r="DW7" s="35" t="s">
        <v>603</v>
      </c>
      <c r="DX7" s="35" t="s">
        <v>603</v>
      </c>
      <c r="DY7" s="35" t="s">
        <v>603</v>
      </c>
      <c r="DZ7" s="35" t="s">
        <v>603</v>
      </c>
      <c r="EA7" s="35" t="s">
        <v>603</v>
      </c>
      <c r="EB7" s="35" t="s">
        <v>603</v>
      </c>
      <c r="EC7" s="35" t="s">
        <v>603</v>
      </c>
      <c r="ED7" s="35" t="s">
        <v>603</v>
      </c>
      <c r="EE7" s="35" t="s">
        <v>603</v>
      </c>
      <c r="EF7" s="35" t="s">
        <v>603</v>
      </c>
      <c r="EG7" s="35" t="s">
        <v>603</v>
      </c>
      <c r="EH7" s="35" t="s">
        <v>603</v>
      </c>
      <c r="EI7" s="35" t="s">
        <v>603</v>
      </c>
      <c r="EJ7" s="35" t="s">
        <v>603</v>
      </c>
      <c r="EK7" s="35" t="s">
        <v>603</v>
      </c>
      <c r="EL7" s="35" t="s">
        <v>603</v>
      </c>
      <c r="EM7" s="35" t="s">
        <v>603</v>
      </c>
      <c r="EN7" s="35" t="s">
        <v>603</v>
      </c>
      <c r="EO7" s="35" t="s">
        <v>603</v>
      </c>
      <c r="EP7" s="35" t="s">
        <v>603</v>
      </c>
      <c r="EQ7" s="35" t="s">
        <v>603</v>
      </c>
      <c r="ER7" s="35" t="s">
        <v>603</v>
      </c>
      <c r="ES7" s="35" t="s">
        <v>603</v>
      </c>
      <c r="ET7" s="35" t="s">
        <v>603</v>
      </c>
      <c r="EU7" s="35" t="s">
        <v>603</v>
      </c>
      <c r="EV7" s="35" t="s">
        <v>603</v>
      </c>
      <c r="EW7" s="35" t="s">
        <v>603</v>
      </c>
      <c r="EX7" s="35" t="s">
        <v>603</v>
      </c>
      <c r="EY7" s="35" t="s">
        <v>603</v>
      </c>
      <c r="EZ7" s="35" t="s">
        <v>603</v>
      </c>
      <c r="FA7" s="35" t="s">
        <v>603</v>
      </c>
      <c r="FB7" s="35" t="s">
        <v>603</v>
      </c>
      <c r="FC7" s="35" t="s">
        <v>603</v>
      </c>
      <c r="FD7" s="35" t="s">
        <v>603</v>
      </c>
      <c r="FE7" s="35" t="s">
        <v>603</v>
      </c>
      <c r="FF7" s="35" t="s">
        <v>603</v>
      </c>
      <c r="FG7" s="35" t="s">
        <v>603</v>
      </c>
      <c r="FH7" s="35" t="s">
        <v>603</v>
      </c>
      <c r="FI7" s="35" t="s">
        <v>603</v>
      </c>
      <c r="FJ7" s="35" t="s">
        <v>603</v>
      </c>
      <c r="FK7" s="35" t="s">
        <v>603</v>
      </c>
      <c r="FL7" s="35" t="s">
        <v>603</v>
      </c>
      <c r="FM7" s="35" t="s">
        <v>603</v>
      </c>
      <c r="FN7" s="35" t="s">
        <v>603</v>
      </c>
      <c r="FO7" s="35" t="s">
        <v>603</v>
      </c>
      <c r="FP7" s="35" t="s">
        <v>603</v>
      </c>
      <c r="FQ7" s="35" t="s">
        <v>603</v>
      </c>
      <c r="FR7" s="35" t="s">
        <v>603</v>
      </c>
      <c r="FS7" s="35" t="s">
        <v>603</v>
      </c>
      <c r="FT7" s="35" t="s">
        <v>603</v>
      </c>
      <c r="FU7" s="35" t="s">
        <v>603</v>
      </c>
      <c r="FV7" s="35" t="s">
        <v>603</v>
      </c>
      <c r="FW7" s="35" t="s">
        <v>603</v>
      </c>
      <c r="FX7" s="35" t="s">
        <v>603</v>
      </c>
      <c r="FY7" s="35" t="s">
        <v>603</v>
      </c>
      <c r="FZ7" s="35" t="s">
        <v>603</v>
      </c>
      <c r="GA7" s="35" t="s">
        <v>603</v>
      </c>
      <c r="GB7" s="35" t="s">
        <v>603</v>
      </c>
      <c r="GC7" s="35" t="s">
        <v>603</v>
      </c>
      <c r="GD7" s="35" t="s">
        <v>603</v>
      </c>
      <c r="GE7" s="35" t="s">
        <v>603</v>
      </c>
      <c r="GF7" s="35" t="s">
        <v>603</v>
      </c>
      <c r="GG7" s="35" t="s">
        <v>603</v>
      </c>
      <c r="GH7" s="35" t="s">
        <v>603</v>
      </c>
      <c r="GI7" s="35" t="s">
        <v>603</v>
      </c>
      <c r="GJ7" s="35" t="s">
        <v>603</v>
      </c>
      <c r="GK7" s="35" t="s">
        <v>603</v>
      </c>
      <c r="GL7" s="35" t="s">
        <v>603</v>
      </c>
      <c r="GM7" s="35" t="s">
        <v>603</v>
      </c>
      <c r="GN7" s="35" t="s">
        <v>603</v>
      </c>
      <c r="GO7" s="35" t="s">
        <v>603</v>
      </c>
      <c r="GP7" s="35" t="s">
        <v>603</v>
      </c>
      <c r="GQ7" s="35" t="s">
        <v>603</v>
      </c>
      <c r="GR7" s="35" t="s">
        <v>603</v>
      </c>
      <c r="GS7" s="36" t="s">
        <v>602</v>
      </c>
      <c r="GT7" s="35" t="s">
        <v>72</v>
      </c>
      <c r="GU7" s="36" t="s">
        <v>602</v>
      </c>
      <c r="GV7" s="36" t="s">
        <v>602</v>
      </c>
      <c r="GW7" s="36" t="s">
        <v>602</v>
      </c>
      <c r="GX7" s="36" t="s">
        <v>602</v>
      </c>
      <c r="GY7" s="36" t="s">
        <v>602</v>
      </c>
      <c r="GZ7" s="36" t="s">
        <v>602</v>
      </c>
      <c r="HA7" s="36" t="s">
        <v>602</v>
      </c>
      <c r="HB7" s="36" t="s">
        <v>602</v>
      </c>
      <c r="HC7" s="36" t="s">
        <v>602</v>
      </c>
      <c r="HD7" s="36" t="s">
        <v>602</v>
      </c>
      <c r="HE7" s="35" t="s">
        <v>67</v>
      </c>
      <c r="HF7" s="35" t="s">
        <v>67</v>
      </c>
      <c r="HG7" s="35" t="s">
        <v>67</v>
      </c>
      <c r="HH7" s="35" t="s">
        <v>67</v>
      </c>
      <c r="HI7" s="35" t="s">
        <v>67</v>
      </c>
      <c r="HJ7" s="35" t="s">
        <v>67</v>
      </c>
      <c r="HK7" s="35" t="s">
        <v>67</v>
      </c>
      <c r="HL7" s="35" t="s">
        <v>67</v>
      </c>
      <c r="HM7" s="35" t="s">
        <v>67</v>
      </c>
      <c r="HN7" s="35" t="s">
        <v>67</v>
      </c>
      <c r="HO7" s="35" t="s">
        <v>67</v>
      </c>
      <c r="HP7" s="35" t="s">
        <v>67</v>
      </c>
      <c r="HQ7" s="35" t="s">
        <v>67</v>
      </c>
      <c r="HR7" s="35" t="s">
        <v>67</v>
      </c>
      <c r="HS7" s="35" t="s">
        <v>67</v>
      </c>
      <c r="HT7" s="35" t="s">
        <v>67</v>
      </c>
      <c r="HU7" s="35" t="s">
        <v>67</v>
      </c>
      <c r="HV7" s="35" t="s">
        <v>67</v>
      </c>
      <c r="HW7" s="35" t="s">
        <v>67</v>
      </c>
      <c r="HX7" s="35" t="s">
        <v>67</v>
      </c>
      <c r="HY7" s="35" t="s">
        <v>67</v>
      </c>
      <c r="HZ7" s="35" t="s">
        <v>67</v>
      </c>
      <c r="IA7" s="35" t="s">
        <v>67</v>
      </c>
      <c r="IB7" s="35" t="s">
        <v>67</v>
      </c>
      <c r="IC7" s="35" t="s">
        <v>67</v>
      </c>
      <c r="ID7" s="35" t="s">
        <v>67</v>
      </c>
      <c r="IE7" s="35" t="s">
        <v>67</v>
      </c>
      <c r="IF7" s="35" t="s">
        <v>67</v>
      </c>
      <c r="IG7" s="35" t="s">
        <v>67</v>
      </c>
      <c r="IH7" s="35" t="s">
        <v>67</v>
      </c>
      <c r="II7" s="35" t="s">
        <v>67</v>
      </c>
      <c r="IJ7" s="35" t="s">
        <v>67</v>
      </c>
      <c r="IK7" s="35" t="s">
        <v>67</v>
      </c>
      <c r="IL7" s="36" t="s">
        <v>605</v>
      </c>
      <c r="IM7" s="36" t="s">
        <v>606</v>
      </c>
      <c r="IN7" s="36" t="s">
        <v>602</v>
      </c>
      <c r="IO7" s="35" t="s">
        <v>67</v>
      </c>
      <c r="IP7" s="36" t="s">
        <v>605</v>
      </c>
      <c r="IQ7" s="36" t="s">
        <v>606</v>
      </c>
      <c r="IR7" s="36" t="s">
        <v>602</v>
      </c>
      <c r="IS7" s="35" t="s">
        <v>67</v>
      </c>
      <c r="IT7" s="36" t="s">
        <v>605</v>
      </c>
      <c r="IU7" s="36" t="s">
        <v>606</v>
      </c>
      <c r="IV7" s="36" t="s">
        <v>602</v>
      </c>
      <c r="IW7" s="35" t="s">
        <v>67</v>
      </c>
      <c r="IX7" s="36" t="s">
        <v>605</v>
      </c>
      <c r="IY7" s="36" t="s">
        <v>606</v>
      </c>
      <c r="IZ7" s="36" t="s">
        <v>602</v>
      </c>
      <c r="JA7" s="35" t="s">
        <v>67</v>
      </c>
      <c r="JB7" s="36" t="s">
        <v>605</v>
      </c>
      <c r="JC7" s="36" t="s">
        <v>606</v>
      </c>
      <c r="JD7" s="36" t="s">
        <v>602</v>
      </c>
      <c r="JE7" s="35" t="s">
        <v>67</v>
      </c>
      <c r="JF7" s="36" t="s">
        <v>605</v>
      </c>
      <c r="JG7" s="36" t="s">
        <v>606</v>
      </c>
      <c r="JH7" s="36" t="s">
        <v>602</v>
      </c>
      <c r="JI7" s="35" t="s">
        <v>67</v>
      </c>
      <c r="JJ7" s="36" t="s">
        <v>605</v>
      </c>
      <c r="JK7" s="36" t="s">
        <v>606</v>
      </c>
      <c r="JL7" s="36" t="s">
        <v>602</v>
      </c>
      <c r="JM7" s="35" t="s">
        <v>67</v>
      </c>
      <c r="JN7" s="36" t="s">
        <v>605</v>
      </c>
      <c r="JO7" s="36" t="s">
        <v>606</v>
      </c>
      <c r="JP7" s="36" t="s">
        <v>602</v>
      </c>
      <c r="JQ7" s="35" t="s">
        <v>67</v>
      </c>
      <c r="JR7" s="36" t="s">
        <v>605</v>
      </c>
      <c r="JS7" s="36" t="s">
        <v>606</v>
      </c>
      <c r="JT7" s="36" t="s">
        <v>602</v>
      </c>
      <c r="JU7" s="35" t="s">
        <v>67</v>
      </c>
      <c r="JV7" s="36" t="s">
        <v>605</v>
      </c>
      <c r="JW7" s="36" t="s">
        <v>606</v>
      </c>
      <c r="JX7" s="36" t="s">
        <v>602</v>
      </c>
      <c r="JY7" s="36" t="s">
        <v>602</v>
      </c>
      <c r="JZ7" s="36" t="s">
        <v>602</v>
      </c>
      <c r="KA7" s="36" t="s">
        <v>662</v>
      </c>
      <c r="KB7" s="36" t="s">
        <v>663</v>
      </c>
      <c r="KC7" s="36" t="s">
        <v>664</v>
      </c>
      <c r="KD7" s="36" t="s">
        <v>665</v>
      </c>
      <c r="KE7" s="36" t="s">
        <v>666</v>
      </c>
      <c r="KF7" s="36" t="s">
        <v>616</v>
      </c>
      <c r="KG7" s="36" t="s">
        <v>667</v>
      </c>
      <c r="KH7" s="36" t="s">
        <v>668</v>
      </c>
      <c r="KI7" s="35" t="s">
        <v>603</v>
      </c>
      <c r="KJ7" s="35" t="s">
        <v>604</v>
      </c>
      <c r="KK7" s="36" t="s">
        <v>669</v>
      </c>
      <c r="KL7" s="36" t="s">
        <v>602</v>
      </c>
      <c r="KM7" s="36" t="s">
        <v>670</v>
      </c>
      <c r="KN7" s="36" t="s">
        <v>671</v>
      </c>
      <c r="KO7" s="36" t="s">
        <v>618</v>
      </c>
      <c r="KP7" s="36" t="s">
        <v>672</v>
      </c>
      <c r="KQ7" s="36" t="s">
        <v>673</v>
      </c>
      <c r="KR7" s="36" t="s">
        <v>611</v>
      </c>
      <c r="KS7" s="35" t="s">
        <v>72</v>
      </c>
      <c r="KT7" s="35" t="s">
        <v>603</v>
      </c>
      <c r="KU7" s="35" t="s">
        <v>603</v>
      </c>
      <c r="KV7" s="35" t="s">
        <v>603</v>
      </c>
      <c r="KW7" s="35" t="s">
        <v>603</v>
      </c>
      <c r="KX7" s="35" t="s">
        <v>72</v>
      </c>
      <c r="KY7" s="36" t="s">
        <v>602</v>
      </c>
      <c r="KZ7" s="36" t="s">
        <v>602</v>
      </c>
      <c r="LA7" s="36" t="s">
        <v>602</v>
      </c>
      <c r="LB7" s="35" t="s">
        <v>72</v>
      </c>
      <c r="LC7" s="35" t="s">
        <v>72</v>
      </c>
    </row>
    <row r="8" spans="1:315">
      <c r="B8" s="37" t="s">
        <v>619</v>
      </c>
      <c r="C8" s="37" t="s">
        <v>620</v>
      </c>
      <c r="D8" s="37" t="s">
        <v>620</v>
      </c>
      <c r="E8" s="37" t="s">
        <v>620</v>
      </c>
      <c r="F8" s="38"/>
      <c r="G8" s="38"/>
      <c r="H8" s="37" t="s">
        <v>620</v>
      </c>
      <c r="I8" s="37" t="s">
        <v>620</v>
      </c>
      <c r="J8" s="37" t="s">
        <v>620</v>
      </c>
      <c r="K8" s="37" t="s">
        <v>620</v>
      </c>
      <c r="L8" s="37" t="s">
        <v>620</v>
      </c>
      <c r="M8" s="37" t="s">
        <v>620</v>
      </c>
      <c r="N8" s="37" t="s">
        <v>620</v>
      </c>
      <c r="O8" s="37" t="s">
        <v>620</v>
      </c>
      <c r="P8" s="37" t="s">
        <v>620</v>
      </c>
      <c r="Q8" s="37" t="s">
        <v>620</v>
      </c>
      <c r="R8" s="37" t="s">
        <v>620</v>
      </c>
      <c r="S8" s="37" t="s">
        <v>620</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7" t="s">
        <v>620</v>
      </c>
      <c r="HF8" s="37" t="s">
        <v>620</v>
      </c>
      <c r="HG8" s="37" t="s">
        <v>620</v>
      </c>
      <c r="HH8" s="37" t="s">
        <v>620</v>
      </c>
      <c r="HI8" s="37" t="s">
        <v>620</v>
      </c>
      <c r="HJ8" s="37" t="s">
        <v>620</v>
      </c>
      <c r="HK8" s="37" t="s">
        <v>620</v>
      </c>
      <c r="HL8" s="37" t="s">
        <v>620</v>
      </c>
      <c r="HM8" s="37" t="s">
        <v>620</v>
      </c>
      <c r="HN8" s="37" t="s">
        <v>620</v>
      </c>
      <c r="HO8" s="37" t="s">
        <v>620</v>
      </c>
      <c r="HP8" s="37" t="s">
        <v>620</v>
      </c>
      <c r="HQ8" s="37" t="s">
        <v>620</v>
      </c>
      <c r="HR8" s="37" t="s">
        <v>620</v>
      </c>
      <c r="HS8" s="37" t="s">
        <v>620</v>
      </c>
      <c r="HT8" s="37" t="s">
        <v>620</v>
      </c>
      <c r="HU8" s="37" t="s">
        <v>620</v>
      </c>
      <c r="HV8" s="37" t="s">
        <v>620</v>
      </c>
      <c r="HW8" s="37" t="s">
        <v>620</v>
      </c>
      <c r="HX8" s="37" t="s">
        <v>620</v>
      </c>
      <c r="HY8" s="37" t="s">
        <v>620</v>
      </c>
      <c r="HZ8" s="37" t="s">
        <v>620</v>
      </c>
      <c r="IA8" s="37" t="s">
        <v>620</v>
      </c>
      <c r="IB8" s="37" t="s">
        <v>620</v>
      </c>
      <c r="IC8" s="37" t="s">
        <v>620</v>
      </c>
      <c r="ID8" s="37" t="s">
        <v>620</v>
      </c>
      <c r="IE8" s="37" t="s">
        <v>620</v>
      </c>
      <c r="IF8" s="37" t="s">
        <v>620</v>
      </c>
      <c r="IG8" s="37" t="s">
        <v>620</v>
      </c>
      <c r="IH8" s="37" t="s">
        <v>620</v>
      </c>
      <c r="II8" s="37" t="s">
        <v>620</v>
      </c>
      <c r="IJ8" s="37" t="s">
        <v>620</v>
      </c>
      <c r="IK8" s="37" t="s">
        <v>620</v>
      </c>
      <c r="IL8" s="37" t="s">
        <v>620</v>
      </c>
      <c r="IM8" s="37" t="s">
        <v>620</v>
      </c>
      <c r="IN8" s="37" t="s">
        <v>620</v>
      </c>
      <c r="IO8" s="37" t="s">
        <v>620</v>
      </c>
      <c r="IP8" s="37" t="s">
        <v>620</v>
      </c>
      <c r="IQ8" s="37" t="s">
        <v>620</v>
      </c>
      <c r="IR8" s="37" t="s">
        <v>620</v>
      </c>
      <c r="IS8" s="37" t="s">
        <v>620</v>
      </c>
      <c r="IT8" s="37" t="s">
        <v>620</v>
      </c>
      <c r="IU8" s="37" t="s">
        <v>620</v>
      </c>
      <c r="IV8" s="37" t="s">
        <v>620</v>
      </c>
      <c r="IW8" s="37" t="s">
        <v>620</v>
      </c>
      <c r="IX8" s="37" t="s">
        <v>620</v>
      </c>
      <c r="IY8" s="37" t="s">
        <v>620</v>
      </c>
      <c r="IZ8" s="37" t="s">
        <v>620</v>
      </c>
      <c r="JA8" s="37" t="s">
        <v>620</v>
      </c>
      <c r="JB8" s="37" t="s">
        <v>620</v>
      </c>
      <c r="JC8" s="37" t="s">
        <v>620</v>
      </c>
      <c r="JD8" s="37" t="s">
        <v>620</v>
      </c>
      <c r="JE8" s="37" t="s">
        <v>620</v>
      </c>
      <c r="JF8" s="37" t="s">
        <v>620</v>
      </c>
      <c r="JG8" s="37" t="s">
        <v>620</v>
      </c>
      <c r="JH8" s="37" t="s">
        <v>620</v>
      </c>
      <c r="JI8" s="37" t="s">
        <v>620</v>
      </c>
      <c r="JJ8" s="37" t="s">
        <v>620</v>
      </c>
      <c r="JK8" s="37" t="s">
        <v>620</v>
      </c>
      <c r="JL8" s="37" t="s">
        <v>620</v>
      </c>
      <c r="JM8" s="37" t="s">
        <v>620</v>
      </c>
      <c r="JN8" s="37" t="s">
        <v>620</v>
      </c>
      <c r="JO8" s="37" t="s">
        <v>620</v>
      </c>
      <c r="JP8" s="37" t="s">
        <v>620</v>
      </c>
      <c r="JQ8" s="37" t="s">
        <v>620</v>
      </c>
      <c r="JR8" s="37" t="s">
        <v>620</v>
      </c>
      <c r="JS8" s="37" t="s">
        <v>620</v>
      </c>
      <c r="JT8" s="37" t="s">
        <v>620</v>
      </c>
      <c r="JU8" s="37" t="s">
        <v>620</v>
      </c>
      <c r="JV8" s="37" t="s">
        <v>620</v>
      </c>
      <c r="JW8" s="37" t="s">
        <v>620</v>
      </c>
      <c r="JX8" s="37" t="s">
        <v>620</v>
      </c>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c r="LB8" s="38"/>
      <c r="LC8" s="38"/>
    </row>
    <row r="9" spans="1:315">
      <c r="A9" cm="1">
        <f t="array" ref="A9">_xlfn.BYROW('6161-S-WUO_ERR'!B9:LC508, _xlfn.LAMBDA(_xlpm.r, _xlfn.LET(_xlpm.high_priority, IFERROR(INDEX(_xlpm.r, MATCH(TRUE, (_xlpm.r &lt;&gt; "") * ((LEFT(_xlpm.r, 2) = "1:") + (LEFT(_xlpm.r, 2) = "3:")) &gt; 0, 0)), ""), IF(_xlpm.high_priority &lt;&gt; "", _xlpm.high_priority, IFERROR(INDEX(_xlpm.r, MATCH(TRUE, (_xlpm.r &lt;&gt; "") * (LEFT(_xlpm.r, 2) = "4:") &gt; 0, 0)), "")))))</f>
        <v>0</v>
      </c>
      <c r="B9" s="22" cm="1">
        <f t="array" ref="B9">_xlfn.MAP('6161 - Wallpaper (S)'!B9:B508, '6161 - Wallpaper (S)'!B9:B508, _xlfn.LAMBDA(_xlpm.part, _xlpm.val, IF(_xlpm.part = "", "", _xlfn.LET(_xlpm.check1, IF(AND(_xlpm.val &lt;&gt; "" ,LEN(_xlpm.val)&gt;64), "1:Supplier Part Number must be no more than 64 characters", ""), IF(LEN(_xlpm.check1) &gt; 0, _xlpm.check1, _xlfn.LET(_xlpm.check2, IF(OR(ISNUMBER(SEARCH({"&lt;","&gt;","Ø","•","‣","⁃","⁌","⁍","™","∙","⌀","◦"}, _xlpm.val))), "1:Supplier Part Number cannot contain Special Characters", ""), IF(LEN(_xlpm.check2) &gt; 0, _xlpm.check2, _xlfn.LET(_xlpm.check3, IF(OR(ISNUMBER(SEARCH({","}, _xlpm.val))), "1:Supplier Part Number cannot contain Commas", ""), IF(LEN(_xlpm.check3) &gt; 0, _xlpm.check3, IF(_xlpm.val = "", "3:Supplier Part Number is required", ""))))))))))</f>
        <v>0</v>
      </c>
      <c r="C9" s="22" cm="1">
        <f t="array" ref="C9">_xlfn.MAP('6161 - Wallpaper (S)'!B9:B508, '6161 - Wallpaper (S)'!C9:C508, _xlfn.LAMBDA(_xlpm.part, _xlpm.val, IF(_xlpm.part = "", "", _xlfn.LET(_xlpm.check1, IF(AND(_xlpm.val &lt;&gt; "" ,LEN(_xlpm.val)&gt;64), "1:Manufacturer Part Number must be no more than 64 characters", ""), IF(LEN(_xlpm.check1) &gt; 0, _xlpm.check1, _xlfn.LET(_xlpm.check2, IF(OR(ISNUMBER(SEARCH({"&lt;","&gt;","Ø","•","‣","⁃","⁌","⁍","™","∙","⌀","◦"}, _xlpm.val))), "1:Manufacturer Part Number cannot contain Special Characters", ""), IF(LEN(_xlpm.check2) &gt; 0, _xlpm.check2, _xlfn.LET(_xlpm.check3, IF(OR(ISNUMBER(SEARCH({","}, _xlpm.val))), "1:Manufacturer Part Number cannot contain Commas", ""), IF(LEN(_xlpm.check3) &gt; 0, _xlpm.check3, IF(_xlpm.val = "", "3:Manufacturer Part Number is required", ""))))))))))</f>
        <v>0</v>
      </c>
      <c r="D9" s="22" cm="1">
        <f t="array" ref="D9">_xlfn.MAP('6161 - Wallpaper (S)'!B9:B508, '6161 - Wallpaper (S)'!D9:D508, _xlfn.LAMBDA(_xlpm.part, _xlpm.val, IF(_xlpm.part = "", "", _xlfn.LET(_xlpm.check1, IF(AND(_xlpm.val &lt;&gt; "" ,NOT(OR(LEN(_xlpm.val)=8,LEN(_xlpm.val)=12,LEN(_xlpm.val)=13,LEN(_xlpm.val)=14))), "1:Universal Product Code must be 8,12,13,14 characters", ""), IF(LEN(_xlpm.check1) &gt; 0, _xlpm.check1, IF(OR(ISNUMBER(SEARCH({"&lt;","&gt;","Ø","•","‣","⁃","⁌","⁍","™","∙","⌀","◦"}, _xlpm.val))), "1:Universal Product Code cannot contain Special Characters", ""))))))</f>
        <v>0</v>
      </c>
      <c r="E9" s="22" cm="1">
        <f t="array" ref="E9">_xlfn.MAP('6161 - Wallpaper (S)'!B9:B508, '6161 - Wallpaper (S)'!E9:E508, _xlfn.LAMBDA(_xlpm.part, _xlpm.val, IF(_xlpm.part = "", "", _xlfn.LET(_xlpm.check1, IF(AND(_xlpm.val &lt;&gt; "", LEN(_xlpm.val) &lt; 10), "1:Product Name must be at least 10 characters", ""), IF(LEN(_xlpm.check1) &gt; 0, _xlpm.check1, _xlfn.LET(_xlpm.check2, IF(AND(_xlpm.val &lt;&gt; "" ,LEN(_xlpm.val)&gt;254), "1:Product Name must be no more than 254 characters", ""), IF(LEN(_xlpm.check2) &gt; 0, _xlpm.check2, _xlfn.LET(_xlpm.check3, IF(OR(ISNUMBER(SEARCH({"&lt;","&gt;","Ø","•","‣","⁃","⁌","⁍","™","∙","⌀","◦"}, _xlpm.val))), "1:Product Name cannot contain Special Characters", ""), IF(LEN(_xlpm.check3) &gt; 0, _xlpm.check3, IF(_xlpm.val = "", "3:Product Name is required", ""))))))))))</f>
        <v>0</v>
      </c>
      <c r="F9" s="22" cm="1">
        <f t="array" ref="F9">_xlfn.MAP('6161 - Wallpaper (S)'!B9:B508, '6161 - Wallpaper (S)'!F9:F508, '6161 - Wallpaper (S)'!H9:H508, _xlfn.LAMBDA(_xlpm.part, _xlpm.val, _xlpm.dep1, IF(_xlpm.part = "", "", _xlfn.LET(_xlpm.check1, IF(AND(_xlpm.val = "", _xlpm.dep1 = "Non-Primary Variant"), "2:Autofill", ""), IF(LEN(_xlpm.check1) &gt; 0, _xlpm.check1, IF(AND(_xlpm.val = "", '6161 - Wallpaper (S)'!F$8=""), "3:Brand is required", ""))))))</f>
        <v>0</v>
      </c>
      <c r="G9" s="22" cm="1">
        <f t="array" ref="G9">_xlfn.MAP('6161 - Wallpaper (S)'!B9:B508, '6161 - Wallpaper (S)'!G9:G508, '6161 - Wallpaper (S)'!H9:H508, _xlfn.LAMBDA(_xlpm.part, _xlpm.val, _xlpm.dep1, IF(_xlpm.part = "", "", IF(AND(_xlpm.val = "", _xlpm.dep1 = "Non-Primary Variant"), "2:Autofill", ""))))</f>
        <v>0</v>
      </c>
      <c r="I9" s="22" cm="1">
        <f t="array" ref="I9">_xlfn.MAP('6161 - Wallpaper (S)'!B9:B508, '6161 - Wallpaper (S)'!I9:I508, '6161 - Wallpaper (S)'!H9:H508, _xlfn.LAMBDA(_xlpm.part, _xlpm.val, _xlpm.dep1, IF(_xlpm.part = "", "", _xlfn.LET(_xlpm.check1, IF(OR(_xlpm.dep1 = "Not Variant", _xlpm.dep1 = ""), IF(_xlpm.val = "", "2:Disable", "1:Group Reference ID must be left blank when Variant Type equals Not Variant, EMPTY"), ""), IF(LEN(_xlpm.check1) &gt; 0, _xlpm.check1, _xlfn.LET(_xlpm.check2, IF(_xlpm.dep1 = "Non-Primary Variant", IF(_xlpm.val = "", "3:Group Reference ID is required when Variant Type equals Non-Primary Variant", ""), ""), IF(LEN(_xlpm.check2) &gt; 0, _xlpm.check2, IF(_xlpm.dep1 = "Primary Variant", IF(_xlpm.val = "", "3:Group Reference ID is required when Variant Type equals Primary Variant", ""), ""))))))))</f>
        <v>0</v>
      </c>
      <c r="J9" s="22" cm="1">
        <f t="array" ref="J9">_xlfn.MAP('6161 - Wallpaper (S)'!B9:B508, '6161 - Wallpaper (S)'!J9:J508, '6161 - Wallpaper (S)'!H9:H508, _xlfn.LAMBDA(_xlpm.part, _xlpm.val, _xlpm.dep1, IF(_xlpm.part = "", "", _xlfn.LET(_xlpm.check1, IF(AND(_xlpm.val = "", _xlpm.dep1 = "Non-Primary Variant"), "2:Autofill", ""), IF(LEN(_xlpm.check1) &gt; 0, _xlpm.check1, _xlfn.LET(_xlpm.check2, IF(OR(_xlpm.dep1 = "Not Variant", _xlpm.dep1 = ""), IF(_xlpm.val = "", "2:Disable", "1:Variant Grouping must be left blank when Variant Type equals Not Variant, EMPTY"), ""), IF(LEN(_xlpm.check2) &gt; 0, _xlpm.check2, IF(_xlpm.dep1 = "Primary Variant", IF(_xlpm.val = "", "3:Variant Grouping is required when Variant Type equals Primary Variant", ""), ""))))))))</f>
        <v>0</v>
      </c>
      <c r="K9" s="22" cm="1">
        <f t="array" ref="K9">_xlfn.MAP('6161 - Wallpaper (S)'!B9:B508, '6161 - Wallpaper (S)'!K9:K508, '6161 - Wallpaper (S)'!H9:H508, '6161 - Wallpaper (S)'!J9:J508, _xlfn.LAMBDA(_xlpm.part, _xlpm.val, _xlpm.dep1, _xlpm.dep2, IF(_xlpm.part = "", "", _xlfn.LET(_xlpm.check1, IF(AND(_xlpm.val = "", _xlpm.dep2 = "Color"), "2:Autofill", ""), IF(LEN(_xlpm.check1) &gt; 0, _xlpm.check1, _xlfn.LET(_xlpm.check2, IF(OR(_xlpm.dep1 = "Not Variant", _xlpm.dep1 = ""), IF(_xlpm.val = "", "2:Disable", "1:Variant Attribute Name On Site must be left blank when Variant Type equals Not Variant, EMPTY"), ""), IF(LEN(_xlpm.check2) &gt; 0, _xlpm.check2, IF(AND(_xlpm.dep2 &lt;&gt; "", _xlpm.dep2 &lt;&gt; "Color"), IF(_xlpm.val = "", "3:Name on site is required when variant grouping value is provided", ""), ""))))))))</f>
        <v>0</v>
      </c>
      <c r="P9" s="22" cm="1">
        <f t="array" ref="P9">_xlfn.MAP('6161 - Wallpaper (S)'!B9:B508, '6161 - Wallpaper (S)'!P9:P508, _xlfn.LAMBDA(_xlpm.part, _xlpm.val, IF(_xlpm.part = "", "", _xlfn.LET(_xlpm.check1, IF(AND(NOT(ISBLANK(_xlpm.val)),OR(NOT(ISNUMBER(IFERROR(VALUE(_xlpm.val), ""))), IFERROR(VALUE(_xlpm.val), -1) &lt; 0)), "1:Base Cost must be a number", ""), IF(LEN(_xlpm.check1) &gt; 0, _xlpm.check1, IF(_xlpm.val = "", "3:Base Cost is required", ""))))))</f>
        <v>0</v>
      </c>
      <c r="Q9" s="22" cm="1">
        <f t="array" ref="Q9">_xlfn.MAP('6161 - Wallpaper (S)'!B9:B508, '6161 - Wallpaper (S)'!Q9:Q508, _xlfn.LAMBDA(_xlpm.part, _xlpm.val, IF(_xlpm.part = "", "", IF(AND(NOT(ISBLANK(_xlpm.val)),OR(NOT(ISNUMBER(IFERROR(VALUE(_xlpm.val), ""))), IFERROR(VALUE(_xlpm.val), -1) &lt; 0)), "1:Everyday B2B Discount Rate must be a number", ""))))</f>
        <v>0</v>
      </c>
      <c r="R9" s="22" cm="1">
        <f t="array" ref="R9">_xlfn.MAP('6161 - Wallpaper (S)'!B9:B508, '6161 - Wallpaper (S)'!R9:R508, _xlfn.LAMBDA(_xlpm.part, _xlpm.val, IF(_xlpm.part = "", "", IF(AND(NOT(ISBLANK(_xlpm.val)),OR(NOT(ISNUMBER(IFERROR(VALUE(_xlpm.val), ""))), IFERROR(VALUE(_xlpm.val), -1) &lt; 0)), "1:Minimum Advertised Price must be a number", ""))))</f>
        <v>0</v>
      </c>
      <c r="S9" s="22" cm="1">
        <f t="array" ref="S9">_xlfn.MAP('6161 - Wallpaper (S)'!B9:B508, '6161 - Wallpaper (S)'!S9:S508, _xlfn.LAMBDA(_xlpm.part, _xlpm.val, IF(_xlpm.part = "", "", IF(AND(NOT(ISBLANK(_xlpm.val)),OR(NOT(ISNUMBER(IFERROR(VALUE(_xlpm.val), ""))), IFERROR(VALUE(_xlpm.val), -1) &lt; 0)), "1:Manufacturer Suggested Retail Price must be a number", ""))))</f>
        <v>0</v>
      </c>
      <c r="T9" s="22" cm="1">
        <f t="array" ref="T9">_xlfn.MAP('6161 - Wallpaper (S)'!B9:B508, '6161 - Wallpaper (S)'!T9:T508, '6161 - Wallpaper (S)'!H9:H508, '6161 - Wallpaper (S)'!U9:U508, '6161 - Wallpaper (S)'!V9:V508, '6161 - Wallpaper (S)'!W9:W508, _xlfn.LAMBDA(_xlpm.part, _xlpm.val, _xlpm.dep1, _xlpm.dep2, _xlpm.dep3, _xlpm.dep4, IF(_xlpm.part = "", "", _xlfn.LET(_xlpm.check1, IF(AND(_xlpm.val = "", _xlpm.dep1 = "Non-Primary Variant"), "2:Autofill", ""), IF(LEN(_xlpm.check1) &gt; 0, _xlpm.check1, _xlfn.LET(_xlpm.check2, IF(AND(_xlpm.val &lt;&gt; "", LEN(_xlpm.val) &lt; 16), "1:Marketing Copy must be at least 16 characters", ""), IF(LEN(_xlpm.check2) &gt; 0, _xlpm.check2, _xlfn.LET(_xlpm.check3, IF(AND(_xlpm.val &lt;&gt; "" ,LEN(_xlpm.val)&gt;1500), "1:Marketing Copy must be no more than 1500 characters", ""), IF(LEN(_xlpm.check3) &gt; 0, _xlpm.check3, _xlfn.LET(_xlpm.check4, IF(OR(ISNUMBER(SEARCH({"&lt;","&gt;","Ø","•","‣","⁃","⁌","⁍","™","∙","⌀","◦"}, _xlpm.val))), "1:Marketing Copy cannot contain Special Characters", ""), IF(LEN(_xlpm.check4) &gt; 0, _xlpm.check4, _xlfn.LET(_xlpm.check5, IF(_xlpm.dep2 = "", IF(AND(_xlpm.val = "", '6161 - Wallpaper (S)'!T$8=""), "3:Marketing Copy is required when Feature Bullet equals EMPTY", ""), ""), IF(LEN(_xlpm.check5) &gt; 0, _xlpm.check5, _xlfn.LET(_xlpm.check6, IF(_xlpm.dep3 = "", IF(AND(_xlpm.val = "", '6161 - Wallpaper (S)'!T$8=""), "3:Marketing Copy is required when Feature Bullet equals EMPTY", ""), ""), IF(LEN(_xlpm.check6) &gt; 0, _xlpm.check6, IF(_xlpm.dep4 = "", IF(AND(_xlpm.val = "", '6161 - Wallpaper (S)'!T$8=""), "3:Marketing Copy is required when Feature Bullet equals EMPTY", ""), ""))))))))))))))))</f>
        <v>0</v>
      </c>
      <c r="U9" s="22" cm="1">
        <f t="array" ref="U9">_xlfn.MAP('6161 - Wallpaper (S)'!B9:B508, '6161 - Wallpaper (S)'!U9:U508, '6161 - Wallpaper (S)'!H9:H508, '6161 - Wallpaper (S)'!T9:T508, _xlfn.LAMBDA(_xlpm.part, _xlpm.val, _xlpm.dep1, _xlpm.dep2, IF(_xlpm.part = "", "", _xlfn.LET(_xlpm.check1, IF(AND(_xlpm.val = "", _xlpm.dep1 = "Non-Primary Variant"), "2:Autofill", ""), IF(LEN(_xlpm.check1) &gt; 0, _xlpm.check1, _xlfn.LET(_xlpm.check2, IF(AND(_xlpm.val &lt;&gt; "" ,LEN(_xlpm.val)&gt;200), "1:Feature Bullet must be no more than 200 characters", ""), IF(LEN(_xlpm.check2) &gt; 0, _xlpm.check2, _xlfn.LET(_xlpm.check3, IF(OR(ISNUMBER(SEARCH({"&lt;","&gt;","Ø","•","‣","⁃","⁌","⁍","™","∙","⌀","◦"}, _xlpm.val))), "1:Feature Bullet cannot contain Special Characters", ""), IF(LEN(_xlpm.check3) &gt; 0, _xlpm.check3, IF(_xlpm.dep2 = "", IF(AND(_xlpm.val = "", '6161 - Wallpaper (S)'!U$8=""), "3:Feature Bullet is required when Marketing Copy equals EMPTY", ""), ""))))))))))</f>
        <v>0</v>
      </c>
      <c r="V9" s="22" cm="1">
        <f t="array" ref="V9">_xlfn.MAP('6161 - Wallpaper (S)'!B9:B508, '6161 - Wallpaper (S)'!V9:V508, '6161 - Wallpaper (S)'!H9:H508, '6161 - Wallpaper (S)'!T9:T508, _xlfn.LAMBDA(_xlpm.part, _xlpm.val, _xlpm.dep1, _xlpm.dep2, IF(_xlpm.part = "", "", _xlfn.LET(_xlpm.check1, IF(AND(_xlpm.val = "", _xlpm.dep1 = "Non-Primary Variant"), "2:Autofill", ""), IF(LEN(_xlpm.check1) &gt; 0, _xlpm.check1, _xlfn.LET(_xlpm.check2, IF(AND(_xlpm.val &lt;&gt; "" ,LEN(_xlpm.val)&gt;200), "1:Feature Bullet must be no more than 200 characters", ""), IF(LEN(_xlpm.check2) &gt; 0, _xlpm.check2, _xlfn.LET(_xlpm.check3, IF(OR(ISNUMBER(SEARCH({"&lt;","&gt;","Ø","•","‣","⁃","⁌","⁍","™","∙","⌀","◦"}, _xlpm.val))), "1:Feature Bullet cannot contain Special Characters", ""), IF(LEN(_xlpm.check3) &gt; 0, _xlpm.check3, IF(_xlpm.dep2 = "", IF(AND(_xlpm.val = "", '6161 - Wallpaper (S)'!V$8=""), "3:Feature Bullet is required when Marketing Copy equals EMPTY", ""), ""))))))))))</f>
        <v>0</v>
      </c>
      <c r="W9" s="22" cm="1">
        <f t="array" ref="W9">_xlfn.MAP('6161 - Wallpaper (S)'!B9:B508, '6161 - Wallpaper (S)'!W9:W508, '6161 - Wallpaper (S)'!H9:H508, '6161 - Wallpaper (S)'!T9:T508, _xlfn.LAMBDA(_xlpm.part, _xlpm.val, _xlpm.dep1, _xlpm.dep2, IF(_xlpm.part = "", "", _xlfn.LET(_xlpm.check1, IF(AND(_xlpm.val = "", _xlpm.dep1 = "Non-Primary Variant"), "2:Autofill", ""), IF(LEN(_xlpm.check1) &gt; 0, _xlpm.check1, _xlfn.LET(_xlpm.check2, IF(AND(_xlpm.val &lt;&gt; "" ,LEN(_xlpm.val)&gt;200), "1:Feature Bullet must be no more than 200 characters", ""), IF(LEN(_xlpm.check2) &gt; 0, _xlpm.check2, _xlfn.LET(_xlpm.check3, IF(OR(ISNUMBER(SEARCH({"&lt;","&gt;","Ø","•","‣","⁃","⁌","⁍","™","∙","⌀","◦"}, _xlpm.val))), "1:Feature Bullet cannot contain Special Characters", ""), IF(LEN(_xlpm.check3) &gt; 0, _xlpm.check3, IF(_xlpm.dep2 = "", IF(AND(_xlpm.val = "", '6161 - Wallpaper (S)'!W$8=""), "3:Feature Bullet is required when Marketing Copy equals EMPTY", ""), ""))))))))))</f>
        <v>0</v>
      </c>
      <c r="AC9" s="22" cm="1">
        <f t="array" ref="AC9">_xlfn.MAP('6161 - Wallpaper (S)'!B9:B508, '6161 - Wallpaper (S)'!AC9:AC508, _xlfn.LAMBDA(_xlpm.part, _xlpm.val, IF(_xlpm.part = "", "", _xlfn.LET(_xlpm.check1, IF(AND(_xlpm.val &lt;&gt; "", LEN(_xlpm.val) &lt; 1), "1:Amazon Seller SKU must be at least 1 characters", ""), IF(LEN(_xlpm.check1) &gt; 0, _xlpm.check1, IF(AND(_xlpm.val &lt;&gt; "" ,LEN(_xlpm.val)&gt;40), "1:Amazon Seller SKU must be no more than 40 characters", ""))))))</f>
        <v>0</v>
      </c>
      <c r="AD9" s="22" cm="1">
        <f t="array" ref="AD9">_xlfn.MAP('6161 - Wallpaper (S)'!B9:B508, '6161 - Wallpaper (S)'!AD9:AD508, '6161 - Wallpaper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must be a number", ""), IF(LEN(_xlpm.check2) &gt; 0, _xlpm.check2, _xlfn.LET(_xlpm.check3, IF(AND(_xlpm.val &lt;&gt; "" ,IFERROR(VALUE(_xlpm.val), _xlpm.val)&lt;0.0), "1:Minimum Order Quantity must be greater than 0.0", ""), IF(LEN(_xlpm.check3) &gt; 0, _xlpm.check3, _xlfn.LET(_xlpm.check4, IF(AND(_xlpm.val &lt;&gt; "" , IFERROR(VALUE(_xlpm.val), _xlpm.val)&gt;32767.0), "1:Minimum Order Quantity must be less than 32767.0", ""), IF(LEN(_xlpm.check4) &gt; 0, _xlpm.check4, IF(AND(_xlpm.val = "", '6161 - Wallpaper (S)'!AD$8=""), "3:Minimum Order Quantity is required", ""))))))))))))</f>
        <v>0</v>
      </c>
      <c r="AE9" s="22" cm="1">
        <f t="array" ref="AE9">_xlfn.MAP('6161 - Wallpaper (S)'!B9:B508, '6161 - Wallpaper (S)'!AE9:AE508, '6161 - Wallpaper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must be a number", ""), IF(LEN(_xlpm.check2) &gt; 0, _xlpm.check2, _xlfn.LET(_xlpm.check3, IF(AND(_xlpm.val &lt;&gt; "" ,IFERROR(VALUE(_xlpm.val), _xlpm.val)&lt;0.0), "1:Force Quantity Multiplier must be greater than 0.0", ""), IF(LEN(_xlpm.check3) &gt; 0, _xlpm.check3, _xlfn.LET(_xlpm.check4, IF(AND(_xlpm.val &lt;&gt; "" , IFERROR(VALUE(_xlpm.val), _xlpm.val)&gt;32767.0), "1:Force Quantity Multiplier must be less than 32767.0", ""), IF(LEN(_xlpm.check4) &gt; 0, _xlpm.check4, IF(AND(_xlpm.val = "", '6161 - Wallpaper (S)'!AE$8=""), "3:Force Quantity Multiplier is required", ""))))))))))))</f>
        <v>0</v>
      </c>
      <c r="AF9" s="22" cm="1">
        <f t="array" ref="AF9">_xlfn.MAP('6161 - Wallpaper (S)'!B9:B508, '6161 - Wallpaper (S)'!AF9:AF508, '6161 - Wallpaper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must be a number", ""), IF(LEN(_xlpm.check2) &gt; 0, _xlpm.check2, _xlfn.LET(_xlpm.check3, IF(AND(_xlpm.val &lt;&gt; "" ,IFERROR(VALUE(_xlpm.val), _xlpm.val)&lt;0.0), "1:Display Set Quantity must be greater than 0.0", ""), IF(LEN(_xlpm.check3) &gt; 0, _xlpm.check3, _xlfn.LET(_xlpm.check4, IF(AND(_xlpm.val &lt;&gt; "" , IFERROR(VALUE(_xlpm.val), _xlpm.val)&gt;32767.0), "1:Display Set Quantity must be less than 32767.0", ""), IF(LEN(_xlpm.check4) &gt; 0, _xlpm.check4, IF(AND(_xlpm.val = "", '6161 - Wallpaper (S)'!AF$8=""), "3:Display Set Quantity is required", ""))))))))))))</f>
        <v>0</v>
      </c>
      <c r="AG9" s="22" cm="1">
        <f t="array" ref="AG9">_xlfn.MAP('6161 - Wallpaper (S)'!B9:B508, '6161 - Wallpaper (S)'!AG9:AG508, '6161 - Wallpaper (S)'!H9:H508,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must be a number", ""), IF(LEN(_xlpm.check2) &gt; 0, _xlpm.check2, _xlfn.LET(_xlpm.check3, IF(AND(_xlpm.val &lt;&gt; "" ,IFERROR(VALUE(_xlpm.val), _xlpm.val)&lt;0.0), "1:Product Weight must be greater than 0.0", ""), IF(LEN(_xlpm.check3) &gt; 0, _xlpm.check3, IF(AND(_xlpm.val = "", '6161 - Wallpaper (S)'!AG$8=""), "3:Product Weight is required", ""))))))))))</f>
        <v>0</v>
      </c>
      <c r="AH9" s="22" cm="1">
        <f t="array" ref="AH9">_xlfn.MAP('6161 - Wallpaper (S)'!B9:B508, '6161 - Wallpaper (S)'!AH9:AH508, '6161 - Wallpaper (S)'!H9:H508, _xlfn.LAMBDA(_xlpm.part, _xlpm.val, _xlpm.dep1, IF(_xlpm.part = "", "", _xlfn.LET(_xlpm.check1, IF(AND(_xlpm.val = "", _xlpm.dep1 = "Non-Primary Variant"), "2:Autofill", ""), IF(LEN(_xlpm.check1) &gt; 0, _xlpm.check1, IF(AND(_xlpm.val = "", '6161 - Wallpaper (S)'!AH$8=""), "3:Ship Type is required", ""))))))</f>
        <v>0</v>
      </c>
      <c r="AI9" s="22" cm="1">
        <f t="array" ref="AI9">_xlfn.MAP('6161 - Wallpaper (S)'!B9:B508, '6161 - Wallpaper (S)'!AI9:AI508, '6161 - Wallpaper (S)'!H9:H508, '6161 - Wallpaper (S)'!AH9:AH508, _xlfn.LAMBDA(_xlpm.part, _xlpm.val, _xlpm.dep1, _xlpm.dep2, IF(_xlpm.part = "", "", _xlfn.LET(_xlpm.check1, IF(AND(_xlpm.val = "", _xlpm.dep1 = "Non-Primary Variant"), "2:Autofill", ""), IF(LEN(_xlpm.check1) &gt; 0, _xlpm.check1, IF(_xlpm.dep2 = "LTL", IF(AND(_xlpm.val = "", '6161 - Wallpaper (S)'!AI$8=""), "3:Freight Class is required when Ship Type equals LTL", ""), ""))))))</f>
        <v>0</v>
      </c>
      <c r="AJ9" s="22" cm="1">
        <f t="array" ref="AJ9">_xlfn.MAP('6161 - Wallpaper (S)'!B9:B508, '6161 - Wallpaper (S)'!AJ9:AJ508, '6161 - Wallpaper (S)'!H9:H508, _xlfn.LAMBDA(_xlpm.part, _xlpm.val, _xlpm.dep1, IF(_xlpm.part = "", "", _xlfn.LET(_xlpm.check1, IF(AND(_xlpm.val = "", _xlpm.dep1 = "Non-Primary Variant"), "2:Autofill", ""), IF(LEN(_xlpm.check1) &gt; 0, _xlpm.check1, IF(AND(_xlpm.val = "", '6161 - Wallpaper (S)'!AJ$8=""), "3:Lead Time is required", ""))))))</f>
        <v>0</v>
      </c>
      <c r="AK9" s="22" cm="1">
        <f t="array" ref="AK9">_xlfn.MAP('6161 - Wallpaper (S)'!B9:B508, '6161 - Wallpaper (S)'!AK9:AK508, '6161 - Wallpaper (S)'!H9:H508, _xlfn.LAMBDA(_xlpm.part, _xlpm.val, _xlpm.dep1, IF(_xlpm.part = "", "", _xlfn.LET(_xlpm.check1, IF(AND(_xlpm.val = "", _xlpm.dep1 = "Non-Primary Variant"), "2:Autofill", ""), IF(LEN(_xlpm.check1) &gt; 0, _xlpm.check1, IF(AND(_xlpm.val = "", '6161 - Wallpaper (S)'!AK$8=""), "3:Replacement Lead Time is required", ""))))))</f>
        <v>0</v>
      </c>
      <c r="AL9" s="22" cm="1">
        <f t="array" ref="AL9">_xlfn.MAP('6161 - Wallpaper (S)'!B9:B508, '6161 - Wallpaper (S)'!AL9:AL508, '6161 - Wallpaper (S)'!H9:H508, _xlfn.LAMBDA(_xlpm.part, _xlpm.val, _xlpm.dep1, IF(_xlpm.part = "", "", _xlfn.LET(_xlpm.check1, IF(AND(_xlpm.val = "", _xlpm.dep1 = "Non-Primary Variant"), "2:Autofill", ""), IF(LEN(_xlpm.check1) &gt; 0, _xlpm.check1, _xlfn.LET(_xlpm.check2, IF(AND(_xlpm.val &lt;&gt; "", LEN(_xlpm.val) &lt; 5), "1:National Motor Freight Class must be at least 5 characters", ""), IF(LEN(_xlpm.check2) &gt; 0, _xlpm.check2, IF(AND(_xlpm.val &lt;&gt; "" ,LEN(_xlpm.val)&gt;7), "1:National Motor Freight Class must be no more than 7 characters", ""))))))))</f>
        <v>0</v>
      </c>
      <c r="AM9" s="22" cm="1">
        <f t="array" ref="AM9">_xlfn.MAP('6161 - Wallpaper (S)'!B9:B508, '6161 - Wallpaper (S)'!AM9:AM508, '6161 - Wallpaper (S)'!H9:H508, _xlfn.LAMBDA(_xlpm.part, _xlpm.val, _xlpm.dep1, IF(_xlpm.part = "", "", IF(AND(_xlpm.val = "", _xlpm.dep1 = "Non-Primary Variant"), "2:Autofill", ""))))</f>
        <v>0</v>
      </c>
      <c r="AN9" s="22" cm="1">
        <f t="array" ref="AN9">_xlfn.MAP('6161 - Wallpaper (S)'!B9:B508, '6161 - Wallpaper (S)'!AN9:AN508, '6161 - Wallpaper (S)'!H9:H508, _xlfn.LAMBDA(_xlpm.part, _xlpm.val, _xlpm.dep1, IF(_xlpm.part = "", "", IF(AND(_xlpm.val = "", _xlpm.dep1 = "Non-Primary Variant"), "2:Autofill", ""))))</f>
        <v>0</v>
      </c>
      <c r="AO9" s="22" cm="1">
        <f t="array" ref="AO9">_xlfn.MAP('6161 - Wallpaper (S)'!B9:B508, '6161 - Wallpaper (S)'!AO9:AO508, '6161 - Wallpaper (S)'!AP9:AP508, '6161 - Wallpaper (S)'!AQ9:AQ508, '6161 - Wallpaper (S)'!AR9:AR508, _xlfn.LAMBDA(_xlpm.part, _xlpm.val, _xlpm.dep1, _xlpm.dep2, _xlpm.dep3, IF(_xlpm.part = "", "", _xlfn.LET(_xlpm.check1, IF(AND(NOT(ISBLANK(_xlpm.val)),OR(NOT(ISNUMBER(IFERROR(VALUE(_xlpm.val), ""))), IFERROR(VALUE(_xlpm.val), -1) &lt; 0)), "1:Carton Weight must be a number", ""), IF(LEN(_xlpm.check1) &gt; 0, _xlpm.check1, _xlfn.LET(_xlpm.check2, IF(AND(_xlpm.val &lt;&gt; "" ,IFERROR(VALUE(_xlpm.val), _xlpm.val)&lt;0.0), "1:Carton Weight must be greater than 0.0", ""), IF(LEN(_xlpm.check2) &gt; 0, _xlpm.check2, _xlfn.LET(_xlpm.check3, IF(_xlpm.dep1 &lt;&gt; "", IF(AND(_xlpm.val = "", '6161 - Wallpaper (S)'!AO$8=""), "3:Carton Weight is required when Carton Height does not equal EMPTY", ""), ""), IF(LEN(_xlpm.check3) &gt; 0, _xlpm.check3, _xlfn.LET(_xlpm.check4, IF(_xlpm.dep2 &lt;&gt; "", IF(AND(_xlpm.val = "", '6161 - Wallpaper (S)'!AO$8=""), "3:Carton Weight is required when Carton Width does not equal EMPTY", ""), ""), IF(LEN(_xlpm.check4) &gt; 0, _xlpm.check4, _xlfn.LET(_xlpm.check5, IF(_xlpm.dep3 &lt;&gt; "", IF(AND(_xlpm.val = "", '6161 - Wallpaper (S)'!AO$8=""), "3:Carton Weight is required when Carton Depth does not equal EMPTY", ""), ""), IF(LEN(_xlpm.check5) &gt; 0, _xlpm.check5, IF(AND(_xlpm.val = "", '6161 - Wallpaper (S)'!AO$8=""), "3:Carton Weight is required", ""))))))))))))))</f>
        <v>0</v>
      </c>
      <c r="AP9" s="22" cm="1">
        <f t="array" ref="AP9">_xlfn.MAP('6161 - Wallpaper (S)'!B9:B508, '6161 - Wallpaper (S)'!AP9:AP508, '6161 - Wallpaper (S)'!AO9:AO508, '6161 - Wallpaper (S)'!AQ9:AQ508, '6161 - Wallpaper (S)'!AR9:AR508, _xlfn.LAMBDA(_xlpm.part, _xlpm.val, _xlpm.dep1, _xlpm.dep2, _xlpm.dep3, IF(_xlpm.part = "", "", _xlfn.LET(_xlpm.check1, IF(AND(NOT(ISBLANK(_xlpm.val)),OR(NOT(ISNUMBER(IFERROR(VALUE(_xlpm.val), ""))), IFERROR(VALUE(_xlpm.val), -1) &lt; 0)), "1:Carton Height must be a number", ""), IF(LEN(_xlpm.check1) &gt; 0, _xlpm.check1, _xlfn.LET(_xlpm.check2, IF(AND(_xlpm.val &lt;&gt; "" ,IFERROR(VALUE(_xlpm.val), _xlpm.val)&lt;0.0), "1:Carton Height must be greater than 0.0", ""), IF(LEN(_xlpm.check2) &gt; 0, _xlpm.check2, _xlfn.LET(_xlpm.check3, IF(_xlpm.dep1 &lt;&gt; "", IF(AND(_xlpm.val = "", '6161 - Wallpaper (S)'!AP$8=""), "3:Carton Height is required when Carton Weight does not equal EMPTY", ""), ""), IF(LEN(_xlpm.check3) &gt; 0, _xlpm.check3, _xlfn.LET(_xlpm.check4, IF(_xlpm.dep2 &lt;&gt; "", IF(AND(_xlpm.val = "", '6161 - Wallpaper (S)'!AP$8=""), "3:Carton Height is required when Carton Width does not equal EMPTY", ""), ""), IF(LEN(_xlpm.check4) &gt; 0, _xlpm.check4, _xlfn.LET(_xlpm.check5, IF(_xlpm.dep3 &lt;&gt; "", IF(AND(_xlpm.val = "", '6161 - Wallpaper (S)'!AP$8=""), "3:Carton Height is required when Carton Depth does not equal EMPTY", ""), ""), IF(LEN(_xlpm.check5) &gt; 0, _xlpm.check5, IF(AND(_xlpm.val = "", '6161 - Wallpaper (S)'!AP$8=""), "3:Carton Height is required", ""))))))))))))))</f>
        <v>0</v>
      </c>
      <c r="AQ9" s="22" cm="1">
        <f t="array" ref="AQ9">_xlfn.MAP('6161 - Wallpaper (S)'!B9:B508, '6161 - Wallpaper (S)'!AQ9:AQ508, '6161 - Wallpaper (S)'!AO9:AO508, '6161 - Wallpaper (S)'!AP9:AP508, '6161 - Wallpaper (S)'!AR9:AR508, _xlfn.LAMBDA(_xlpm.part, _xlpm.val, _xlpm.dep1, _xlpm.dep2, _xlpm.dep3, IF(_xlpm.part = "", "", _xlfn.LET(_xlpm.check1, IF(AND(NOT(ISBLANK(_xlpm.val)),OR(NOT(ISNUMBER(IFERROR(VALUE(_xlpm.val), ""))), IFERROR(VALUE(_xlpm.val), -1) &lt; 0)), "1:Carton Width must be a number", ""), IF(LEN(_xlpm.check1) &gt; 0, _xlpm.check1, _xlfn.LET(_xlpm.check2, IF(AND(_xlpm.val &lt;&gt; "" ,IFERROR(VALUE(_xlpm.val), _xlpm.val)&lt;0.0), "1:Carton Width must be greater than 0.0", ""), IF(LEN(_xlpm.check2) &gt; 0, _xlpm.check2, _xlfn.LET(_xlpm.check3, IF(_xlpm.dep1 &lt;&gt; "", IF(AND(_xlpm.val = "", '6161 - Wallpaper (S)'!AQ$8=""), "3:Carton Width is required when Carton Weight does not equal EMPTY", ""), ""), IF(LEN(_xlpm.check3) &gt; 0, _xlpm.check3, _xlfn.LET(_xlpm.check4, IF(_xlpm.dep2 &lt;&gt; "", IF(AND(_xlpm.val = "", '6161 - Wallpaper (S)'!AQ$8=""), "3:Carton Width is required when Carton Height does not equal EMPTY", ""), ""), IF(LEN(_xlpm.check4) &gt; 0, _xlpm.check4, _xlfn.LET(_xlpm.check5, IF(_xlpm.dep3 &lt;&gt; "", IF(AND(_xlpm.val = "", '6161 - Wallpaper (S)'!AQ$8=""), "3:Carton Width is required when Carton Depth does not equal EMPTY", ""), ""), IF(LEN(_xlpm.check5) &gt; 0, _xlpm.check5, IF(AND(_xlpm.val = "", '6161 - Wallpaper (S)'!AQ$8=""), "3:Carton Width is required", ""))))))))))))))</f>
        <v>0</v>
      </c>
      <c r="AR9" s="22" cm="1">
        <f t="array" ref="AR9">_xlfn.MAP('6161 - Wallpaper (S)'!B9:B508, '6161 - Wallpaper (S)'!AR9:AR508, '6161 - Wallpaper (S)'!AO9:AO508, '6161 - Wallpaper (S)'!AP9:AP508, '6161 - Wallpaper (S)'!AQ9:AQ508, _xlfn.LAMBDA(_xlpm.part, _xlpm.val, _xlpm.dep1, _xlpm.dep2, _xlpm.dep3, IF(_xlpm.part = "", "", _xlfn.LET(_xlpm.check1, IF(AND(NOT(ISBLANK(_xlpm.val)),OR(NOT(ISNUMBER(IFERROR(VALUE(_xlpm.val), ""))), IFERROR(VALUE(_xlpm.val), -1) &lt; 0)), "1:Carton Depth must be a number", ""), IF(LEN(_xlpm.check1) &gt; 0, _xlpm.check1, _xlfn.LET(_xlpm.check2, IF(AND(_xlpm.val &lt;&gt; "" ,IFERROR(VALUE(_xlpm.val), _xlpm.val)&lt;0.0), "1:Carton Depth must be greater than 0.0", ""), IF(LEN(_xlpm.check2) &gt; 0, _xlpm.check2, _xlfn.LET(_xlpm.check3, IF(_xlpm.dep1 &lt;&gt; "", IF(AND(_xlpm.val = "", '6161 - Wallpaper (S)'!AR$8=""), "3:Carton Depth is required when Carton Weight does not equal EMPTY", ""), ""), IF(LEN(_xlpm.check3) &gt; 0, _xlpm.check3, _xlfn.LET(_xlpm.check4, IF(_xlpm.dep2 &lt;&gt; "", IF(AND(_xlpm.val = "", '6161 - Wallpaper (S)'!AR$8=""), "3:Carton Depth is required when Carton Height does not equal EMPTY", ""), ""), IF(LEN(_xlpm.check4) &gt; 0, _xlpm.check4, _xlfn.LET(_xlpm.check5, IF(_xlpm.dep3 &lt;&gt; "", IF(AND(_xlpm.val = "", '6161 - Wallpaper (S)'!AR$8=""), "3:Carton Depth is required when Carton Width does not equal EMPTY", ""), ""), IF(LEN(_xlpm.check5) &gt; 0, _xlpm.check5, IF(AND(_xlpm.val = "", '6161 - Wallpaper (S)'!AR$8=""), "3:Carton Depth is required", ""))))))))))))))</f>
        <v>0</v>
      </c>
      <c r="AS9" s="22" cm="1">
        <f t="array" ref="AS9">_xlfn.MAP('6161 - Wallpaper (S)'!B9:B508, '6161 - Wallpaper (S)'!AS9:AS508, '6161 - Wallpaper (S)'!AT9:AT508, '6161 - Wallpaper (S)'!AU9:AU508, '6161 - Wallpaper (S)'!AV9:AV508, _xlfn.LAMBDA(_xlpm.part, _xlpm.val, _xlpm.dep1, _xlpm.dep2, _xlpm.dep3, IF(_xlpm.part = "", "", _xlfn.LET(_xlpm.check1, IF(AND(NOT(ISBLANK(_xlpm.val)),OR(NOT(ISNUMBER(IFERROR(VALUE(_xlpm.val), ""))), IFERROR(VALUE(_xlpm.val), -1) &lt; 0)), "1:Carton Weight must be a number", ""), IF(LEN(_xlpm.check1) &gt; 0, _xlpm.check1, _xlfn.LET(_xlpm.check2, IF(AND(_xlpm.val &lt;&gt; "" ,IFERROR(VALUE(_xlpm.val), _xlpm.val)&lt;0.0), "1:Carton Weight must be greater than 0.0", ""), IF(LEN(_xlpm.check2) &gt; 0, _xlpm.check2, _xlfn.LET(_xlpm.check3, IF(_xlpm.dep1 &lt;&gt; "", IF(AND(_xlpm.val = "", '6161 - Wallpaper (S)'!AS$8=""), "3:Carton Weight is required when Carton Height does not equal EMPTY", ""), ""), IF(LEN(_xlpm.check3) &gt; 0, _xlpm.check3, _xlfn.LET(_xlpm.check4, IF(_xlpm.dep2 &lt;&gt; "", IF(AND(_xlpm.val = "", '6161 - Wallpaper (S)'!AS$8=""), "3:Carton Weight is required when Carton Width does not equal EMPTY", ""), ""), IF(LEN(_xlpm.check4) &gt; 0, _xlpm.check4, IF(_xlpm.dep3 &lt;&gt; "", IF(AND(_xlpm.val = "", '6161 - Wallpaper (S)'!AS$8=""), "3:Carton Weight is required when Carton Depth does not equal EMPTY", ""), ""))))))))))))</f>
        <v>0</v>
      </c>
      <c r="AT9" s="22" cm="1">
        <f t="array" ref="AT9">_xlfn.MAP('6161 - Wallpaper (S)'!B9:B508, '6161 - Wallpaper (S)'!AT9:AT508, '6161 - Wallpaper (S)'!AS9:AS508, '6161 - Wallpaper (S)'!AU9:AU508, '6161 - Wallpaper (S)'!AV9:AV508, _xlfn.LAMBDA(_xlpm.part, _xlpm.val, _xlpm.dep1, _xlpm.dep2, _xlpm.dep3, IF(_xlpm.part = "", "", _xlfn.LET(_xlpm.check1, IF(AND(NOT(ISBLANK(_xlpm.val)),OR(NOT(ISNUMBER(IFERROR(VALUE(_xlpm.val), ""))), IFERROR(VALUE(_xlpm.val), -1) &lt; 0)), "1:Carton Height must be a number", ""), IF(LEN(_xlpm.check1) &gt; 0, _xlpm.check1, _xlfn.LET(_xlpm.check2, IF(AND(_xlpm.val &lt;&gt; "" ,IFERROR(VALUE(_xlpm.val), _xlpm.val)&lt;0.0), "1:Carton Height must be greater than 0.0", ""), IF(LEN(_xlpm.check2) &gt; 0, _xlpm.check2, _xlfn.LET(_xlpm.check3, IF(_xlpm.dep1 &lt;&gt; "", IF(AND(_xlpm.val = "", '6161 - Wallpaper (S)'!AT$8=""), "3:Carton Height is required when Carton Weight does not equal EMPTY", ""), ""), IF(LEN(_xlpm.check3) &gt; 0, _xlpm.check3, _xlfn.LET(_xlpm.check4, IF(_xlpm.dep2 &lt;&gt; "", IF(AND(_xlpm.val = "", '6161 - Wallpaper (S)'!AT$8=""), "3:Carton Height is required when Carton Width does not equal EMPTY", ""), ""), IF(LEN(_xlpm.check4) &gt; 0, _xlpm.check4, IF(_xlpm.dep3 &lt;&gt; "", IF(AND(_xlpm.val = "", '6161 - Wallpaper (S)'!AT$8=""), "3:Carton Height is required when Carton Depth does not equal EMPTY", ""), ""))))))))))))</f>
        <v>0</v>
      </c>
      <c r="AU9" s="22" cm="1">
        <f t="array" ref="AU9">_xlfn.MAP('6161 - Wallpaper (S)'!B9:B508, '6161 - Wallpaper (S)'!AU9:AU508, '6161 - Wallpaper (S)'!AS9:AS508, '6161 - Wallpaper (S)'!AT9:AT508, '6161 - Wallpaper (S)'!AV9:AV508, _xlfn.LAMBDA(_xlpm.part, _xlpm.val, _xlpm.dep1, _xlpm.dep2, _xlpm.dep3, IF(_xlpm.part = "", "", _xlfn.LET(_xlpm.check1, IF(AND(NOT(ISBLANK(_xlpm.val)),OR(NOT(ISNUMBER(IFERROR(VALUE(_xlpm.val), ""))), IFERROR(VALUE(_xlpm.val), -1) &lt; 0)), "1:Carton Width must be a number", ""), IF(LEN(_xlpm.check1) &gt; 0, _xlpm.check1, _xlfn.LET(_xlpm.check2, IF(AND(_xlpm.val &lt;&gt; "" ,IFERROR(VALUE(_xlpm.val), _xlpm.val)&lt;0.0), "1:Carton Width must be greater than 0.0", ""), IF(LEN(_xlpm.check2) &gt; 0, _xlpm.check2, _xlfn.LET(_xlpm.check3, IF(_xlpm.dep1 &lt;&gt; "", IF(AND(_xlpm.val = "", '6161 - Wallpaper (S)'!AU$8=""), "3:Carton Width is required when Carton Weight does not equal EMPTY", ""), ""), IF(LEN(_xlpm.check3) &gt; 0, _xlpm.check3, _xlfn.LET(_xlpm.check4, IF(_xlpm.dep2 &lt;&gt; "", IF(AND(_xlpm.val = "", '6161 - Wallpaper (S)'!AU$8=""), "3:Carton Width is required when Carton Height does not equal EMPTY", ""), ""), IF(LEN(_xlpm.check4) &gt; 0, _xlpm.check4, IF(_xlpm.dep3 &lt;&gt; "", IF(AND(_xlpm.val = "", '6161 - Wallpaper (S)'!AU$8=""), "3:Carton Width is required when Carton Depth does not equal EMPTY", ""), ""))))))))))))</f>
        <v>0</v>
      </c>
      <c r="AV9" s="22" cm="1">
        <f t="array" ref="AV9">_xlfn.MAP('6161 - Wallpaper (S)'!B9:B508, '6161 - Wallpaper (S)'!AV9:AV508, '6161 - Wallpaper (S)'!AS9:AS508, '6161 - Wallpaper (S)'!AT9:AT508, '6161 - Wallpaper (S)'!AU9:AU508, _xlfn.LAMBDA(_xlpm.part, _xlpm.val, _xlpm.dep1, _xlpm.dep2, _xlpm.dep3, IF(_xlpm.part = "", "", _xlfn.LET(_xlpm.check1, IF(AND(NOT(ISBLANK(_xlpm.val)),OR(NOT(ISNUMBER(IFERROR(VALUE(_xlpm.val), ""))), IFERROR(VALUE(_xlpm.val), -1) &lt; 0)), "1:Carton Depth must be a number", ""), IF(LEN(_xlpm.check1) &gt; 0, _xlpm.check1, _xlfn.LET(_xlpm.check2, IF(AND(_xlpm.val &lt;&gt; "" ,IFERROR(VALUE(_xlpm.val), _xlpm.val)&lt;0.0), "1:Carton Depth must be greater than 0.0", ""), IF(LEN(_xlpm.check2) &gt; 0, _xlpm.check2, _xlfn.LET(_xlpm.check3, IF(_xlpm.dep1 &lt;&gt; "", IF(AND(_xlpm.val = "", '6161 - Wallpaper (S)'!AV$8=""), "3:Carton Depth is required when Carton Weight does not equal EMPTY", ""), ""), IF(LEN(_xlpm.check3) &gt; 0, _xlpm.check3, _xlfn.LET(_xlpm.check4, IF(_xlpm.dep2 &lt;&gt; "", IF(AND(_xlpm.val = "", '6161 - Wallpaper (S)'!AV$8=""), "3:Carton Depth is required when Carton Height does not equal EMPTY", ""), ""), IF(LEN(_xlpm.check4) &gt; 0, _xlpm.check4, IF(_xlpm.dep3 &lt;&gt; "", IF(AND(_xlpm.val = "", '6161 - Wallpaper (S)'!AV$8=""), "3:Carton Depth is required when Carton Width does not equal EMPTY", ""), ""))))))))))))</f>
        <v>0</v>
      </c>
      <c r="AW9" s="22" cm="1">
        <f t="array" ref="AW9">_xlfn.MAP('6161 - Wallpaper (S)'!B9:B508, '6161 - Wallpaper (S)'!AW9:AW508, '6161 - Wallpaper (S)'!AX9:AX508, '6161 - Wallpaper (S)'!AY9:AY508, '6161 - Wallpaper (S)'!AZ9:AZ508, _xlfn.LAMBDA(_xlpm.part, _xlpm.val, _xlpm.dep1, _xlpm.dep2, _xlpm.dep3, IF(_xlpm.part = "", "", _xlfn.LET(_xlpm.check1, IF(AND(NOT(ISBLANK(_xlpm.val)),OR(NOT(ISNUMBER(IFERROR(VALUE(_xlpm.val), ""))), IFERROR(VALUE(_xlpm.val), -1) &lt; 0)), "1:Carton Weight must be a number", ""), IF(LEN(_xlpm.check1) &gt; 0, _xlpm.check1, _xlfn.LET(_xlpm.check2, IF(AND(_xlpm.val &lt;&gt; "" ,IFERROR(VALUE(_xlpm.val), _xlpm.val)&lt;0.0), "1:Carton Weight must be greater than 0.0", ""), IF(LEN(_xlpm.check2) &gt; 0, _xlpm.check2, _xlfn.LET(_xlpm.check3, IF(_xlpm.dep1 &lt;&gt; "", IF(AND(_xlpm.val = "", '6161 - Wallpaper (S)'!AW$8=""), "3:Carton Weight is required when Carton Height does not equal EMPTY", ""), ""), IF(LEN(_xlpm.check3) &gt; 0, _xlpm.check3, _xlfn.LET(_xlpm.check4, IF(_xlpm.dep2 &lt;&gt; "", IF(AND(_xlpm.val = "", '6161 - Wallpaper (S)'!AW$8=""), "3:Carton Weight is required when Carton Width does not equal EMPTY", ""), ""), IF(LEN(_xlpm.check4) &gt; 0, _xlpm.check4, IF(_xlpm.dep3 &lt;&gt; "", IF(AND(_xlpm.val = "", '6161 - Wallpaper (S)'!AW$8=""), "3:Carton Weight is required when Carton Depth does not equal EMPTY", ""), ""))))))))))))</f>
        <v>0</v>
      </c>
      <c r="AX9" s="22" cm="1">
        <f t="array" ref="AX9">_xlfn.MAP('6161 - Wallpaper (S)'!B9:B508, '6161 - Wallpaper (S)'!AX9:AX508, '6161 - Wallpaper (S)'!AW9:AW508, '6161 - Wallpaper (S)'!AY9:AY508, '6161 - Wallpaper (S)'!AZ9:AZ508, _xlfn.LAMBDA(_xlpm.part, _xlpm.val, _xlpm.dep1, _xlpm.dep2, _xlpm.dep3, IF(_xlpm.part = "", "", _xlfn.LET(_xlpm.check1, IF(AND(NOT(ISBLANK(_xlpm.val)),OR(NOT(ISNUMBER(IFERROR(VALUE(_xlpm.val), ""))), IFERROR(VALUE(_xlpm.val), -1) &lt; 0)), "1:Carton Height must be a number", ""), IF(LEN(_xlpm.check1) &gt; 0, _xlpm.check1, _xlfn.LET(_xlpm.check2, IF(AND(_xlpm.val &lt;&gt; "" ,IFERROR(VALUE(_xlpm.val), _xlpm.val)&lt;0.0), "1:Carton Height must be greater than 0.0", ""), IF(LEN(_xlpm.check2) &gt; 0, _xlpm.check2, _xlfn.LET(_xlpm.check3, IF(_xlpm.dep1 &lt;&gt; "", IF(AND(_xlpm.val = "", '6161 - Wallpaper (S)'!AX$8=""), "3:Carton Height is required when Carton Weight does not equal EMPTY", ""), ""), IF(LEN(_xlpm.check3) &gt; 0, _xlpm.check3, _xlfn.LET(_xlpm.check4, IF(_xlpm.dep2 &lt;&gt; "", IF(AND(_xlpm.val = "", '6161 - Wallpaper (S)'!AX$8=""), "3:Carton Height is required when Carton Width does not equal EMPTY", ""), ""), IF(LEN(_xlpm.check4) &gt; 0, _xlpm.check4, IF(_xlpm.dep3 &lt;&gt; "", IF(AND(_xlpm.val = "", '6161 - Wallpaper (S)'!AX$8=""), "3:Carton Height is required when Carton Depth does not equal EMPTY", ""), ""))))))))))))</f>
        <v>0</v>
      </c>
      <c r="AY9" s="22" cm="1">
        <f t="array" ref="AY9">_xlfn.MAP('6161 - Wallpaper (S)'!B9:B508, '6161 - Wallpaper (S)'!AY9:AY508, '6161 - Wallpaper (S)'!AW9:AW508, '6161 - Wallpaper (S)'!AX9:AX508, '6161 - Wallpaper (S)'!AZ9:AZ508, _xlfn.LAMBDA(_xlpm.part, _xlpm.val, _xlpm.dep1, _xlpm.dep2, _xlpm.dep3, IF(_xlpm.part = "", "", _xlfn.LET(_xlpm.check1, IF(AND(NOT(ISBLANK(_xlpm.val)),OR(NOT(ISNUMBER(IFERROR(VALUE(_xlpm.val), ""))), IFERROR(VALUE(_xlpm.val), -1) &lt; 0)), "1:Carton Width must be a number", ""), IF(LEN(_xlpm.check1) &gt; 0, _xlpm.check1, _xlfn.LET(_xlpm.check2, IF(AND(_xlpm.val &lt;&gt; "" ,IFERROR(VALUE(_xlpm.val), _xlpm.val)&lt;0.0), "1:Carton Width must be greater than 0.0", ""), IF(LEN(_xlpm.check2) &gt; 0, _xlpm.check2, _xlfn.LET(_xlpm.check3, IF(_xlpm.dep1 &lt;&gt; "", IF(AND(_xlpm.val = "", '6161 - Wallpaper (S)'!AY$8=""), "3:Carton Width is required when Carton Weight does not equal EMPTY", ""), ""), IF(LEN(_xlpm.check3) &gt; 0, _xlpm.check3, _xlfn.LET(_xlpm.check4, IF(_xlpm.dep2 &lt;&gt; "", IF(AND(_xlpm.val = "", '6161 - Wallpaper (S)'!AY$8=""), "3:Carton Width is required when Carton Height does not equal EMPTY", ""), ""), IF(LEN(_xlpm.check4) &gt; 0, _xlpm.check4, IF(_xlpm.dep3 &lt;&gt; "", IF(AND(_xlpm.val = "", '6161 - Wallpaper (S)'!AY$8=""), "3:Carton Width is required when Carton Depth does not equal EMPTY", ""), ""))))))))))))</f>
        <v>0</v>
      </c>
      <c r="AZ9" s="22" cm="1">
        <f t="array" ref="AZ9">_xlfn.MAP('6161 - Wallpaper (S)'!B9:B508, '6161 - Wallpaper (S)'!AZ9:AZ508, '6161 - Wallpaper (S)'!AW9:AW508, '6161 - Wallpaper (S)'!AX9:AX508, '6161 - Wallpaper (S)'!AY9:AY508, _xlfn.LAMBDA(_xlpm.part, _xlpm.val, _xlpm.dep1, _xlpm.dep2, _xlpm.dep3, IF(_xlpm.part = "", "", _xlfn.LET(_xlpm.check1, IF(AND(NOT(ISBLANK(_xlpm.val)),OR(NOT(ISNUMBER(IFERROR(VALUE(_xlpm.val), ""))), IFERROR(VALUE(_xlpm.val), -1) &lt; 0)), "1:Carton Depth must be a number", ""), IF(LEN(_xlpm.check1) &gt; 0, _xlpm.check1, _xlfn.LET(_xlpm.check2, IF(AND(_xlpm.val &lt;&gt; "" ,IFERROR(VALUE(_xlpm.val), _xlpm.val)&lt;0.0), "1:Carton Depth must be greater than 0.0", ""), IF(LEN(_xlpm.check2) &gt; 0, _xlpm.check2, _xlfn.LET(_xlpm.check3, IF(_xlpm.dep1 &lt;&gt; "", IF(AND(_xlpm.val = "", '6161 - Wallpaper (S)'!AZ$8=""), "3:Carton Depth is required when Carton Weight does not equal EMPTY", ""), ""), IF(LEN(_xlpm.check3) &gt; 0, _xlpm.check3, _xlfn.LET(_xlpm.check4, IF(_xlpm.dep2 &lt;&gt; "", IF(AND(_xlpm.val = "", '6161 - Wallpaper (S)'!AZ$8=""), "3:Carton Depth is required when Carton Height does not equal EMPTY", ""), ""), IF(LEN(_xlpm.check4) &gt; 0, _xlpm.check4, IF(_xlpm.dep3 &lt;&gt; "", IF(AND(_xlpm.val = "", '6161 - Wallpaper (S)'!AZ$8=""), "3:Carton Depth is required when Carton Width does not equal EMPTY", ""), ""))))))))))))</f>
        <v>0</v>
      </c>
      <c r="GS9" s="22" cm="1">
        <f t="array" ref="GS9">_xlfn.MAP('6161 - Wallpaper (S)'!B9:B508, '6161 - Wallpaper (S)'!GS9:GS508, '6161 - Wallpaper (S)'!H9:H508, _xlfn.LAMBDA(_xlpm.part, _xlpm.val, _xlpm.dep1, IF(_xlpm.part = "", "", _xlfn.LET(_xlpm.check1, IF(AND(_xlpm.val = "", _xlpm.dep1 = "Non-Primary Variant"), "2:Autofill", ""), IF(LEN(_xlpm.check1) &gt; 0, _xlpm.check1, IF(AND(_xlpm.val = "", '6161 - Wallpaper (S)'!GS$8=""), "3:Country of Origin is required", ""))))))</f>
        <v>0</v>
      </c>
      <c r="GT9" s="22" cm="1">
        <f t="array" ref="GT9">_xlfn.MAP('6161 - Wallpaper (S)'!B9:B508, '6161 - Wallpaper (S)'!GT9:GT508, _xlfn.LAMBDA(_xlpm.part, _xlpm.val, IF(_xlpm.part = "", "", IF(AND(_xlpm.val = "", '6161 - Wallpaper (S)'!GT$8=""), "3:Warning Required is required", ""))))</f>
        <v>0</v>
      </c>
      <c r="GU9" s="22" cm="1">
        <f t="array" ref="GU9">_xlfn.MAP('6161 - Wallpaper (S)'!B9:B508, '6161 - Wallpaper (S)'!GU9:GU508, '6161 - Wallpaper (S)'!GT9:GT508, '6161 - Wallpaper (S)'!GV9:GV508, _xlfn.LAMBDA(_xlpm.part, _xlpm.val, _xlpm.dep1, _xlpm.dep2, IF(_xlpm.part = "", "", _xlfn.LET(_xlpm.check1, IF(_xlpm.dep1 = "Yes", IF(AND(_xlpm.val = "", '6161 - Wallpaper (S)'!GU$8=""), "3:Chemical is required when Warning Required equals Yes", ""), ""), IF(LEN(_xlpm.check1) &gt; 0, _xlpm.check1, IF(_xlpm.dep2 &lt;&gt; "", IF(AND(_xlpm.val = "", '6161 - Wallpaper (S)'!GU$8=""), "3:Chemical is required when Toxicity does not equal EMPTY", ""), ""))))))</f>
        <v>0</v>
      </c>
      <c r="GV9" s="22" cm="1">
        <f t="array" ref="GV9">_xlfn.MAP('6161 - Wallpaper (S)'!B9:B508, '6161 - Wallpaper (S)'!GV9:GV508, '6161 - Wallpaper (S)'!GT9:GT508, '6161 - Wallpaper (S)'!GU9:GU508, _xlfn.LAMBDA(_xlpm.part, _xlpm.val, _xlpm.dep1, _xlpm.dep2, IF(_xlpm.part = "", "", _xlfn.LET(_xlpm.check1, IF(_xlpm.dep1 = "Yes", IF(AND(_xlpm.val = "", '6161 - Wallpaper (S)'!GV$8=""), "3:Toxicity is required when Warning Required equals Yes", ""), ""), IF(LEN(_xlpm.check1) &gt; 0, _xlpm.check1, IF(_xlpm.dep2 &lt;&gt; "", IF(AND(_xlpm.val = "", '6161 - Wallpaper (S)'!GV$8=""), "3:Toxicity is required when Chemical does not equal EMPTY", ""), ""))))))</f>
        <v>0</v>
      </c>
      <c r="HE9" s="22" cm="1">
        <f t="array" ref="HE9">_xlfn.MAP('6161 - Wallpaper (S)'!B9:B508, '6161 - Wallpaper (S)'!HE9:HE508, _xlfn.LAMBDA(_xlpm.part, _xlpm.val, IF(_xlpm.part = "", "", IF(_xlpm.val = "", "3:Image File Name or URL is required", ""))))</f>
        <v>0</v>
      </c>
      <c r="IK9" s="22" cm="1">
        <f t="array" ref="IK9">_xlfn.MAP('6161 - Wallpaper (S)'!B9:B508, '6161 - Wallpaper (S)'!IK9:IK508, '6161 - Wallpaper (S)'!IL9:IL508, '6161 - Wallpaper (S)'!IM9:IM508, '6161 - Wallpaper (S)'!IN9:IN508, _xlfn.LAMBDA(_xlpm.part, _xlpm.val, _xlpm.dep1, _xlpm.dep2, _xlpm.dep3, IF(_xlpm.part = "", "", _xlfn.LET(_xlpm.check1, IF(_xlpm.dep1 &lt;&gt; "", IF(_xlpm.val = "", "3:Document File Name or URL is required when Document Type does not equal EMPTY", ""), ""), IF(LEN(_xlpm.check1) &gt; 0, _xlpm.check1, _xlfn.LET(_xlpm.check2, IF(_xlpm.dep2 &lt;&gt; "", IF(_xlpm.val = "", "3:Document File Name or URL is required when Legal Document Type does not equal EMPTY", ""), ""), IF(LEN(_xlpm.check2) &gt; 0, _xlpm.check2, IF(_xlpm.dep3 &lt;&gt; "", IF(_xlpm.val = "", "3:Document File Name or URL is required when Document Region does not equal EMPTY", ""), ""))))))))</f>
        <v>0</v>
      </c>
      <c r="IL9" s="22" cm="1">
        <f t="array" ref="IL9">_xlfn.MAP('6161 - Wallpaper (S)'!B9:B508, '6161 - Wallpaper (S)'!IL9:IL508, _xlfn.LAMBDA(_xlpm.part, _xlpm.val, IF(_xlpm.part = "", "", IF(NOT(ISBLANK(_xlpm.val)),_xlfn.LET(_xlpm.items, _xlfn.TEXTSPLIT(_xlpm.val, ";"),_xlpm.trimmed, _xlfn.MAP(_xlpm.items, _xlfn.LAMBDA(_xlpm.x, TRIM(_xlpm.x))),_xlpm.invalid, _xlfn._xlws.FILTER(_xlpm.trimmed, ISNA(MATCH(_xlpm.trimmed, allowed9064_fp_S_class_6161, 0)), ""),IF(AND(_xlpm.invalid&lt;&gt;"", COUNTA(_xlpm.invalid)&gt;0),"1:Please select valid values from the provided list. Answers are case-sensitive and must be separated by a semicolon.","")), ""))))</f>
        <v>0</v>
      </c>
      <c r="IM9" s="22" cm="1">
        <f t="array" ref="IM9">_xlfn.MAP('6161 - Wallpaper (S)'!B9:B508, '6161 - Wallpaper (S)'!IM9:IM508, _xlfn.LAMBDA(_xlpm.part, _xlpm.val, IF(_xlpm.part = "", "", IF(NOT(ISBLANK(_xlpm.val)),_xlfn.LET(_xlpm.items, _xlfn.TEXTSPLIT(_xlpm.val, ";"),_xlpm.trimmed, _xlfn.MAP(_xlpm.items, _xlfn.LAMBDA(_xlpm.x, TRIM(_xlpm.x))),_xlpm.invalid, _xlfn._xlws.FILTER(_xlpm.trimmed, ISNA(MATCH(_xlpm.trimmed, allowed9065_fp_S_class_6161, 0)), ""),IF(AND(_xlpm.invalid&lt;&gt;"", COUNTA(_xlpm.invalid)&gt;0),"1:Please select valid values from the provided list. Answers are case-sensitive and must be separated by a semicolon.","")), ""))))</f>
        <v>0</v>
      </c>
      <c r="JY9" s="22" cm="1">
        <f t="array" ref="JY9">_xlfn.MAP('6161 - Wallpaper (S)'!B9:B508, '6161 - Wallpaper (S)'!JY9:JY508, _xlfn.LAMBDA(_xlpm.part, _xlpm.val, IF(_xlpm.part = "", "", IF(AND(_xlpm.val = "", '6161 - Wallpaper (S)'!JY$8=""), "3:Product Type is required", ""))))</f>
        <v>0</v>
      </c>
      <c r="KB9" s="22" cm="1">
        <f t="array" ref="KB9">_xlfn.MAP('6161 - Wallpaper (S)'!B9:B508, '6161 - Wallpaper (S)'!KB9:KB508, _xlfn.LAMBDA(_xlpm.part, _xlpm.val, IF(_xlpm.part = "", "", IF(AND(_xlpm.val = "", '6161 - Wallpaper (S)'!KB$8=""), "3:Material is required", ""))))</f>
        <v>0</v>
      </c>
      <c r="KC9" s="22" cm="1">
        <f t="array" ref="KC9">_xlfn.MAP('6161 - Wallpaper (S)'!B9:B508, '6161 - Wallpaper (S)'!KC9:KC508, _xlfn.LAMBDA(_xlpm.part, _xlpm.val, IF(_xlpm.part = "", "", IF(AND(_xlpm.val = "", '6161 - Wallpaper (S)'!KC$8=""), "3:Finish is required", ""))))</f>
        <v>0</v>
      </c>
      <c r="KD9" s="22" cm="1">
        <f t="array" ref="KD9">_xlfn.MAP('6161 - Wallpaper (S)'!B9:B508, '6161 - Wallpaper (S)'!KD9:KD508, _xlfn.LAMBDA(_xlpm.part, _xlpm.val, IF(_xlpm.part = "", "", IF(AND(_xlpm.val = "", '6161 - Wallpaper (S)'!KD$8=""), "3:Color is required", ""))))</f>
        <v>0</v>
      </c>
      <c r="KH9" s="22" cm="1">
        <f t="array" ref="KH9">_xlfn.MAP('6161 - Wallpaper (S)'!B9:B508, '6161 - Wallpaper (S)'!KH9:KH508, _xlfn.LAMBDA(_xlpm.part, _xlpm.val, IF(_xlpm.part = "", "", IF(NOT(ISBLANK(_xlpm.val)),_xlfn.LET(_xlpm.items, _xlfn.TEXTSPLIT(_xlpm.val, ";"),_xlpm.trimmed, _xlfn.MAP(_xlpm.items, _xlfn.LAMBDA(_xlpm.x, TRIM(_xlpm.x))),_xlpm.invalid, _xlfn._xlws.FILTER(_xlpm.trimmed, ISNA(MATCH(_xlpm.trimmed, allowed82_fp_S_class_6161, 0)), ""),IF(AND(_xlpm.invalid&lt;&gt;"", COUNTA(_xlpm.invalid)&gt;0),"1:Please select valid values from the provided list. Answers are case-sensitive and must be separated by a semicolon.","")), ""))))</f>
        <v>0</v>
      </c>
      <c r="KI9" s="22" cm="1">
        <f t="array" ref="KI9">_xlfn.MAP('6161 - Wallpaper (S)'!B9:B508, '6161 - Wallpaper (S)'!KI9:KI508, '6161 - Wallpaper (S)'!KH9:KH508, _xlfn.LAMBDA(_xlpm.part, _xlpm.val, _xlpm.dep1, IF(_xlpm.part = "", "", IF(AND(_xlpm.val = "", ISNUMBER(SEARCH("Solid Color", _xlpm.dep1))), "2:Autofill", ""))))</f>
        <v>0</v>
      </c>
      <c r="KO9" s="22" cm="1">
        <f t="array" ref="KO9">_xlfn.MAP('6161 - Wallpaper (S)'!B9:B508, '6161 - Wallpaper (S)'!KO9:KO508, _xlfn.LAMBDA(_xlpm.part, _xlpm.val, IF(_xlpm.part = "", "", IF(NOT(ISBLANK(_xlpm.val)),_xlfn.LET(_xlpm.items, _xlfn.TEXTSPLIT(_xlpm.val, ";"),_xlpm.trimmed, _xlfn.MAP(_xlpm.items, _xlfn.LAMBDA(_xlpm.x, TRIM(_xlpm.x))),_xlpm.invalid, _xlfn._xlws.FILTER(_xlpm.trimmed, ISNA(MATCH(_xlpm.trimmed, allowed1557_fp_S_class_6161, 0)), ""),IF(AND(_xlpm.invalid&lt;&gt;"", COUNTA(_xlpm.invalid)&gt;0),"1:Please select valid values from the provided list. Answers are case-sensitive and must be separated by a semicolon.","")), ""))))</f>
        <v>0</v>
      </c>
      <c r="KP9" s="22" cm="1">
        <f t="array" ref="KP9">_xlfn.MAP('6161 - Wallpaper (S)'!B9:B508, '6161 - Wallpaper (S)'!KP9:KP508, _xlfn.LAMBDA(_xlpm.part, _xlpm.val, IF(_xlpm.part = "", "", _xlfn.LET(_xlpm.check1, IF(NOT(ISBLANK(_xlpm.val)),_xlfn.LET(_xlpm.items, _xlfn.TEXTSPLIT(_xlpm.val, ";"),_xlpm.trimmed, _xlfn.MAP(_xlpm.items, _xlfn.LAMBDA(_xlpm.x, TRIM(_xlpm.x))),_xlpm.invalid, _xlfn._xlws.FILTER(_xlpm.trimmed, ISNA(MATCH(_xlpm.trimmed, allowed27_fp_S_class_6161, 0)), ""),IF(AND(_xlpm.invalid&lt;&gt;"", COUNTA(_xlpm.invalid)&gt;0),"1:Please select valid values from the provided list. Answers are case-sensitive and must be separated by a semicolon.","")), ""), IF(LEN(_xlpm.check1) &gt; 0, _xlpm.check1, IF(AND(_xlpm.val = "", '6161 - Wallpaper (S)'!KP$8=""), "3:Supplier Intended and Approved Use is required", ""))))))</f>
        <v>0</v>
      </c>
      <c r="KS9" s="22" cm="1">
        <f t="array" ref="KS9">_xlfn.MAP('6161 - Wallpaper (S)'!B9:B508, '6161 - Wallpaper (S)'!KS9:KS508, _xlfn.LAMBDA(_xlpm.part, _xlpm.val, IF(_xlpm.part = "", "", IF(AND(_xlpm.val = "", '6161 - Wallpaper (S)'!KS$8=""), "3:BPA Free is required", ""))))</f>
        <v>0</v>
      </c>
      <c r="KT9" s="22" cm="1">
        <f t="array" ref="KT9">_xlfn.MAP('6161 - Wallpaper (S)'!B9:B508, '6161 - Wallpaper (S)'!KT9:KT508, _xlfn.LAMBDA(_xlpm.part, _xlpm.val, IF(_xlpm.part = "", "", IF(AND(_xlpm.val = "", '6161 - Wallpaper (S)'!KT$8=""), "3:Overall Product Length - End to End is required", ""))))</f>
        <v>0</v>
      </c>
      <c r="KU9" s="22" cm="1">
        <f t="array" ref="KU9">_xlfn.MAP('6161 - Wallpaper (S)'!B9:B508, '6161 - Wallpaper (S)'!KU9:KU508, _xlfn.LAMBDA(_xlpm.part, _xlpm.val, IF(_xlpm.part = "", "", IF(AND(_xlpm.val = "", '6161 - Wallpaper (S)'!KU$8=""), "3:Overall Width - Side to Side is required", ""))))</f>
        <v>0</v>
      </c>
      <c r="KV9" s="22" cm="1">
        <f t="array" ref="KV9">_xlfn.MAP('6161 - Wallpaper (S)'!B9:B508, '6161 - Wallpaper (S)'!KV9:KV508, _xlfn.LAMBDA(_xlpm.part, _xlpm.val, IF(_xlpm.part = "", "", IF(AND(_xlpm.val = "", '6161 - Wallpaper (S)'!KV$8=""), "3:Square Footage per Unit is required", ""))))</f>
        <v>0</v>
      </c>
      <c r="KW9" s="22" cm="1">
        <f t="array" ref="KW9">_xlfn.MAP('6161 - Wallpaper (S)'!B9:B508, '6161 - Wallpaper (S)'!KW9:KW508, _xlfn.LAMBDA(_xlpm.part, _xlpm.val, IF(_xlpm.part = "", "", IF(AND(_xlpm.val = "", '6161 - Wallpaper (S)'!KW$8=""), "3:Overall Product Weight is required", ""))))</f>
        <v>0</v>
      </c>
      <c r="KX9" s="22" cm="1">
        <f t="array" ref="KX9">_xlfn.MAP('6161 - Wallpaper (S)'!B9:B508, '6161 - Wallpaper (S)'!KX9:KX508, _xlfn.LAMBDA(_xlpm.part, _xlpm.val, IF(_xlpm.part = "", "", IF(AND(_xlpm.val = "", '6161 - Wallpaper (S)'!KX$8=""), "3:Commercial Warranty is required", ""))))</f>
        <v>0</v>
      </c>
      <c r="KY9" s="22" cm="1">
        <f t="array" ref="KY9">_xlfn.MAP('6161 - Wallpaper (S)'!B9:B508, '6161 - Wallpaper (S)'!KY9:KY508, '6161 - Wallpaper (S)'!KX9:KX508, _xlfn.LAMBDA(_xlpm.part, _xlpm.val, _xlpm.dep1, IF(_xlpm.part = "", "", _xlfn.LET(_xlpm.check1, IF(AND(_xlpm.val = "", OR(_xlpm.dep1 = "No", _xlpm.dep1 = "Does Not Apply", _xlpm.dep1 = "Unavailable")), "2:Autofill", ""), IF(LEN(_xlpm.check1) &gt; 0, _xlpm.check1, _xlfn.LET(_xlpm.check2, IF(_xlpm.dep1 = "No", IF(_xlpm.val &lt;&gt; "Does Not Apply", "1:Commercial Warranty Length must be Does Not Apply when Commercial Warranty is No", ""), ""), IF(LEN(_xlpm.check2) &gt; 0, _xlpm.check2, _xlfn.LET(_xlpm.check3, IF(_xlpm.dep1 = "Does Not Apply", IF(_xlpm.val &lt;&gt; "Does Not Apply", "1:Commercial Warranty Length must be Does Not Apply when Commercial Warranty is Does Not Apply", ""), ""), IF(LEN(_xlpm.check3) &gt; 0, _xlpm.check3, _xlfn.LET(_xlpm.check4, IF(_xlpm.dep1 = "Unavailable", IF(_xlpm.val &lt;&gt; "Unavailable", "1:Commercial Warranty Length must be Unavailable when Commercial Warranty is Unavailable", ""), ""), IF(LEN(_xlpm.check4) &gt; 0, _xlpm.check4, IF(AND(_xlpm.dep1 &lt;&gt; "No", _xlpm.dep1 &lt;&gt; "Does Not Apply", _xlpm.dep1 &lt;&gt; "Unavailable", _xlpm.dep1 &lt;&gt; ""), IF(AND(_xlpm.val = "", '6161 - Wallpaper (S)'!KY$8=""), "3:Commercial Warranty Length is required when Commercial Warranty has an answer", ""), ""))))))))))))</f>
        <v>0</v>
      </c>
      <c r="LA9" s="22" cm="1">
        <f t="array" ref="LA9">_xlfn.MAP('6161 - Wallpaper (S)'!B9:B508, '6161 - Wallpaper (S)'!LA9:LA508, '6161 - Wallpaper (S)'!KZ9:KZ508, _xlfn.LAMBDA(_xlpm.part, _xlpm.val, _xlpm.dep1, IF(_xlpm.part = "", "", _xlfn.LET(_xlpm.check1, IF(AND(_xlpm.val = "", _xlpm.dep1 = "Yes"), "2:Autofill", ""), IF(LEN(_xlpm.check1) &gt; 0, _xlpm.check1, IF(AND(_xlpm.val = "", '6161 - Wallpaper (S)'!LA$8=""), "3:Uniform Packaging and Labeling Regulations (UPLR) Compliant is required", ""))))))</f>
        <v>0</v>
      </c>
      <c r="LB9" s="22" cm="1">
        <f t="array" ref="LB9">_xlfn.MAP('6161 - Wallpaper (S)'!B9:B508, '6161 - Wallpaper (S)'!LB9:LB508, _xlfn.LAMBDA(_xlpm.part, _xlpm.val, IF(_xlpm.part = "", "", IF(AND(_xlpm.val = "", '6161 - Wallpaper (S)'!LB$8=""), "3:Canada Product Restriction is required", ""))))</f>
        <v>0</v>
      </c>
    </row>
  </sheetData>
  <sheetProtection password="E29E" sheet="1" objects="1" scenarios="1" formatColumns="0"/>
  <mergeCells count="10">
    <mergeCell ref="B3:E3"/>
    <mergeCell ref="F3:G3"/>
    <mergeCell ref="H3:O3"/>
    <mergeCell ref="P3:S3"/>
    <mergeCell ref="T3:AB3"/>
    <mergeCell ref="AC3:AN3"/>
    <mergeCell ref="AO3:GR3"/>
    <mergeCell ref="GS3:HD3"/>
    <mergeCell ref="HE3:JX3"/>
    <mergeCell ref="JY3:LC3"/>
  </mergeCells>
  <dataValidations count="211">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allowed9007_fp_S_class_6161</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allowed9030_fp_S_class_6161</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allowed9031_fp_S_class_6161</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allowed9032_fp_S_class_6161</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allowed9033_fp_S_class_6161</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allowed9035_fp_S_class_6161</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allowed647_fp_S_class_6161</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allowed9043_fp_S_class_6161</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allowed6109_fp_S_class_6161</formula1>
    </dataValidation>
    <dataValidation type="list" errorStyle="warning" allowBlank="1" showInputMessage="1" showErrorMessage="1" errorTitle="Invalid Application Type" error="The value provided is not a valid Application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Z8">
      <formula1>allowed6012_fp_S_class_6161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I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J8">
      <formula1>32767</formula1>
    </dataValidation>
    <dataValidation type="list" errorStyle="warning" allowBlank="1" showInputMessage="1" showErrorMessage="1" errorTitle="Invalid Wallpaper Texture" error="The value provided is not a valid Wallpaper Texture. Would you like to provide a custom answer?" promptTitle="" prompt="If all products in this class consistently have the same answer, you can set a default value to apply automatically. For any exceptions, you can modify the answer for specific products without changing the default." sqref="KL8">
      <formula1>allowed3921_fp_S_class_6161</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S8">
      <formula1>allowed807_fp_S_class_6161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W8">
      <formula1>32767</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X8">
      <formula1>allowed28_fp_S_class_6161</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Y8">
      <formula1>allowed135_fp_S_class_6161</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Z8">
      <formula1>allowed256_fp_S_class_6161</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LA8">
      <formula1>allowed31_fp_S_class_6161</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LB8">
      <formula1>allowed117_fp_S_class_6161</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C8">
      <formula1>allowed8462_fp_S_class_6161</formula1>
    </dataValidation>
  </dataValidations>
  <hyperlinks>
    <hyperlink ref="F7" location="#vvh_9007_fp_S_class_6161" display="Select"/>
    <hyperlink ref="H7" location="#vvh_9009_fp_S_class_6161" display="Select"/>
    <hyperlink ref="J7" location="#vvh_9011_fp_S_class_6161" display="Select"/>
    <hyperlink ref="L7" location="#vvh_9011_fp_S_class_6161" display="Select"/>
    <hyperlink ref="N7" location="#vvh_9011_fp_S_class_6161" display="Select"/>
    <hyperlink ref="AH7" location="#vvh_9030_fp_S_class_6161" display="Select"/>
    <hyperlink ref="AI7" location="#vvh_9031_fp_S_class_6161" display="Select"/>
    <hyperlink ref="AJ7" location="#vvh_9032_fp_S_class_6161" display="Select"/>
    <hyperlink ref="AK7" location="#vvh_9033_fp_S_class_6161" display="Select"/>
    <hyperlink ref="GS7" location="#vvh_647_fp_S_class_6161" display="Select"/>
    <hyperlink ref="GU7" location="#vvh_9042_fp_S_class_6161" display="Select"/>
    <hyperlink ref="GV7" location="#vvh_9043_fp_S_class_6161" display="Select"/>
    <hyperlink ref="GW7" location="#vvh_9042_fp_S_class_6161" display="Select"/>
    <hyperlink ref="GX7" location="#vvh_9043_fp_S_class_6161" display="Select"/>
    <hyperlink ref="GY7" location="#vvh_9042_fp_S_class_6161" display="Select"/>
    <hyperlink ref="GZ7" location="#vvh_9043_fp_S_class_6161" display="Select"/>
    <hyperlink ref="HA7" location="#vvh_9042_fp_S_class_6161" display="Select"/>
    <hyperlink ref="HB7" location="#vvh_9043_fp_S_class_6161" display="Select"/>
    <hyperlink ref="HC7" location="#vvh_9042_fp_S_class_6161" display="Select"/>
    <hyperlink ref="HD7" location="#vvh_9043_fp_S_class_6161" display="Select"/>
    <hyperlink ref="IL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M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N7" location="#vvh_9066_fp_S_class_6161" display="Select"/>
    <hyperlink ref="IP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Q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R7" location="#vvh_9066_fp_S_class_6161" display="Select"/>
    <hyperlink ref="IT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U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V7" location="#vvh_9066_fp_S_class_6161" display="Select"/>
    <hyperlink ref="IX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Y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Z7" location="#vvh_9066_fp_S_class_6161" display="Select"/>
    <hyperlink ref="JB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C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D7" location="#vvh_9066_fp_S_class_6161" display="Select"/>
    <hyperlink ref="JF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G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H7" location="#vvh_9066_fp_S_class_6161" display="Select"/>
    <hyperlink ref="JJ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K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L7" location="#vvh_9066_fp_S_class_6161" display="Select"/>
    <hyperlink ref="JN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O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P7" location="#vvh_9066_fp_S_class_6161" display="Select"/>
    <hyperlink ref="JR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S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T7" location="#vvh_9066_fp_S_class_6161" display="Select"/>
    <hyperlink ref="JV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W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X7" location="#vvh_9066_fp_S_class_6161" display="Select"/>
    <hyperlink ref="JY7" location="#vvh_6109_fp_S_class_6161" display="Select"/>
    <hyperlink ref="JZ7" location="#vvh_6012_fp_S_class_6161" display="Select"/>
    <hyperlink ref="KA7" location="#vvh_5471_fp_S_class_6161" display="Please choose one or more from the following, using a semicolon (;) to separate each value: Peelable; Strippable; Solution Required; Does Not Apply; Unavailable"/>
    <hyperlink ref="KB7" location="#vvh_2385_fp_S_class_6161" display="Please choose one or more from the following, using a semicolon (;) to separate each value: Aluminum; Fabric; Paper; Plastic; PVC; Steel; Solid Wood; Vinyl; Fleece; Grass Cloth; MDF; Non-Woven; Particle Board / Chipboard; Plywood / Laminate Board; Paper / Printed Veneer; Real Wood Veneer"/>
    <hyperlink ref="KC7" location="#vvh_4123_fp_S_class_6161" display="Please choose one or more from the following, using a semicolon (;) to separate each value: Satin; Gloss; Distressed; Glitter / Shimmer; Low-Gloss; Matte; Metallic; Primed; Semi Gloss; Does Not Apply"/>
    <hyperlink ref="KD7" location="#vvh_1316_fp_S_class_6161" display="Please choose one or more from the following, using a semicolon (;) to separate each value: Black; Brown; White; Green; Gray; Red; Beige; Yellow; Pink; Orange; Purple; Silver; Gold; Clear; Cream; Ivory; Tan; Teal; Navy; Blue"/>
    <hyperlink ref="KE7" location="#vvh_8653_fp_S_class_6161" display="Please choose one or more from the following, using a semicolon (;) to separate each value: Breathable; Paintable / Stainable; No General Features"/>
    <hyperlink ref="KF7" location="#vvh_1388_fp_S_class_6161" display="Please choose one or more from the following, using a semicolon (;) to separate each value: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hyperlink ref="KG7" location="#vvh_1386_fp_S_class_6161" display="Please choose one or more from the following, using a semicolon (;) to separate each value: MLB Atlanta Braves; MLB Chicago Cubs; MLB Arizona Diamondbacks; MLB Baltimore Orioles; MLB Kansas City Royals; MLB Boston Red Sox; MLB Milwaukee Brewers; MLB Detroit Tigers; MLB Cincinnati Reds; MLB Los Angeles Dodgers; MLB Colorado Rockies; MLB Chicago White Sox; MLB Houston Astros; MLB Miami Marlins; MLB Minnesota Twins; MLB Philadelphia Phillies; NBA New York Knicks; NHL Edmonton Oilers; MLB Los Angeles Angels; MLB New York Mets; MLB New York Yankees; MLB Pittsburgh Pirates; MLB San Diego Padres; MLB San Francisco Giants; NHL Los Angeles Kings; NHL Pittsburgh Penguins; MLB Seattle Mariners; MLB Cleveland Guardians; MLB Tampa Bay Rays; MLB Toronto Blue Jays; MLB Washington Nationals; NBA Boston Celtics; NBA Charlotte Hornets; NBA Denver Nuggets; NBA Golden State Warriors; NFL Houston Texans; NFL Baltimore Ravens; NBA Detroit Pistons; NBA Cleveland Cavaliers; NBA Houston Rockets; NBA Atlanta Hawks; NHL Washington Capitals; NBA Los Angeles Clippers; NBA Minnesota Timberwolves; NBA Brooklyn Nets; NBA Sacramento Kings; NBA Washington Wizards; NBA San Antonio Spurs; NHL Calgary Flames; NHL Carolina Hurricanes; NBA Indiana Pacers; NBA New Orleans Pelicans; NFL New York Giants; NBA Memphis Grizzlies; MLB Oakland Athletics; NHL Detroit Red Wings; NHL Colorado Avalanche; NHL New York Islanders; NBA Chicago Bulls; NBA Utah Jazz; NBA Philadelphia 76ers; NBA Milwaukee Bucks; NBA Miami Heat; NBA Oklahoma City Thunder; NBA Orlando Magic; NHL Montreal Canadiens; NHL Vancouver Canucks; NHL San Jose Sharks; NHL Arizona Coyotes; NHL Winnipeg Jets; NHL Buffalo Sabres; NHL Boston Bruins; NHL Vegas Golden Knights; NFL Buffalo Bills; NBA Toronto Raptors; NFL Arizona Cardinals; MLB Texas Rangers; NFL Cincinnati Bengals; NFL Carolina Panthers; NFL Detroit Lions; NFL Atlanta Falcons; NFL Green Bay Packers; NFL Denver Broncos; NFL Miami Dolphins; NFL Jacksonville Jaguars; NHL Dallas Stars; NFL Kansas City Chiefs; NHL Florida Panthers; NHL Minnesota Wild; NBA Phoenix Suns; NFL "/>
    <hyperlink ref="KH7" location="#vvh_82_fp_S_class_6161" display="Please choose one or more from the following, using a semicolon (;) to separate each value: Abstract; Animal Print; Chevron; Damask; Floral; Geometric; Paisley; Plaid; Polka Dots; Striped; Toile; Brick; Solid Color; Stone; Wood &amp; Shiplap; Marble; Gingham; Camouflage; Ikat; Houndstooth; Patchwork; Ombre; Checkered; Argyle; No Pattern; Trellis; Dots; Starburst; Geometric Shapes; Irish Chain; Chevron / Zig Zag; Clear; Drunkard's Path; Moroccan; Oriental; Block Print; Arc; Vintage Look; Does Not Apply"/>
    <hyperlink ref="KK7" location="#vvh_4591_fp_S_class_6161" display="Please choose one or more from the following, using a semicolon (;) to separate each value: Drop; Random; Straight; Does Not Apply; Unavailable"/>
    <hyperlink ref="KL7" location="#vvh_3921_fp_S_class_6161" display="Select"/>
    <hyperlink ref="KM7" location="#vvh_2358_fp_S_class_6161" display="Please choose one or more from the following, using a semicolon (;) to separate each value: Achille Castiglioni; Alfredo Llorens; Becky Bailey; Badeloft; Alain Van Havre; Bannoura; Ann Gish; Ambesonne; Alberto Tabellini &amp; David Reiss; Andres Martinez; Allison Paladino; AERIN; Alexa Hampton; Antonio Citterio; BergHOFF; Ardmore; Arnold Krog; Bruno Marashlian; Carol Benson-Cobb; Campania International; Debra Ann of Atomic Mobiles; ARTCANVAS; Karen Didion; Maceteros; Rosiland Solomon; Ysnay; Ashley Norton; University frames; Ashley Helms; B2U; Artwall; Aviva Stanoff; ArtVerse; Artorang; ACROMA; Barrow Industries; Barclay Butera; Aqua Gallery; Barrow Fabric; Barbara Barry; Aston; Barry Goralnick; Barbara and James Restin; Arshs Fine Rugs; Brightech; C.L.L Collections; Bunny Williams; Busalt Design; Candice Olson; Betsy Drake Interiors; Bhawna's Fusion; Capital Lighting Fixture Co.; Booth &amp; Williams; Berbermade; Caroline's Treasures; Christian Lacroix; Chic Teak; Chapman &amp; Myers; ChiChi Decor; Celerie Kemble; ChildBeWild; Casa Fine Arts; Bespoky Rugs; Dawn Sweitzer; Dana Gibson; David Chipperfield; Darren Gygi; Creative Matters Inc.; Dana McMillan; Danielle Davis; David Phoenix; Christopher Fareed; E by Design; COXBRIGHT; Coe Steinwart; DreamLine; Daphne Polselli; Diane Beesley; Denny Knight; Diane Keaton; echo; Ebros Gift; EGLO; Duravit; Eleonora Ferragatta; E. F. Chapman; Elaine Smith; East West Furniture; iCanvas; Empava; Ernest Massuet; James Restin; Enrico Lavazzi; Ella's Bubbles; Emissary; Jaime Hayon; Evergreen; Jean-Marie Massaud; J Paul; Jennifer Hollack Raboin; Javier Mariscal; Jasper Morrison; James Brooksberry; Jamie Graney; J. Kent Martin; Jonathan Adler; Jennifer Ridel; Jose Javier Malavia; John Beard; JMV; Jordan Glassco Smith; Europatex; Jorge Pensi; Jose Luis Santes; John Strauss/Carisa Marie; Jose Maria Reina; Ettore Sottsass; Enrico Cosi &amp; Sergio Tabellini; Eugeni Quitllet; Jose Santaeulalia; Jessica Hollander; JoyJolt; Jim and Phoebe Howard; Julia Knight; Kelly Wearstler; Laura Park; Kurt Merki Jr.; Karin Reiter; Karo Martirosyan"/>
    <hyperlink ref="KN7" location="#vvh_1437_fp_S_class_6161" display="Please choose one or more from the following, using a semicolon (;) to separate each value: Mold / Mildew Resistant; Water Resistant; No Durability Features; Drip Free; Fade Resistant; Heat Resistant; Stain Resistant; Reinforced; Non-Porous; Fray Resistant; Non-Staining"/>
    <hyperlink ref="KO7" location="#vvh_1557_fp_S_class_6161" display="Please choose one or more from the following, using a semicolon (;) to separate each value: Newborn (Birth - 6 months old); Infant (6 - 12 Months); Toddler (1 - 3 Years); Pre-school (3 - 5 Years); Youth (5 - 8 Years); Pre-teen (9 - 12 Years); Teen (13+); Adult (18+); All Ages; Adult; Baby; Kid; Teen; Toddler"/>
    <hyperlink ref="KP7" location="#vvh_27_fp_S_class_6161" display="Please choose one or more from the following, using a semicolon (;) to separate each value: Non Residential Use; Residential Use"/>
    <hyperlink ref="KQ7" location="#vvh_1436_fp_S_class_6161" display="Please choose one or more from the following, using a semicolon (;) to separate each value: Wipe down with mild soap and water; Use product specific cleaner; Wipe clean with a dry cloth; Dust mop; Hand wash recommended; Spot clean only; Clean with soap and water; Clean spills immediately; Non-Abrasive, Neutral Ph Cleaner; Vacuum with no beater bar/rotating brush; Professional / Dry Clean Recommended; Vacuum with upholstery attachment; Avoid use of abrasive cleaners; Do not wash; Spot clean; Wipe with wet cloth; Spot clean with water; No washing / drying care; Do not bleach; Vacuum; Avoid direct sunlight; Clean with cloth, mild soap, and warm water; Spot clean with mild detergent; Spot clean as needed; Do not use any cleaning agents; Use dry, solvent-based cleaner; Wipe with cloth; Wipe Clean Only; Wipe clean with a damp cloth; Does Not Apply"/>
    <hyperlink ref="KR7" location="#vvh_95_fp_S_class_6161" display="Please choose one or more from the following, using a semicolon (;) to separate each value: Made in USA; Made in USA of Imported Materials; Product of Canada; Made In Canada; Does Not Apply"/>
    <hyperlink ref="KY7" location="#vvh_135_fp_S_class_6161" display="Select"/>
    <hyperlink ref="KZ7" location="#vvh_256_fp_S_class_6161" display="Select"/>
    <hyperlink ref="LA7" location="#vvh_31_fp_S_class_6161" display="Select"/>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sheetPr>
    <outlinePr summaryRight="0"/>
  </sheetPr>
  <dimension ref="A1:LC9"/>
  <sheetViews>
    <sheetView workbookViewId="0">
      <pane xSplit="2" topLeftCell="C1" activePane="topRight" state="frozen"/>
      <selection pane="topRight"/>
    </sheetView>
  </sheetViews>
  <sheetFormatPr defaultRowHeight="15" outlineLevelCol="7"/>
  <cols>
    <col min="1" max="1" width="35.7109375" customWidth="1"/>
    <col min="2" max="2" width="25.7109375" style="22" customWidth="1"/>
    <col min="3" max="3" width="29.7109375" style="22" customWidth="1"/>
    <col min="4" max="4" width="27.7109375" style="22" customWidth="1"/>
    <col min="5" max="5" width="17.7109375" style="22" customWidth="1"/>
    <col min="6" max="6" width="10.7109375" style="22" customWidth="1"/>
    <col min="7" max="7" width="20.7109375" style="22" customWidth="1"/>
    <col min="8" max="8" width="17.7109375" style="22" customWidth="1"/>
    <col min="9" max="10" width="23.7109375" style="22" customWidth="1"/>
    <col min="11" max="11" width="37.7109375" style="22" customWidth="1" collapsed="1"/>
    <col min="12" max="12" width="23.7109375" style="22" hidden="1" customWidth="1" outlineLevel="1"/>
    <col min="13" max="13" width="37.7109375" style="22" hidden="1" customWidth="1" outlineLevel="1"/>
    <col min="14" max="14" width="23.7109375" style="22" hidden="1" customWidth="1" outlineLevel="1"/>
    <col min="15" max="15" width="37.7109375" style="22" hidden="1" customWidth="1" outlineLevel="1"/>
    <col min="16" max="16" width="14.7109375" style="22" customWidth="1"/>
    <col min="17" max="17" width="31.7109375" style="22" customWidth="1"/>
    <col min="18" max="18" width="29.7109375" style="22" customWidth="1"/>
    <col min="19" max="19" width="40.7109375" style="22" customWidth="1"/>
    <col min="20" max="20" width="19.7109375" style="22" customWidth="1"/>
    <col min="21" max="22" width="21.7109375" style="22" customWidth="1"/>
    <col min="23" max="23" width="21.7109375" style="22" customWidth="1" collapsed="1"/>
    <col min="24" max="27" width="21.7109375" style="22" hidden="1" customWidth="1" outlineLevel="1"/>
    <col min="28" max="28" width="21.7109375" style="22" hidden="1" customWidth="1" outlineLevel="1" collapsed="1"/>
    <col min="29" max="29" width="22.7109375" style="22" customWidth="1"/>
    <col min="30" max="30" width="27.7109375" style="22" customWidth="1"/>
    <col min="31" max="31" width="30.7109375" style="22" customWidth="1"/>
    <col min="32" max="32" width="25.7109375" style="22" customWidth="1"/>
    <col min="33" max="33" width="19.7109375" style="22" customWidth="1"/>
    <col min="34" max="34" width="14.7109375" style="22" customWidth="1"/>
    <col min="35" max="35" width="18.7109375" style="22" customWidth="1"/>
    <col min="36" max="36" width="14.7109375" style="22" customWidth="1"/>
    <col min="37" max="37" width="26.7109375" style="22" customWidth="1"/>
    <col min="38" max="38" width="33.7109375" style="22" customWidth="1"/>
    <col min="39" max="39" width="14.7109375" style="22" customWidth="1"/>
    <col min="40" max="42" width="20.7109375" style="22" customWidth="1"/>
    <col min="43" max="44" width="19.7109375" style="22" customWidth="1"/>
    <col min="45" max="46" width="20.7109375" style="22" customWidth="1"/>
    <col min="47" max="48" width="19.7109375" style="22" customWidth="1"/>
    <col min="49" max="50" width="20.7109375" style="22" customWidth="1"/>
    <col min="51" max="51" width="19.7109375" style="22" customWidth="1"/>
    <col min="52" max="52" width="19.7109375" style="22" customWidth="1" collapsed="1"/>
    <col min="53" max="54" width="20.7109375" style="22" hidden="1" customWidth="1" outlineLevel="1"/>
    <col min="55" max="56" width="19.7109375" style="22" hidden="1" customWidth="1" outlineLevel="1"/>
    <col min="57" max="58" width="20.7109375" style="22" hidden="1" customWidth="1" outlineLevel="1"/>
    <col min="59" max="60" width="19.7109375" style="22" hidden="1" customWidth="1" outlineLevel="1"/>
    <col min="61" max="62" width="20.7109375" style="22" hidden="1" customWidth="1" outlineLevel="1"/>
    <col min="63" max="64" width="19.7109375" style="22" hidden="1" customWidth="1" outlineLevel="1"/>
    <col min="65" max="66" width="20.7109375" style="22" hidden="1" customWidth="1" outlineLevel="1"/>
    <col min="67" max="68" width="19.7109375" style="22" hidden="1" customWidth="1" outlineLevel="1"/>
    <col min="69" max="70" width="20.7109375" style="22" hidden="1" customWidth="1" outlineLevel="1"/>
    <col min="71" max="71" width="19.7109375" style="22" hidden="1" customWidth="1" outlineLevel="1"/>
    <col min="72" max="72" width="19.7109375" style="22" hidden="1" customWidth="1" outlineLevel="1" collapsed="1"/>
    <col min="73" max="74" width="20.7109375" style="22" hidden="1" customWidth="1" outlineLevel="2"/>
    <col min="75" max="76" width="19.7109375" style="22" hidden="1" customWidth="1" outlineLevel="2"/>
    <col min="77" max="78" width="21.7109375" style="22" hidden="1" customWidth="1" outlineLevel="2"/>
    <col min="79" max="80" width="20.7109375" style="22" hidden="1" customWidth="1" outlineLevel="2"/>
    <col min="81" max="82" width="21.7109375" style="22" hidden="1" customWidth="1" outlineLevel="2"/>
    <col min="83" max="84" width="20.7109375" style="22" hidden="1" customWidth="1" outlineLevel="2"/>
    <col min="85" max="86" width="21.7109375" style="22" hidden="1" customWidth="1" outlineLevel="2"/>
    <col min="87" max="88" width="20.7109375" style="22" hidden="1" customWidth="1" outlineLevel="2"/>
    <col min="89" max="90" width="21.7109375" style="22" hidden="1" customWidth="1" outlineLevel="2"/>
    <col min="91" max="91" width="20.7109375" style="22" hidden="1" customWidth="1" outlineLevel="2"/>
    <col min="92" max="92" width="20.7109375" style="22" hidden="1" customWidth="1" outlineLevel="2" collapsed="1"/>
    <col min="93" max="94" width="21.7109375" style="22" hidden="1" customWidth="1" outlineLevel="3"/>
    <col min="95" max="96" width="20.7109375" style="22" hidden="1" customWidth="1" outlineLevel="3"/>
    <col min="97" max="98" width="21.7109375" style="22" hidden="1" customWidth="1" outlineLevel="3"/>
    <col min="99" max="100" width="20.7109375" style="22" hidden="1" customWidth="1" outlineLevel="3"/>
    <col min="101" max="102" width="21.7109375" style="22" hidden="1" customWidth="1" outlineLevel="3"/>
    <col min="103" max="104" width="20.7109375" style="22" hidden="1" customWidth="1" outlineLevel="3"/>
    <col min="105" max="106" width="21.7109375" style="22" hidden="1" customWidth="1" outlineLevel="3"/>
    <col min="107" max="108" width="20.7109375" style="22" hidden="1" customWidth="1" outlineLevel="3"/>
    <col min="109" max="110" width="21.7109375" style="22" hidden="1" customWidth="1" outlineLevel="3"/>
    <col min="111" max="111" width="20.7109375" style="22" hidden="1" customWidth="1" outlineLevel="3"/>
    <col min="112" max="112" width="20.7109375" style="22" hidden="1" customWidth="1" outlineLevel="3" collapsed="1"/>
    <col min="113" max="114" width="21.7109375" style="22" hidden="1" customWidth="1" outlineLevel="4"/>
    <col min="115" max="116" width="20.7109375" style="22" hidden="1" customWidth="1" outlineLevel="4"/>
    <col min="117" max="118" width="21.7109375" style="22" hidden="1" customWidth="1" outlineLevel="4"/>
    <col min="119" max="120" width="20.7109375" style="22" hidden="1" customWidth="1" outlineLevel="4"/>
    <col min="121" max="122" width="21.7109375" style="22" hidden="1" customWidth="1" outlineLevel="4"/>
    <col min="123" max="124" width="20.7109375" style="22" hidden="1" customWidth="1" outlineLevel="4"/>
    <col min="125" max="126" width="21.7109375" style="22" hidden="1" customWidth="1" outlineLevel="4"/>
    <col min="127" max="128" width="20.7109375" style="22" hidden="1" customWidth="1" outlineLevel="4"/>
    <col min="129" max="130" width="21.7109375" style="22" hidden="1" customWidth="1" outlineLevel="4"/>
    <col min="131" max="131" width="20.7109375" style="22" hidden="1" customWidth="1" outlineLevel="4"/>
    <col min="132" max="132" width="20.7109375" style="22" hidden="1" customWidth="1" outlineLevel="4" collapsed="1"/>
    <col min="133" max="134" width="21.7109375" style="22" hidden="1" customWidth="1" outlineLevel="5"/>
    <col min="135" max="136" width="20.7109375" style="22" hidden="1" customWidth="1" outlineLevel="5"/>
    <col min="137" max="138" width="21.7109375" style="22" hidden="1" customWidth="1" outlineLevel="5"/>
    <col min="139" max="140" width="20.7109375" style="22" hidden="1" customWidth="1" outlineLevel="5"/>
    <col min="141" max="142" width="21.7109375" style="22" hidden="1" customWidth="1" outlineLevel="5"/>
    <col min="143" max="144" width="20.7109375" style="22" hidden="1" customWidth="1" outlineLevel="5"/>
    <col min="145" max="146" width="21.7109375" style="22" hidden="1" customWidth="1" outlineLevel="5"/>
    <col min="147" max="148" width="20.7109375" style="22" hidden="1" customWidth="1" outlineLevel="5"/>
    <col min="149" max="150" width="21.7109375" style="22" hidden="1" customWidth="1" outlineLevel="5"/>
    <col min="151" max="151" width="20.7109375" style="22" hidden="1" customWidth="1" outlineLevel="5"/>
    <col min="152" max="152" width="20.7109375" style="22" hidden="1" customWidth="1" outlineLevel="5" collapsed="1"/>
    <col min="153" max="154" width="21.7109375" style="22" hidden="1" customWidth="1" outlineLevel="6"/>
    <col min="155" max="156" width="20.7109375" style="22" hidden="1" customWidth="1" outlineLevel="6"/>
    <col min="157" max="158" width="21.7109375" style="22" hidden="1" customWidth="1" outlineLevel="6"/>
    <col min="159" max="160" width="20.7109375" style="22" hidden="1" customWidth="1" outlineLevel="6"/>
    <col min="161" max="162" width="21.7109375" style="22" hidden="1" customWidth="1" outlineLevel="6"/>
    <col min="163" max="164" width="20.7109375" style="22" hidden="1" customWidth="1" outlineLevel="6"/>
    <col min="165" max="166" width="21.7109375" style="22" hidden="1" customWidth="1" outlineLevel="6"/>
    <col min="167" max="168" width="20.7109375" style="22" hidden="1" customWidth="1" outlineLevel="6"/>
    <col min="169" max="170" width="21.7109375" style="22" hidden="1" customWidth="1" outlineLevel="6"/>
    <col min="171" max="171" width="20.7109375" style="22" hidden="1" customWidth="1" outlineLevel="6"/>
    <col min="172" max="172" width="20.7109375" style="22" hidden="1" customWidth="1" outlineLevel="6" collapsed="1"/>
    <col min="173" max="174" width="21.7109375" style="22" hidden="1" customWidth="1" outlineLevel="7"/>
    <col min="175" max="176" width="20.7109375" style="22" hidden="1" customWidth="1" outlineLevel="7"/>
    <col min="177" max="178" width="21.7109375" style="22" hidden="1" customWidth="1" outlineLevel="7"/>
    <col min="179" max="180" width="20.7109375" style="22" hidden="1" customWidth="1" outlineLevel="7"/>
    <col min="181" max="182" width="21.7109375" style="22" hidden="1" customWidth="1" outlineLevel="7"/>
    <col min="183" max="184" width="20.7109375" style="22" hidden="1" customWidth="1" outlineLevel="7"/>
    <col min="185" max="186" width="21.7109375" style="22" hidden="1" customWidth="1" outlineLevel="7"/>
    <col min="187" max="188" width="20.7109375" style="22" hidden="1" customWidth="1" outlineLevel="7"/>
    <col min="189" max="190" width="21.7109375" style="22" hidden="1" customWidth="1" outlineLevel="7"/>
    <col min="191" max="191" width="20.7109375" style="22" hidden="1" customWidth="1" outlineLevel="7"/>
    <col min="192" max="192" width="20.7109375" style="22" hidden="1" customWidth="1" outlineLevel="7" collapsed="1"/>
    <col min="193" max="194" width="21.7109375" style="22" hidden="1" customWidth="1" outlineLevel="7"/>
    <col min="195" max="196" width="20.7109375" style="22" hidden="1" customWidth="1" outlineLevel="7"/>
    <col min="197" max="198" width="21.7109375" style="22" hidden="1" customWidth="1" outlineLevel="7"/>
    <col min="199" max="200" width="20.7109375" style="22" hidden="1" customWidth="1" outlineLevel="7"/>
    <col min="201" max="201" width="22.7109375" style="22" customWidth="1"/>
    <col min="202" max="202" width="21.7109375" style="22" customWidth="1"/>
    <col min="203" max="203" width="15.7109375" style="22" customWidth="1"/>
    <col min="204" max="204" width="15.7109375" style="22" customWidth="1" collapsed="1"/>
    <col min="205" max="212" width="15.7109375" style="22" hidden="1" customWidth="1" outlineLevel="1"/>
    <col min="213" max="217" width="29.7109375" style="22" customWidth="1"/>
    <col min="218" max="218" width="29.7109375" style="22" customWidth="1" collapsed="1"/>
    <col min="219" max="221" width="29.7109375" style="22" hidden="1" customWidth="1" outlineLevel="1"/>
    <col min="222" max="222" width="30.7109375" style="22" hidden="1" customWidth="1" outlineLevel="1"/>
    <col min="223" max="223" width="30.7109375" style="22" hidden="1" customWidth="1" outlineLevel="1" collapsed="1"/>
    <col min="224" max="227" width="30.7109375" style="22" hidden="1" customWidth="1" outlineLevel="2"/>
    <col min="228" max="228" width="30.7109375" style="22" hidden="1" customWidth="1" outlineLevel="2" collapsed="1"/>
    <col min="229" max="232" width="30.7109375" style="22" hidden="1" customWidth="1" outlineLevel="3"/>
    <col min="233" max="233" width="30.7109375" style="22" hidden="1" customWidth="1" outlineLevel="3" collapsed="1"/>
    <col min="234" max="237" width="30.7109375" style="22" hidden="1" customWidth="1" outlineLevel="4"/>
    <col min="238" max="238" width="30.7109375" style="22" hidden="1" customWidth="1" outlineLevel="4" collapsed="1"/>
    <col min="239" max="242" width="30.7109375" style="22" hidden="1" customWidth="1" outlineLevel="5"/>
    <col min="243" max="243" width="29.7109375" style="22" customWidth="1" collapsed="1"/>
    <col min="244" max="244" width="29.7109375" style="22" hidden="1" customWidth="1" outlineLevel="1"/>
    <col min="245" max="245" width="32.7109375" style="22" customWidth="1"/>
    <col min="246" max="246" width="20.7109375" style="22" customWidth="1"/>
    <col min="247" max="247" width="26.7109375" style="22" customWidth="1"/>
    <col min="248" max="248" width="22.7109375" style="22" customWidth="1" collapsed="1"/>
    <col min="249" max="249" width="32.7109375" style="22" hidden="1" customWidth="1" outlineLevel="1"/>
    <col min="250" max="250" width="20.7109375" style="22" hidden="1" customWidth="1" outlineLevel="1"/>
    <col min="251" max="251" width="26.7109375" style="22" hidden="1" customWidth="1" outlineLevel="1"/>
    <col min="252" max="252" width="22.7109375" style="22" hidden="1" customWidth="1" outlineLevel="1"/>
    <col min="253" max="253" width="32.7109375" style="22" hidden="1" customWidth="1" outlineLevel="1"/>
    <col min="254" max="254" width="20.7109375" style="22" hidden="1" customWidth="1" outlineLevel="1"/>
    <col min="255" max="255" width="26.7109375" style="22" hidden="1" customWidth="1" outlineLevel="1"/>
    <col min="256" max="256" width="22.7109375" style="22" hidden="1" customWidth="1" outlineLevel="1"/>
    <col min="257" max="257" width="32.7109375" style="22" hidden="1" customWidth="1" outlineLevel="1"/>
    <col min="258" max="258" width="20.7109375" style="22" hidden="1" customWidth="1" outlineLevel="1"/>
    <col min="259" max="259" width="26.7109375" style="22" hidden="1" customWidth="1" outlineLevel="1"/>
    <col min="260" max="260" width="22.7109375" style="22" hidden="1" customWidth="1" outlineLevel="1"/>
    <col min="261" max="261" width="32.7109375" style="22" hidden="1" customWidth="1" outlineLevel="1"/>
    <col min="262" max="262" width="20.7109375" style="22" hidden="1" customWidth="1" outlineLevel="1"/>
    <col min="263" max="263" width="26.7109375" style="22" hidden="1" customWidth="1" outlineLevel="1"/>
    <col min="264" max="264" width="22.7109375" style="22" hidden="1" customWidth="1" outlineLevel="1"/>
    <col min="265" max="265" width="32.7109375" style="22" hidden="1" customWidth="1" outlineLevel="1"/>
    <col min="266" max="266" width="20.7109375" style="22" hidden="1" customWidth="1" outlineLevel="1"/>
    <col min="267" max="267" width="26.7109375" style="22" hidden="1" customWidth="1" outlineLevel="1"/>
    <col min="268" max="268" width="22.7109375" style="22" hidden="1" customWidth="1" outlineLevel="1" collapsed="1"/>
    <col min="269" max="269" width="32.7109375" style="22" hidden="1" customWidth="1" outlineLevel="2"/>
    <col min="270" max="270" width="20.7109375" style="22" hidden="1" customWidth="1" outlineLevel="2"/>
    <col min="271" max="271" width="26.7109375" style="22" hidden="1" customWidth="1" outlineLevel="2"/>
    <col min="272" max="272" width="22.7109375" style="22" hidden="1" customWidth="1" outlineLevel="2"/>
    <col min="273" max="273" width="32.7109375" style="22" hidden="1" customWidth="1" outlineLevel="2"/>
    <col min="274" max="274" width="20.7109375" style="22" hidden="1" customWidth="1" outlineLevel="2"/>
    <col min="275" max="275" width="26.7109375" style="22" hidden="1" customWidth="1" outlineLevel="2"/>
    <col min="276" max="276" width="22.7109375" style="22" hidden="1" customWidth="1" outlineLevel="2"/>
    <col min="277" max="277" width="32.7109375" style="22" hidden="1" customWidth="1" outlineLevel="2"/>
    <col min="278" max="278" width="20.7109375" style="22" hidden="1" customWidth="1" outlineLevel="2"/>
    <col min="279" max="279" width="26.7109375" style="22" hidden="1" customWidth="1" outlineLevel="2"/>
    <col min="280" max="280" width="22.7109375" style="22" hidden="1" customWidth="1" outlineLevel="2"/>
    <col min="281" max="281" width="33.7109375" style="22" hidden="1" customWidth="1" outlineLevel="2"/>
    <col min="282" max="282" width="21.7109375" style="22" hidden="1" customWidth="1" outlineLevel="2"/>
    <col min="283" max="283" width="27.7109375" style="22" hidden="1" customWidth="1" outlineLevel="2"/>
    <col min="284" max="284" width="23.7109375" style="22" hidden="1" customWidth="1" outlineLevel="2"/>
    <col min="285" max="285" width="17.7109375" style="22" customWidth="1"/>
    <col min="286" max="286" width="21.7109375" style="22" customWidth="1"/>
    <col min="287" max="287" width="17.7109375" style="22" customWidth="1"/>
    <col min="288" max="288" width="13.7109375" style="22" customWidth="1"/>
    <col min="289" max="289" width="11.7109375" style="22" customWidth="1"/>
    <col min="290" max="290" width="10.7109375" style="22" customWidth="1"/>
    <col min="291" max="291" width="21.7109375" style="22" customWidth="1"/>
    <col min="292" max="292" width="29.7109375" style="22" customWidth="1"/>
    <col min="293" max="293" width="21.7109375" style="22" customWidth="1"/>
    <col min="294" max="294" width="12.7109375" style="22" customWidth="1"/>
    <col min="295" max="295" width="21.7109375" style="22" customWidth="1"/>
    <col min="296" max="296" width="29.7109375" style="22" customWidth="1"/>
    <col min="297" max="297" width="15.7109375" style="22" customWidth="1"/>
    <col min="298" max="298" width="22.7109375" style="22" customWidth="1"/>
    <col min="299" max="299" width="13.7109375" style="22" customWidth="1"/>
    <col min="300" max="300" width="15.7109375" style="22" customWidth="1"/>
    <col min="301" max="301" width="14.7109375" style="22" customWidth="1"/>
    <col min="302" max="302" width="39.7109375" style="22" customWidth="1"/>
    <col min="303" max="303" width="17.7109375" style="22" customWidth="1"/>
    <col min="304" max="304" width="43.7109375" style="22" customWidth="1"/>
    <col min="305" max="305" width="13.7109375" style="22" customWidth="1"/>
    <col min="306" max="306" width="40.7109375" style="22" customWidth="1"/>
    <col min="307" max="307" width="33.7109375" style="22" customWidth="1"/>
    <col min="308" max="308" width="28.7109375" style="22" customWidth="1"/>
    <col min="309" max="309" width="27.7109375" style="22" customWidth="1"/>
    <col min="310" max="310" width="24.7109375" style="22" customWidth="1"/>
    <col min="311" max="311" width="31.7109375" style="22" customWidth="1"/>
    <col min="312" max="312" width="107.7109375" style="22" customWidth="1"/>
    <col min="313" max="313" width="64.7109375" style="22" customWidth="1"/>
    <col min="314" max="314" width="31.7109375" style="22" customWidth="1"/>
    <col min="315" max="315" width="79.7109375" style="22" customWidth="1"/>
  </cols>
  <sheetData>
    <row r="1" spans="1:315" hidden="1">
      <c r="B1" s="22" t="s">
        <v>100</v>
      </c>
      <c r="C1" s="22" t="s">
        <v>101</v>
      </c>
      <c r="D1" s="22" t="s">
        <v>102</v>
      </c>
      <c r="E1" s="22" t="s">
        <v>103</v>
      </c>
      <c r="F1" s="22" t="s">
        <v>104</v>
      </c>
      <c r="G1" s="22" t="s">
        <v>105</v>
      </c>
      <c r="H1" s="22" t="s">
        <v>106</v>
      </c>
      <c r="I1" s="22" t="s">
        <v>107</v>
      </c>
      <c r="J1" s="22" t="s">
        <v>108</v>
      </c>
      <c r="K1" s="22" t="s">
        <v>109</v>
      </c>
      <c r="L1" s="22" t="s">
        <v>108</v>
      </c>
      <c r="M1" s="22" t="s">
        <v>109</v>
      </c>
      <c r="N1" s="22" t="s">
        <v>108</v>
      </c>
      <c r="O1" s="22" t="s">
        <v>109</v>
      </c>
      <c r="P1" s="22" t="s">
        <v>110</v>
      </c>
      <c r="Q1" s="22" t="s">
        <v>111</v>
      </c>
      <c r="R1" s="22" t="s">
        <v>112</v>
      </c>
      <c r="S1" s="22" t="s">
        <v>113</v>
      </c>
      <c r="T1" s="22" t="s">
        <v>114</v>
      </c>
      <c r="U1" s="22" t="s">
        <v>115</v>
      </c>
      <c r="V1" s="22" t="s">
        <v>115</v>
      </c>
      <c r="W1" s="22" t="s">
        <v>115</v>
      </c>
      <c r="X1" s="22" t="s">
        <v>115</v>
      </c>
      <c r="Y1" s="22" t="s">
        <v>115</v>
      </c>
      <c r="Z1" s="22" t="s">
        <v>115</v>
      </c>
      <c r="AA1" s="22" t="s">
        <v>115</v>
      </c>
      <c r="AB1" s="22" t="s">
        <v>115</v>
      </c>
      <c r="AC1" s="22" t="s">
        <v>116</v>
      </c>
      <c r="AD1" s="22" t="s">
        <v>117</v>
      </c>
      <c r="AE1" s="22" t="s">
        <v>118</v>
      </c>
      <c r="AF1" s="22" t="s">
        <v>119</v>
      </c>
      <c r="AG1" s="22" t="s">
        <v>120</v>
      </c>
      <c r="AH1" s="22" t="s">
        <v>121</v>
      </c>
      <c r="AI1" s="22" t="s">
        <v>122</v>
      </c>
      <c r="AJ1" s="22" t="s">
        <v>123</v>
      </c>
      <c r="AK1" s="22" t="s">
        <v>124</v>
      </c>
      <c r="AL1" s="22" t="s">
        <v>125</v>
      </c>
      <c r="AM1" s="22" t="s">
        <v>126</v>
      </c>
      <c r="AN1" s="22" t="s">
        <v>127</v>
      </c>
      <c r="AO1" s="22" t="s">
        <v>128</v>
      </c>
      <c r="AP1" s="22" t="s">
        <v>129</v>
      </c>
      <c r="AQ1" s="22" t="s">
        <v>130</v>
      </c>
      <c r="AR1" s="22" t="s">
        <v>131</v>
      </c>
      <c r="AS1" s="22" t="s">
        <v>128</v>
      </c>
      <c r="AT1" s="22" t="s">
        <v>129</v>
      </c>
      <c r="AU1" s="22" t="s">
        <v>130</v>
      </c>
      <c r="AV1" s="22" t="s">
        <v>131</v>
      </c>
      <c r="AW1" s="22" t="s">
        <v>128</v>
      </c>
      <c r="AX1" s="22" t="s">
        <v>129</v>
      </c>
      <c r="AY1" s="22" t="s">
        <v>130</v>
      </c>
      <c r="AZ1" s="22" t="s">
        <v>131</v>
      </c>
      <c r="BA1" s="22" t="s">
        <v>128</v>
      </c>
      <c r="BB1" s="22" t="s">
        <v>129</v>
      </c>
      <c r="BC1" s="22" t="s">
        <v>130</v>
      </c>
      <c r="BD1" s="22" t="s">
        <v>131</v>
      </c>
      <c r="BE1" s="22" t="s">
        <v>128</v>
      </c>
      <c r="BF1" s="22" t="s">
        <v>129</v>
      </c>
      <c r="BG1" s="22" t="s">
        <v>130</v>
      </c>
      <c r="BH1" s="22" t="s">
        <v>131</v>
      </c>
      <c r="BI1" s="22" t="s">
        <v>128</v>
      </c>
      <c r="BJ1" s="22" t="s">
        <v>129</v>
      </c>
      <c r="BK1" s="22" t="s">
        <v>130</v>
      </c>
      <c r="BL1" s="22" t="s">
        <v>131</v>
      </c>
      <c r="BM1" s="22" t="s">
        <v>128</v>
      </c>
      <c r="BN1" s="22" t="s">
        <v>129</v>
      </c>
      <c r="BO1" s="22" t="s">
        <v>130</v>
      </c>
      <c r="BP1" s="22" t="s">
        <v>131</v>
      </c>
      <c r="BQ1" s="22" t="s">
        <v>128</v>
      </c>
      <c r="BR1" s="22" t="s">
        <v>129</v>
      </c>
      <c r="BS1" s="22" t="s">
        <v>130</v>
      </c>
      <c r="BT1" s="22" t="s">
        <v>131</v>
      </c>
      <c r="BU1" s="22" t="s">
        <v>128</v>
      </c>
      <c r="BV1" s="22" t="s">
        <v>129</v>
      </c>
      <c r="BW1" s="22" t="s">
        <v>130</v>
      </c>
      <c r="BX1" s="22" t="s">
        <v>131</v>
      </c>
      <c r="BY1" s="22" t="s">
        <v>128</v>
      </c>
      <c r="BZ1" s="22" t="s">
        <v>129</v>
      </c>
      <c r="CA1" s="22" t="s">
        <v>130</v>
      </c>
      <c r="CB1" s="22" t="s">
        <v>131</v>
      </c>
      <c r="CC1" s="22" t="s">
        <v>128</v>
      </c>
      <c r="CD1" s="22" t="s">
        <v>129</v>
      </c>
      <c r="CE1" s="22" t="s">
        <v>130</v>
      </c>
      <c r="CF1" s="22" t="s">
        <v>131</v>
      </c>
      <c r="CG1" s="22" t="s">
        <v>128</v>
      </c>
      <c r="CH1" s="22" t="s">
        <v>129</v>
      </c>
      <c r="CI1" s="22" t="s">
        <v>130</v>
      </c>
      <c r="CJ1" s="22" t="s">
        <v>131</v>
      </c>
      <c r="CK1" s="22" t="s">
        <v>128</v>
      </c>
      <c r="CL1" s="22" t="s">
        <v>129</v>
      </c>
      <c r="CM1" s="22" t="s">
        <v>130</v>
      </c>
      <c r="CN1" s="22" t="s">
        <v>131</v>
      </c>
      <c r="CO1" s="22" t="s">
        <v>128</v>
      </c>
      <c r="CP1" s="22" t="s">
        <v>129</v>
      </c>
      <c r="CQ1" s="22" t="s">
        <v>130</v>
      </c>
      <c r="CR1" s="22" t="s">
        <v>131</v>
      </c>
      <c r="CS1" s="22" t="s">
        <v>128</v>
      </c>
      <c r="CT1" s="22" t="s">
        <v>129</v>
      </c>
      <c r="CU1" s="22" t="s">
        <v>130</v>
      </c>
      <c r="CV1" s="22" t="s">
        <v>131</v>
      </c>
      <c r="CW1" s="22" t="s">
        <v>128</v>
      </c>
      <c r="CX1" s="22" t="s">
        <v>129</v>
      </c>
      <c r="CY1" s="22" t="s">
        <v>130</v>
      </c>
      <c r="CZ1" s="22" t="s">
        <v>131</v>
      </c>
      <c r="DA1" s="22" t="s">
        <v>128</v>
      </c>
      <c r="DB1" s="22" t="s">
        <v>129</v>
      </c>
      <c r="DC1" s="22" t="s">
        <v>130</v>
      </c>
      <c r="DD1" s="22" t="s">
        <v>131</v>
      </c>
      <c r="DE1" s="22" t="s">
        <v>128</v>
      </c>
      <c r="DF1" s="22" t="s">
        <v>129</v>
      </c>
      <c r="DG1" s="22" t="s">
        <v>130</v>
      </c>
      <c r="DH1" s="22" t="s">
        <v>131</v>
      </c>
      <c r="DI1" s="22" t="s">
        <v>128</v>
      </c>
      <c r="DJ1" s="22" t="s">
        <v>129</v>
      </c>
      <c r="DK1" s="22" t="s">
        <v>130</v>
      </c>
      <c r="DL1" s="22" t="s">
        <v>131</v>
      </c>
      <c r="DM1" s="22" t="s">
        <v>128</v>
      </c>
      <c r="DN1" s="22" t="s">
        <v>129</v>
      </c>
      <c r="DO1" s="22" t="s">
        <v>130</v>
      </c>
      <c r="DP1" s="22" t="s">
        <v>131</v>
      </c>
      <c r="DQ1" s="22" t="s">
        <v>128</v>
      </c>
      <c r="DR1" s="22" t="s">
        <v>129</v>
      </c>
      <c r="DS1" s="22" t="s">
        <v>130</v>
      </c>
      <c r="DT1" s="22" t="s">
        <v>131</v>
      </c>
      <c r="DU1" s="22" t="s">
        <v>128</v>
      </c>
      <c r="DV1" s="22" t="s">
        <v>129</v>
      </c>
      <c r="DW1" s="22" t="s">
        <v>130</v>
      </c>
      <c r="DX1" s="22" t="s">
        <v>131</v>
      </c>
      <c r="DY1" s="22" t="s">
        <v>128</v>
      </c>
      <c r="DZ1" s="22" t="s">
        <v>129</v>
      </c>
      <c r="EA1" s="22" t="s">
        <v>130</v>
      </c>
      <c r="EB1" s="22" t="s">
        <v>131</v>
      </c>
      <c r="EC1" s="22" t="s">
        <v>128</v>
      </c>
      <c r="ED1" s="22" t="s">
        <v>129</v>
      </c>
      <c r="EE1" s="22" t="s">
        <v>130</v>
      </c>
      <c r="EF1" s="22" t="s">
        <v>131</v>
      </c>
      <c r="EG1" s="22" t="s">
        <v>128</v>
      </c>
      <c r="EH1" s="22" t="s">
        <v>129</v>
      </c>
      <c r="EI1" s="22" t="s">
        <v>130</v>
      </c>
      <c r="EJ1" s="22" t="s">
        <v>131</v>
      </c>
      <c r="EK1" s="22" t="s">
        <v>128</v>
      </c>
      <c r="EL1" s="22" t="s">
        <v>129</v>
      </c>
      <c r="EM1" s="22" t="s">
        <v>130</v>
      </c>
      <c r="EN1" s="22" t="s">
        <v>131</v>
      </c>
      <c r="EO1" s="22" t="s">
        <v>128</v>
      </c>
      <c r="EP1" s="22" t="s">
        <v>129</v>
      </c>
      <c r="EQ1" s="22" t="s">
        <v>130</v>
      </c>
      <c r="ER1" s="22" t="s">
        <v>131</v>
      </c>
      <c r="ES1" s="22" t="s">
        <v>128</v>
      </c>
      <c r="ET1" s="22" t="s">
        <v>129</v>
      </c>
      <c r="EU1" s="22" t="s">
        <v>130</v>
      </c>
      <c r="EV1" s="22" t="s">
        <v>131</v>
      </c>
      <c r="EW1" s="22" t="s">
        <v>128</v>
      </c>
      <c r="EX1" s="22" t="s">
        <v>129</v>
      </c>
      <c r="EY1" s="22" t="s">
        <v>130</v>
      </c>
      <c r="EZ1" s="22" t="s">
        <v>131</v>
      </c>
      <c r="FA1" s="22" t="s">
        <v>128</v>
      </c>
      <c r="FB1" s="22" t="s">
        <v>129</v>
      </c>
      <c r="FC1" s="22" t="s">
        <v>130</v>
      </c>
      <c r="FD1" s="22" t="s">
        <v>131</v>
      </c>
      <c r="FE1" s="22" t="s">
        <v>128</v>
      </c>
      <c r="FF1" s="22" t="s">
        <v>129</v>
      </c>
      <c r="FG1" s="22" t="s">
        <v>130</v>
      </c>
      <c r="FH1" s="22" t="s">
        <v>131</v>
      </c>
      <c r="FI1" s="22" t="s">
        <v>128</v>
      </c>
      <c r="FJ1" s="22" t="s">
        <v>129</v>
      </c>
      <c r="FK1" s="22" t="s">
        <v>130</v>
      </c>
      <c r="FL1" s="22" t="s">
        <v>131</v>
      </c>
      <c r="FM1" s="22" t="s">
        <v>128</v>
      </c>
      <c r="FN1" s="22" t="s">
        <v>129</v>
      </c>
      <c r="FO1" s="22" t="s">
        <v>130</v>
      </c>
      <c r="FP1" s="22" t="s">
        <v>131</v>
      </c>
      <c r="FQ1" s="22" t="s">
        <v>128</v>
      </c>
      <c r="FR1" s="22" t="s">
        <v>129</v>
      </c>
      <c r="FS1" s="22" t="s">
        <v>130</v>
      </c>
      <c r="FT1" s="22" t="s">
        <v>131</v>
      </c>
      <c r="FU1" s="22" t="s">
        <v>128</v>
      </c>
      <c r="FV1" s="22" t="s">
        <v>129</v>
      </c>
      <c r="FW1" s="22" t="s">
        <v>130</v>
      </c>
      <c r="FX1" s="22" t="s">
        <v>131</v>
      </c>
      <c r="FY1" s="22" t="s">
        <v>128</v>
      </c>
      <c r="FZ1" s="22" t="s">
        <v>129</v>
      </c>
      <c r="GA1" s="22" t="s">
        <v>130</v>
      </c>
      <c r="GB1" s="22" t="s">
        <v>131</v>
      </c>
      <c r="GC1" s="22" t="s">
        <v>128</v>
      </c>
      <c r="GD1" s="22" t="s">
        <v>129</v>
      </c>
      <c r="GE1" s="22" t="s">
        <v>130</v>
      </c>
      <c r="GF1" s="22" t="s">
        <v>131</v>
      </c>
      <c r="GG1" s="22" t="s">
        <v>128</v>
      </c>
      <c r="GH1" s="22" t="s">
        <v>129</v>
      </c>
      <c r="GI1" s="22" t="s">
        <v>130</v>
      </c>
      <c r="GJ1" s="22" t="s">
        <v>131</v>
      </c>
      <c r="GK1" s="22" t="s">
        <v>128</v>
      </c>
      <c r="GL1" s="22" t="s">
        <v>129</v>
      </c>
      <c r="GM1" s="22" t="s">
        <v>130</v>
      </c>
      <c r="GN1" s="22" t="s">
        <v>131</v>
      </c>
      <c r="GO1" s="22" t="s">
        <v>128</v>
      </c>
      <c r="GP1" s="22" t="s">
        <v>129</v>
      </c>
      <c r="GQ1" s="22" t="s">
        <v>130</v>
      </c>
      <c r="GR1" s="22" t="s">
        <v>131</v>
      </c>
      <c r="GS1" s="22" t="s">
        <v>132</v>
      </c>
      <c r="GT1" s="22" t="s">
        <v>133</v>
      </c>
      <c r="GU1" s="22" t="s">
        <v>134</v>
      </c>
      <c r="GV1" s="22" t="s">
        <v>135</v>
      </c>
      <c r="GW1" s="22" t="s">
        <v>134</v>
      </c>
      <c r="GX1" s="22" t="s">
        <v>135</v>
      </c>
      <c r="GY1" s="22" t="s">
        <v>134</v>
      </c>
      <c r="GZ1" s="22" t="s">
        <v>135</v>
      </c>
      <c r="HA1" s="22" t="s">
        <v>134</v>
      </c>
      <c r="HB1" s="22" t="s">
        <v>135</v>
      </c>
      <c r="HC1" s="22" t="s">
        <v>134</v>
      </c>
      <c r="HD1" s="22" t="s">
        <v>135</v>
      </c>
      <c r="HE1" s="22" t="s">
        <v>136</v>
      </c>
      <c r="HF1" s="22" t="s">
        <v>136</v>
      </c>
      <c r="HG1" s="22" t="s">
        <v>136</v>
      </c>
      <c r="HH1" s="22" t="s">
        <v>136</v>
      </c>
      <c r="HI1" s="22" t="s">
        <v>136</v>
      </c>
      <c r="HJ1" s="22" t="s">
        <v>136</v>
      </c>
      <c r="HK1" s="22" t="s">
        <v>136</v>
      </c>
      <c r="HL1" s="22" t="s">
        <v>136</v>
      </c>
      <c r="HM1" s="22" t="s">
        <v>136</v>
      </c>
      <c r="HN1" s="22" t="s">
        <v>136</v>
      </c>
      <c r="HO1" s="22" t="s">
        <v>136</v>
      </c>
      <c r="HP1" s="22" t="s">
        <v>136</v>
      </c>
      <c r="HQ1" s="22" t="s">
        <v>136</v>
      </c>
      <c r="HR1" s="22" t="s">
        <v>136</v>
      </c>
      <c r="HS1" s="22" t="s">
        <v>136</v>
      </c>
      <c r="HT1" s="22" t="s">
        <v>136</v>
      </c>
      <c r="HU1" s="22" t="s">
        <v>136</v>
      </c>
      <c r="HV1" s="22" t="s">
        <v>136</v>
      </c>
      <c r="HW1" s="22" t="s">
        <v>136</v>
      </c>
      <c r="HX1" s="22" t="s">
        <v>136</v>
      </c>
      <c r="HY1" s="22" t="s">
        <v>136</v>
      </c>
      <c r="HZ1" s="22" t="s">
        <v>136</v>
      </c>
      <c r="IA1" s="22" t="s">
        <v>136</v>
      </c>
      <c r="IB1" s="22" t="s">
        <v>136</v>
      </c>
      <c r="IC1" s="22" t="s">
        <v>136</v>
      </c>
      <c r="ID1" s="22" t="s">
        <v>136</v>
      </c>
      <c r="IE1" s="22" t="s">
        <v>136</v>
      </c>
      <c r="IF1" s="22" t="s">
        <v>136</v>
      </c>
      <c r="IG1" s="22" t="s">
        <v>136</v>
      </c>
      <c r="IH1" s="22" t="s">
        <v>136</v>
      </c>
      <c r="II1" s="22" t="s">
        <v>137</v>
      </c>
      <c r="IJ1" s="22" t="s">
        <v>137</v>
      </c>
      <c r="IK1" s="22" t="s">
        <v>138</v>
      </c>
      <c r="IL1" s="22" t="s">
        <v>139</v>
      </c>
      <c r="IM1" s="22" t="s">
        <v>140</v>
      </c>
      <c r="IN1" s="22" t="s">
        <v>141</v>
      </c>
      <c r="IO1" s="22" t="s">
        <v>138</v>
      </c>
      <c r="IP1" s="22" t="s">
        <v>139</v>
      </c>
      <c r="IQ1" s="22" t="s">
        <v>140</v>
      </c>
      <c r="IR1" s="22" t="s">
        <v>141</v>
      </c>
      <c r="IS1" s="22" t="s">
        <v>138</v>
      </c>
      <c r="IT1" s="22" t="s">
        <v>139</v>
      </c>
      <c r="IU1" s="22" t="s">
        <v>140</v>
      </c>
      <c r="IV1" s="22" t="s">
        <v>141</v>
      </c>
      <c r="IW1" s="22" t="s">
        <v>138</v>
      </c>
      <c r="IX1" s="22" t="s">
        <v>139</v>
      </c>
      <c r="IY1" s="22" t="s">
        <v>140</v>
      </c>
      <c r="IZ1" s="22" t="s">
        <v>141</v>
      </c>
      <c r="JA1" s="22" t="s">
        <v>138</v>
      </c>
      <c r="JB1" s="22" t="s">
        <v>139</v>
      </c>
      <c r="JC1" s="22" t="s">
        <v>140</v>
      </c>
      <c r="JD1" s="22" t="s">
        <v>141</v>
      </c>
      <c r="JE1" s="22" t="s">
        <v>138</v>
      </c>
      <c r="JF1" s="22" t="s">
        <v>139</v>
      </c>
      <c r="JG1" s="22" t="s">
        <v>140</v>
      </c>
      <c r="JH1" s="22" t="s">
        <v>141</v>
      </c>
      <c r="JI1" s="22" t="s">
        <v>138</v>
      </c>
      <c r="JJ1" s="22" t="s">
        <v>139</v>
      </c>
      <c r="JK1" s="22" t="s">
        <v>140</v>
      </c>
      <c r="JL1" s="22" t="s">
        <v>141</v>
      </c>
      <c r="JM1" s="22" t="s">
        <v>138</v>
      </c>
      <c r="JN1" s="22" t="s">
        <v>139</v>
      </c>
      <c r="JO1" s="22" t="s">
        <v>140</v>
      </c>
      <c r="JP1" s="22" t="s">
        <v>141</v>
      </c>
      <c r="JQ1" s="22" t="s">
        <v>138</v>
      </c>
      <c r="JR1" s="22" t="s">
        <v>139</v>
      </c>
      <c r="JS1" s="22" t="s">
        <v>140</v>
      </c>
      <c r="JT1" s="22" t="s">
        <v>141</v>
      </c>
      <c r="JU1" s="22" t="s">
        <v>138</v>
      </c>
      <c r="JV1" s="22" t="s">
        <v>139</v>
      </c>
      <c r="JW1" s="22" t="s">
        <v>140</v>
      </c>
      <c r="JX1" s="22" t="s">
        <v>141</v>
      </c>
      <c r="JY1" s="22" t="s">
        <v>142</v>
      </c>
      <c r="JZ1" s="22" t="s">
        <v>621</v>
      </c>
      <c r="KA1" s="22" t="s">
        <v>622</v>
      </c>
      <c r="KB1" s="22" t="s">
        <v>145</v>
      </c>
      <c r="KC1" s="22" t="s">
        <v>623</v>
      </c>
      <c r="KD1" s="22" t="s">
        <v>155</v>
      </c>
      <c r="KE1" s="22" t="s">
        <v>159</v>
      </c>
      <c r="KF1" s="22" t="s">
        <v>158</v>
      </c>
      <c r="KG1" s="22" t="s">
        <v>624</v>
      </c>
      <c r="KH1" s="22" t="s">
        <v>625</v>
      </c>
      <c r="KI1" s="22" t="s">
        <v>626</v>
      </c>
      <c r="KJ1" s="22" t="s">
        <v>627</v>
      </c>
      <c r="KK1" s="22" t="s">
        <v>628</v>
      </c>
      <c r="KL1" s="22" t="s">
        <v>629</v>
      </c>
      <c r="KM1" s="22" t="s">
        <v>630</v>
      </c>
      <c r="KN1" s="22" t="s">
        <v>153</v>
      </c>
      <c r="KO1" s="22" t="s">
        <v>160</v>
      </c>
      <c r="KP1" s="22" t="s">
        <v>197</v>
      </c>
      <c r="KQ1" s="22" t="s">
        <v>631</v>
      </c>
      <c r="KR1" s="22" t="s">
        <v>150</v>
      </c>
      <c r="KS1" s="22" t="s">
        <v>151</v>
      </c>
      <c r="KT1" s="22" t="s">
        <v>632</v>
      </c>
      <c r="KU1" s="22" t="s">
        <v>162</v>
      </c>
      <c r="KV1" s="22" t="s">
        <v>633</v>
      </c>
      <c r="KW1" s="22" t="s">
        <v>163</v>
      </c>
      <c r="KX1" s="22" t="s">
        <v>164</v>
      </c>
      <c r="KY1" s="22" t="s">
        <v>165</v>
      </c>
      <c r="KZ1" s="22" t="s">
        <v>166</v>
      </c>
      <c r="LA1" s="22" t="s">
        <v>167</v>
      </c>
      <c r="LB1" s="22" t="s">
        <v>168</v>
      </c>
      <c r="LC1" s="22" t="s">
        <v>170</v>
      </c>
    </row>
    <row r="2" spans="1:315" hidden="1">
      <c r="J2" s="22" t="s">
        <v>171</v>
      </c>
      <c r="K2" s="22" t="s">
        <v>171</v>
      </c>
      <c r="L2" s="22" t="s">
        <v>172</v>
      </c>
      <c r="M2" s="22" t="s">
        <v>172</v>
      </c>
      <c r="N2" s="22" t="s">
        <v>173</v>
      </c>
      <c r="O2" s="22" t="s">
        <v>173</v>
      </c>
      <c r="U2" s="22" t="s">
        <v>171</v>
      </c>
      <c r="V2" s="22" t="s">
        <v>172</v>
      </c>
      <c r="W2" s="22" t="s">
        <v>173</v>
      </c>
      <c r="X2" s="22" t="s">
        <v>174</v>
      </c>
      <c r="Y2" s="22" t="s">
        <v>175</v>
      </c>
      <c r="Z2" s="22" t="s">
        <v>176</v>
      </c>
      <c r="AA2" s="22" t="s">
        <v>177</v>
      </c>
      <c r="AB2" s="22" t="s">
        <v>178</v>
      </c>
      <c r="AO2" s="22" t="s">
        <v>171</v>
      </c>
      <c r="AP2" s="22" t="s">
        <v>171</v>
      </c>
      <c r="AQ2" s="22" t="s">
        <v>171</v>
      </c>
      <c r="AR2" s="22" t="s">
        <v>171</v>
      </c>
      <c r="AS2" s="22" t="s">
        <v>172</v>
      </c>
      <c r="AT2" s="22" t="s">
        <v>172</v>
      </c>
      <c r="AU2" s="22" t="s">
        <v>172</v>
      </c>
      <c r="AV2" s="22" t="s">
        <v>172</v>
      </c>
      <c r="AW2" s="22" t="s">
        <v>173</v>
      </c>
      <c r="AX2" s="22" t="s">
        <v>173</v>
      </c>
      <c r="AY2" s="22" t="s">
        <v>173</v>
      </c>
      <c r="AZ2" s="22" t="s">
        <v>173</v>
      </c>
      <c r="BA2" s="22" t="s">
        <v>174</v>
      </c>
      <c r="BB2" s="22" t="s">
        <v>174</v>
      </c>
      <c r="BC2" s="22" t="s">
        <v>174</v>
      </c>
      <c r="BD2" s="22" t="s">
        <v>174</v>
      </c>
      <c r="BE2" s="22" t="s">
        <v>175</v>
      </c>
      <c r="BF2" s="22" t="s">
        <v>175</v>
      </c>
      <c r="BG2" s="22" t="s">
        <v>175</v>
      </c>
      <c r="BH2" s="22" t="s">
        <v>175</v>
      </c>
      <c r="BI2" s="22" t="s">
        <v>176</v>
      </c>
      <c r="BJ2" s="22" t="s">
        <v>176</v>
      </c>
      <c r="BK2" s="22" t="s">
        <v>176</v>
      </c>
      <c r="BL2" s="22" t="s">
        <v>176</v>
      </c>
      <c r="BM2" s="22" t="s">
        <v>177</v>
      </c>
      <c r="BN2" s="22" t="s">
        <v>177</v>
      </c>
      <c r="BO2" s="22" t="s">
        <v>177</v>
      </c>
      <c r="BP2" s="22" t="s">
        <v>177</v>
      </c>
      <c r="BQ2" s="22" t="s">
        <v>178</v>
      </c>
      <c r="BR2" s="22" t="s">
        <v>178</v>
      </c>
      <c r="BS2" s="22" t="s">
        <v>178</v>
      </c>
      <c r="BT2" s="22" t="s">
        <v>178</v>
      </c>
      <c r="BU2" s="22" t="s">
        <v>179</v>
      </c>
      <c r="BV2" s="22" t="s">
        <v>179</v>
      </c>
      <c r="BW2" s="22" t="s">
        <v>179</v>
      </c>
      <c r="BX2" s="22" t="s">
        <v>179</v>
      </c>
      <c r="BY2" s="22" t="s">
        <v>180</v>
      </c>
      <c r="BZ2" s="22" t="s">
        <v>180</v>
      </c>
      <c r="CA2" s="22" t="s">
        <v>180</v>
      </c>
      <c r="CB2" s="22" t="s">
        <v>180</v>
      </c>
      <c r="CC2" s="22" t="s">
        <v>181</v>
      </c>
      <c r="CD2" s="22" t="s">
        <v>181</v>
      </c>
      <c r="CE2" s="22" t="s">
        <v>181</v>
      </c>
      <c r="CF2" s="22" t="s">
        <v>181</v>
      </c>
      <c r="CG2" s="22" t="s">
        <v>182</v>
      </c>
      <c r="CH2" s="22" t="s">
        <v>182</v>
      </c>
      <c r="CI2" s="22" t="s">
        <v>182</v>
      </c>
      <c r="CJ2" s="22" t="s">
        <v>182</v>
      </c>
      <c r="CK2" s="22" t="s">
        <v>183</v>
      </c>
      <c r="CL2" s="22" t="s">
        <v>183</v>
      </c>
      <c r="CM2" s="22" t="s">
        <v>183</v>
      </c>
      <c r="CN2" s="22" t="s">
        <v>183</v>
      </c>
      <c r="CO2" s="22" t="s">
        <v>184</v>
      </c>
      <c r="CP2" s="22" t="s">
        <v>184</v>
      </c>
      <c r="CQ2" s="22" t="s">
        <v>184</v>
      </c>
      <c r="CR2" s="22" t="s">
        <v>184</v>
      </c>
      <c r="CS2" s="22" t="s">
        <v>185</v>
      </c>
      <c r="CT2" s="22" t="s">
        <v>185</v>
      </c>
      <c r="CU2" s="22" t="s">
        <v>185</v>
      </c>
      <c r="CV2" s="22" t="s">
        <v>185</v>
      </c>
      <c r="CW2" s="22" t="s">
        <v>186</v>
      </c>
      <c r="CX2" s="22" t="s">
        <v>186</v>
      </c>
      <c r="CY2" s="22" t="s">
        <v>186</v>
      </c>
      <c r="CZ2" s="22" t="s">
        <v>186</v>
      </c>
      <c r="DA2" s="22" t="s">
        <v>187</v>
      </c>
      <c r="DB2" s="22" t="s">
        <v>187</v>
      </c>
      <c r="DC2" s="22" t="s">
        <v>187</v>
      </c>
      <c r="DD2" s="22" t="s">
        <v>187</v>
      </c>
      <c r="DE2" s="22" t="s">
        <v>188</v>
      </c>
      <c r="DF2" s="22" t="s">
        <v>188</v>
      </c>
      <c r="DG2" s="22" t="s">
        <v>188</v>
      </c>
      <c r="DH2" s="22" t="s">
        <v>188</v>
      </c>
      <c r="DI2" s="22" t="s">
        <v>189</v>
      </c>
      <c r="DJ2" s="22" t="s">
        <v>189</v>
      </c>
      <c r="DK2" s="22" t="s">
        <v>189</v>
      </c>
      <c r="DL2" s="22" t="s">
        <v>189</v>
      </c>
      <c r="DM2" s="22" t="s">
        <v>190</v>
      </c>
      <c r="DN2" s="22" t="s">
        <v>190</v>
      </c>
      <c r="DO2" s="22" t="s">
        <v>190</v>
      </c>
      <c r="DP2" s="22" t="s">
        <v>190</v>
      </c>
      <c r="DQ2" s="22" t="s">
        <v>191</v>
      </c>
      <c r="DR2" s="22" t="s">
        <v>191</v>
      </c>
      <c r="DS2" s="22" t="s">
        <v>191</v>
      </c>
      <c r="DT2" s="22" t="s">
        <v>191</v>
      </c>
      <c r="DU2" s="22" t="s">
        <v>192</v>
      </c>
      <c r="DV2" s="22" t="s">
        <v>192</v>
      </c>
      <c r="DW2" s="22" t="s">
        <v>192</v>
      </c>
      <c r="DX2" s="22" t="s">
        <v>192</v>
      </c>
      <c r="DY2" s="22" t="s">
        <v>193</v>
      </c>
      <c r="DZ2" s="22" t="s">
        <v>193</v>
      </c>
      <c r="EA2" s="22" t="s">
        <v>193</v>
      </c>
      <c r="EB2" s="22" t="s">
        <v>193</v>
      </c>
      <c r="EC2" s="22" t="s">
        <v>194</v>
      </c>
      <c r="ED2" s="22" t="s">
        <v>194</v>
      </c>
      <c r="EE2" s="22" t="s">
        <v>194</v>
      </c>
      <c r="EF2" s="22" t="s">
        <v>194</v>
      </c>
      <c r="EG2" s="22" t="s">
        <v>195</v>
      </c>
      <c r="EH2" s="22" t="s">
        <v>195</v>
      </c>
      <c r="EI2" s="22" t="s">
        <v>195</v>
      </c>
      <c r="EJ2" s="22" t="s">
        <v>195</v>
      </c>
      <c r="EK2" s="22" t="s">
        <v>196</v>
      </c>
      <c r="EL2" s="22" t="s">
        <v>196</v>
      </c>
      <c r="EM2" s="22" t="s">
        <v>196</v>
      </c>
      <c r="EN2" s="22" t="s">
        <v>196</v>
      </c>
      <c r="EO2" s="22" t="s">
        <v>197</v>
      </c>
      <c r="EP2" s="22" t="s">
        <v>197</v>
      </c>
      <c r="EQ2" s="22" t="s">
        <v>197</v>
      </c>
      <c r="ER2" s="22" t="s">
        <v>197</v>
      </c>
      <c r="ES2" s="22" t="s">
        <v>164</v>
      </c>
      <c r="ET2" s="22" t="s">
        <v>164</v>
      </c>
      <c r="EU2" s="22" t="s">
        <v>164</v>
      </c>
      <c r="EV2" s="22" t="s">
        <v>164</v>
      </c>
      <c r="EW2" s="22" t="s">
        <v>198</v>
      </c>
      <c r="EX2" s="22" t="s">
        <v>198</v>
      </c>
      <c r="EY2" s="22" t="s">
        <v>198</v>
      </c>
      <c r="EZ2" s="22" t="s">
        <v>198</v>
      </c>
      <c r="FA2" s="22" t="s">
        <v>199</v>
      </c>
      <c r="FB2" s="22" t="s">
        <v>199</v>
      </c>
      <c r="FC2" s="22" t="s">
        <v>199</v>
      </c>
      <c r="FD2" s="22" t="s">
        <v>199</v>
      </c>
      <c r="FE2" s="22" t="s">
        <v>167</v>
      </c>
      <c r="FF2" s="22" t="s">
        <v>167</v>
      </c>
      <c r="FG2" s="22" t="s">
        <v>167</v>
      </c>
      <c r="FH2" s="22" t="s">
        <v>167</v>
      </c>
      <c r="FI2" s="22" t="s">
        <v>200</v>
      </c>
      <c r="FJ2" s="22" t="s">
        <v>200</v>
      </c>
      <c r="FK2" s="22" t="s">
        <v>200</v>
      </c>
      <c r="FL2" s="22" t="s">
        <v>200</v>
      </c>
      <c r="FM2" s="22" t="s">
        <v>201</v>
      </c>
      <c r="FN2" s="22" t="s">
        <v>201</v>
      </c>
      <c r="FO2" s="22" t="s">
        <v>201</v>
      </c>
      <c r="FP2" s="22" t="s">
        <v>201</v>
      </c>
      <c r="FQ2" s="22" t="s">
        <v>202</v>
      </c>
      <c r="FR2" s="22" t="s">
        <v>202</v>
      </c>
      <c r="FS2" s="22" t="s">
        <v>202</v>
      </c>
      <c r="FT2" s="22" t="s">
        <v>202</v>
      </c>
      <c r="FU2" s="22" t="s">
        <v>203</v>
      </c>
      <c r="FV2" s="22" t="s">
        <v>203</v>
      </c>
      <c r="FW2" s="22" t="s">
        <v>203</v>
      </c>
      <c r="FX2" s="22" t="s">
        <v>203</v>
      </c>
      <c r="FY2" s="22" t="s">
        <v>204</v>
      </c>
      <c r="FZ2" s="22" t="s">
        <v>204</v>
      </c>
      <c r="GA2" s="22" t="s">
        <v>204</v>
      </c>
      <c r="GB2" s="22" t="s">
        <v>204</v>
      </c>
      <c r="GC2" s="22" t="s">
        <v>205</v>
      </c>
      <c r="GD2" s="22" t="s">
        <v>205</v>
      </c>
      <c r="GE2" s="22" t="s">
        <v>205</v>
      </c>
      <c r="GF2" s="22" t="s">
        <v>205</v>
      </c>
      <c r="GG2" s="22" t="s">
        <v>206</v>
      </c>
      <c r="GH2" s="22" t="s">
        <v>206</v>
      </c>
      <c r="GI2" s="22" t="s">
        <v>206</v>
      </c>
      <c r="GJ2" s="22" t="s">
        <v>206</v>
      </c>
      <c r="GK2" s="22" t="s">
        <v>207</v>
      </c>
      <c r="GL2" s="22" t="s">
        <v>207</v>
      </c>
      <c r="GM2" s="22" t="s">
        <v>207</v>
      </c>
      <c r="GN2" s="22" t="s">
        <v>207</v>
      </c>
      <c r="GO2" s="22" t="s">
        <v>208</v>
      </c>
      <c r="GP2" s="22" t="s">
        <v>208</v>
      </c>
      <c r="GQ2" s="22" t="s">
        <v>208</v>
      </c>
      <c r="GR2" s="22" t="s">
        <v>208</v>
      </c>
      <c r="GU2" s="22" t="s">
        <v>171</v>
      </c>
      <c r="GV2" s="22" t="s">
        <v>171</v>
      </c>
      <c r="GW2" s="22" t="s">
        <v>172</v>
      </c>
      <c r="GX2" s="22" t="s">
        <v>172</v>
      </c>
      <c r="GY2" s="22" t="s">
        <v>173</v>
      </c>
      <c r="GZ2" s="22" t="s">
        <v>173</v>
      </c>
      <c r="HA2" s="22" t="s">
        <v>174</v>
      </c>
      <c r="HB2" s="22" t="s">
        <v>174</v>
      </c>
      <c r="HC2" s="22" t="s">
        <v>175</v>
      </c>
      <c r="HD2" s="22" t="s">
        <v>175</v>
      </c>
      <c r="HE2" s="22" t="s">
        <v>171</v>
      </c>
      <c r="HF2" s="22" t="s">
        <v>172</v>
      </c>
      <c r="HG2" s="22" t="s">
        <v>173</v>
      </c>
      <c r="HH2" s="22" t="s">
        <v>174</v>
      </c>
      <c r="HI2" s="22" t="s">
        <v>175</v>
      </c>
      <c r="HJ2" s="22" t="s">
        <v>176</v>
      </c>
      <c r="HK2" s="22" t="s">
        <v>177</v>
      </c>
      <c r="HL2" s="22" t="s">
        <v>178</v>
      </c>
      <c r="HM2" s="22" t="s">
        <v>179</v>
      </c>
      <c r="HN2" s="22" t="s">
        <v>180</v>
      </c>
      <c r="HO2" s="22" t="s">
        <v>181</v>
      </c>
      <c r="HP2" s="22" t="s">
        <v>182</v>
      </c>
      <c r="HQ2" s="22" t="s">
        <v>183</v>
      </c>
      <c r="HR2" s="22" t="s">
        <v>184</v>
      </c>
      <c r="HS2" s="22" t="s">
        <v>185</v>
      </c>
      <c r="HT2" s="22" t="s">
        <v>186</v>
      </c>
      <c r="HU2" s="22" t="s">
        <v>187</v>
      </c>
      <c r="HV2" s="22" t="s">
        <v>188</v>
      </c>
      <c r="HW2" s="22" t="s">
        <v>189</v>
      </c>
      <c r="HX2" s="22" t="s">
        <v>190</v>
      </c>
      <c r="HY2" s="22" t="s">
        <v>191</v>
      </c>
      <c r="HZ2" s="22" t="s">
        <v>192</v>
      </c>
      <c r="IA2" s="22" t="s">
        <v>193</v>
      </c>
      <c r="IB2" s="22" t="s">
        <v>194</v>
      </c>
      <c r="IC2" s="22" t="s">
        <v>195</v>
      </c>
      <c r="ID2" s="22" t="s">
        <v>196</v>
      </c>
      <c r="IE2" s="22" t="s">
        <v>197</v>
      </c>
      <c r="IF2" s="22" t="s">
        <v>164</v>
      </c>
      <c r="IG2" s="22" t="s">
        <v>198</v>
      </c>
      <c r="IH2" s="22" t="s">
        <v>199</v>
      </c>
      <c r="II2" s="22" t="s">
        <v>171</v>
      </c>
      <c r="IJ2" s="22" t="s">
        <v>172</v>
      </c>
      <c r="IK2" s="22" t="s">
        <v>171</v>
      </c>
      <c r="IL2" s="22" t="s">
        <v>171</v>
      </c>
      <c r="IM2" s="22" t="s">
        <v>171</v>
      </c>
      <c r="IN2" s="22" t="s">
        <v>171</v>
      </c>
      <c r="IO2" s="22" t="s">
        <v>172</v>
      </c>
      <c r="IP2" s="22" t="s">
        <v>172</v>
      </c>
      <c r="IQ2" s="22" t="s">
        <v>172</v>
      </c>
      <c r="IR2" s="22" t="s">
        <v>172</v>
      </c>
      <c r="IS2" s="22" t="s">
        <v>173</v>
      </c>
      <c r="IT2" s="22" t="s">
        <v>173</v>
      </c>
      <c r="IU2" s="22" t="s">
        <v>173</v>
      </c>
      <c r="IV2" s="22" t="s">
        <v>173</v>
      </c>
      <c r="IW2" s="22" t="s">
        <v>174</v>
      </c>
      <c r="IX2" s="22" t="s">
        <v>174</v>
      </c>
      <c r="IY2" s="22" t="s">
        <v>174</v>
      </c>
      <c r="IZ2" s="22" t="s">
        <v>174</v>
      </c>
      <c r="JA2" s="22" t="s">
        <v>175</v>
      </c>
      <c r="JB2" s="22" t="s">
        <v>175</v>
      </c>
      <c r="JC2" s="22" t="s">
        <v>175</v>
      </c>
      <c r="JD2" s="22" t="s">
        <v>175</v>
      </c>
      <c r="JE2" s="22" t="s">
        <v>176</v>
      </c>
      <c r="JF2" s="22" t="s">
        <v>176</v>
      </c>
      <c r="JG2" s="22" t="s">
        <v>176</v>
      </c>
      <c r="JH2" s="22" t="s">
        <v>176</v>
      </c>
      <c r="JI2" s="22" t="s">
        <v>177</v>
      </c>
      <c r="JJ2" s="22" t="s">
        <v>177</v>
      </c>
      <c r="JK2" s="22" t="s">
        <v>177</v>
      </c>
      <c r="JL2" s="22" t="s">
        <v>177</v>
      </c>
      <c r="JM2" s="22" t="s">
        <v>178</v>
      </c>
      <c r="JN2" s="22" t="s">
        <v>178</v>
      </c>
      <c r="JO2" s="22" t="s">
        <v>178</v>
      </c>
      <c r="JP2" s="22" t="s">
        <v>178</v>
      </c>
      <c r="JQ2" s="22" t="s">
        <v>179</v>
      </c>
      <c r="JR2" s="22" t="s">
        <v>179</v>
      </c>
      <c r="JS2" s="22" t="s">
        <v>179</v>
      </c>
      <c r="JT2" s="22" t="s">
        <v>179</v>
      </c>
      <c r="JU2" s="22" t="s">
        <v>180</v>
      </c>
      <c r="JV2" s="22" t="s">
        <v>180</v>
      </c>
      <c r="JW2" s="22" t="s">
        <v>180</v>
      </c>
      <c r="JX2" s="22" t="s">
        <v>180</v>
      </c>
    </row>
    <row r="3" spans="1:315">
      <c r="B3" s="23" t="s">
        <v>209</v>
      </c>
      <c r="F3" s="23" t="s">
        <v>210</v>
      </c>
      <c r="H3" s="24" t="s">
        <v>1</v>
      </c>
      <c r="P3" s="25" t="s">
        <v>211</v>
      </c>
      <c r="T3" s="26" t="s">
        <v>212</v>
      </c>
      <c r="AC3" s="27" t="s">
        <v>213</v>
      </c>
      <c r="AO3" s="28" t="s">
        <v>214</v>
      </c>
      <c r="GS3" s="29" t="s">
        <v>215</v>
      </c>
      <c r="HE3" s="30" t="s">
        <v>43</v>
      </c>
      <c r="JY3" s="31" t="s">
        <v>216</v>
      </c>
    </row>
    <row r="4" spans="1:315" ht="32" customHeight="1">
      <c r="B4" s="32" t="s">
        <v>62</v>
      </c>
      <c r="C4" s="32" t="s">
        <v>62</v>
      </c>
      <c r="D4" s="32" t="s">
        <v>63</v>
      </c>
      <c r="E4" s="32" t="s">
        <v>62</v>
      </c>
      <c r="F4" s="32" t="s">
        <v>62</v>
      </c>
      <c r="G4" s="32" t="s">
        <v>65</v>
      </c>
      <c r="H4" s="32" t="s">
        <v>63</v>
      </c>
      <c r="I4" s="32" t="s">
        <v>65</v>
      </c>
      <c r="J4" s="32" t="s">
        <v>65</v>
      </c>
      <c r="K4" s="32" t="s">
        <v>65</v>
      </c>
      <c r="L4" s="32" t="s">
        <v>65</v>
      </c>
      <c r="M4" s="32" t="s">
        <v>65</v>
      </c>
      <c r="N4" s="32" t="s">
        <v>65</v>
      </c>
      <c r="O4" s="32" t="s">
        <v>65</v>
      </c>
      <c r="P4" s="32" t="s">
        <v>62</v>
      </c>
      <c r="Q4" s="32" t="s">
        <v>64</v>
      </c>
      <c r="R4" s="32" t="s">
        <v>64</v>
      </c>
      <c r="S4" s="32" t="s">
        <v>64</v>
      </c>
      <c r="T4" s="32" t="s">
        <v>65</v>
      </c>
      <c r="U4" s="32" t="s">
        <v>65</v>
      </c>
      <c r="V4" s="32" t="s">
        <v>65</v>
      </c>
      <c r="W4" s="32" t="s">
        <v>65</v>
      </c>
      <c r="X4" s="32" t="s">
        <v>65</v>
      </c>
      <c r="Y4" s="32" t="s">
        <v>65</v>
      </c>
      <c r="Z4" s="32" t="s">
        <v>65</v>
      </c>
      <c r="AA4" s="32" t="s">
        <v>65</v>
      </c>
      <c r="AB4" s="32" t="s">
        <v>65</v>
      </c>
      <c r="AC4" s="32" t="s">
        <v>64</v>
      </c>
      <c r="AD4" s="32" t="s">
        <v>62</v>
      </c>
      <c r="AE4" s="32" t="s">
        <v>62</v>
      </c>
      <c r="AF4" s="32" t="s">
        <v>62</v>
      </c>
      <c r="AG4" s="32" t="s">
        <v>62</v>
      </c>
      <c r="AH4" s="32" t="s">
        <v>62</v>
      </c>
      <c r="AI4" s="32" t="s">
        <v>65</v>
      </c>
      <c r="AJ4" s="32" t="s">
        <v>62</v>
      </c>
      <c r="AK4" s="32" t="s">
        <v>62</v>
      </c>
      <c r="AL4" s="32" t="s">
        <v>65</v>
      </c>
      <c r="AM4" s="32" t="s">
        <v>65</v>
      </c>
      <c r="AN4" s="32" t="s">
        <v>65</v>
      </c>
      <c r="AO4" s="32" t="s">
        <v>62</v>
      </c>
      <c r="AP4" s="32" t="s">
        <v>62</v>
      </c>
      <c r="AQ4" s="32" t="s">
        <v>62</v>
      </c>
      <c r="AR4" s="32" t="s">
        <v>62</v>
      </c>
      <c r="AS4" s="32" t="s">
        <v>65</v>
      </c>
      <c r="AT4" s="32" t="s">
        <v>65</v>
      </c>
      <c r="AU4" s="32" t="s">
        <v>65</v>
      </c>
      <c r="AV4" s="32" t="s">
        <v>65</v>
      </c>
      <c r="AW4" s="32" t="s">
        <v>65</v>
      </c>
      <c r="AX4" s="32" t="s">
        <v>65</v>
      </c>
      <c r="AY4" s="32" t="s">
        <v>65</v>
      </c>
      <c r="AZ4" s="32" t="s">
        <v>65</v>
      </c>
      <c r="BA4" s="32" t="s">
        <v>65</v>
      </c>
      <c r="BB4" s="32" t="s">
        <v>65</v>
      </c>
      <c r="BC4" s="32" t="s">
        <v>65</v>
      </c>
      <c r="BD4" s="32" t="s">
        <v>65</v>
      </c>
      <c r="BE4" s="32" t="s">
        <v>65</v>
      </c>
      <c r="BF4" s="32" t="s">
        <v>65</v>
      </c>
      <c r="BG4" s="32" t="s">
        <v>65</v>
      </c>
      <c r="BH4" s="32" t="s">
        <v>65</v>
      </c>
      <c r="BI4" s="32" t="s">
        <v>65</v>
      </c>
      <c r="BJ4" s="32" t="s">
        <v>65</v>
      </c>
      <c r="BK4" s="32" t="s">
        <v>65</v>
      </c>
      <c r="BL4" s="32" t="s">
        <v>65</v>
      </c>
      <c r="BM4" s="32" t="s">
        <v>65</v>
      </c>
      <c r="BN4" s="32" t="s">
        <v>65</v>
      </c>
      <c r="BO4" s="32" t="s">
        <v>65</v>
      </c>
      <c r="BP4" s="32" t="s">
        <v>65</v>
      </c>
      <c r="BQ4" s="32" t="s">
        <v>65</v>
      </c>
      <c r="BR4" s="32" t="s">
        <v>65</v>
      </c>
      <c r="BS4" s="32" t="s">
        <v>65</v>
      </c>
      <c r="BT4" s="32" t="s">
        <v>65</v>
      </c>
      <c r="BU4" s="32" t="s">
        <v>65</v>
      </c>
      <c r="BV4" s="32" t="s">
        <v>65</v>
      </c>
      <c r="BW4" s="32" t="s">
        <v>65</v>
      </c>
      <c r="BX4" s="32" t="s">
        <v>65</v>
      </c>
      <c r="BY4" s="32" t="s">
        <v>65</v>
      </c>
      <c r="BZ4" s="32" t="s">
        <v>65</v>
      </c>
      <c r="CA4" s="32" t="s">
        <v>65</v>
      </c>
      <c r="CB4" s="32" t="s">
        <v>65</v>
      </c>
      <c r="CC4" s="32" t="s">
        <v>65</v>
      </c>
      <c r="CD4" s="32" t="s">
        <v>65</v>
      </c>
      <c r="CE4" s="32" t="s">
        <v>65</v>
      </c>
      <c r="CF4" s="32" t="s">
        <v>65</v>
      </c>
      <c r="CG4" s="32" t="s">
        <v>65</v>
      </c>
      <c r="CH4" s="32" t="s">
        <v>65</v>
      </c>
      <c r="CI4" s="32" t="s">
        <v>65</v>
      </c>
      <c r="CJ4" s="32" t="s">
        <v>65</v>
      </c>
      <c r="CK4" s="32" t="s">
        <v>65</v>
      </c>
      <c r="CL4" s="32" t="s">
        <v>65</v>
      </c>
      <c r="CM4" s="32" t="s">
        <v>65</v>
      </c>
      <c r="CN4" s="32" t="s">
        <v>65</v>
      </c>
      <c r="CO4" s="32" t="s">
        <v>65</v>
      </c>
      <c r="CP4" s="32" t="s">
        <v>65</v>
      </c>
      <c r="CQ4" s="32" t="s">
        <v>65</v>
      </c>
      <c r="CR4" s="32" t="s">
        <v>65</v>
      </c>
      <c r="CS4" s="32" t="s">
        <v>65</v>
      </c>
      <c r="CT4" s="32" t="s">
        <v>65</v>
      </c>
      <c r="CU4" s="32" t="s">
        <v>65</v>
      </c>
      <c r="CV4" s="32" t="s">
        <v>65</v>
      </c>
      <c r="CW4" s="32" t="s">
        <v>65</v>
      </c>
      <c r="CX4" s="32" t="s">
        <v>65</v>
      </c>
      <c r="CY4" s="32" t="s">
        <v>65</v>
      </c>
      <c r="CZ4" s="32" t="s">
        <v>65</v>
      </c>
      <c r="DA4" s="32" t="s">
        <v>65</v>
      </c>
      <c r="DB4" s="32" t="s">
        <v>65</v>
      </c>
      <c r="DC4" s="32" t="s">
        <v>65</v>
      </c>
      <c r="DD4" s="32" t="s">
        <v>65</v>
      </c>
      <c r="DE4" s="32" t="s">
        <v>65</v>
      </c>
      <c r="DF4" s="32" t="s">
        <v>65</v>
      </c>
      <c r="DG4" s="32" t="s">
        <v>65</v>
      </c>
      <c r="DH4" s="32" t="s">
        <v>65</v>
      </c>
      <c r="DI4" s="32" t="s">
        <v>65</v>
      </c>
      <c r="DJ4" s="32" t="s">
        <v>65</v>
      </c>
      <c r="DK4" s="32" t="s">
        <v>65</v>
      </c>
      <c r="DL4" s="32" t="s">
        <v>65</v>
      </c>
      <c r="DM4" s="32" t="s">
        <v>65</v>
      </c>
      <c r="DN4" s="32" t="s">
        <v>65</v>
      </c>
      <c r="DO4" s="32" t="s">
        <v>65</v>
      </c>
      <c r="DP4" s="32" t="s">
        <v>65</v>
      </c>
      <c r="DQ4" s="32" t="s">
        <v>65</v>
      </c>
      <c r="DR4" s="32" t="s">
        <v>65</v>
      </c>
      <c r="DS4" s="32" t="s">
        <v>65</v>
      </c>
      <c r="DT4" s="32" t="s">
        <v>65</v>
      </c>
      <c r="DU4" s="32" t="s">
        <v>65</v>
      </c>
      <c r="DV4" s="32" t="s">
        <v>65</v>
      </c>
      <c r="DW4" s="32" t="s">
        <v>65</v>
      </c>
      <c r="DX4" s="32" t="s">
        <v>65</v>
      </c>
      <c r="DY4" s="32" t="s">
        <v>65</v>
      </c>
      <c r="DZ4" s="32" t="s">
        <v>65</v>
      </c>
      <c r="EA4" s="32" t="s">
        <v>65</v>
      </c>
      <c r="EB4" s="32" t="s">
        <v>65</v>
      </c>
      <c r="EC4" s="32" t="s">
        <v>65</v>
      </c>
      <c r="ED4" s="32" t="s">
        <v>65</v>
      </c>
      <c r="EE4" s="32" t="s">
        <v>65</v>
      </c>
      <c r="EF4" s="32" t="s">
        <v>65</v>
      </c>
      <c r="EG4" s="32" t="s">
        <v>65</v>
      </c>
      <c r="EH4" s="32" t="s">
        <v>65</v>
      </c>
      <c r="EI4" s="32" t="s">
        <v>65</v>
      </c>
      <c r="EJ4" s="32" t="s">
        <v>65</v>
      </c>
      <c r="EK4" s="32" t="s">
        <v>65</v>
      </c>
      <c r="EL4" s="32" t="s">
        <v>65</v>
      </c>
      <c r="EM4" s="32" t="s">
        <v>65</v>
      </c>
      <c r="EN4" s="32" t="s">
        <v>65</v>
      </c>
      <c r="EO4" s="32" t="s">
        <v>65</v>
      </c>
      <c r="EP4" s="32" t="s">
        <v>65</v>
      </c>
      <c r="EQ4" s="32" t="s">
        <v>65</v>
      </c>
      <c r="ER4" s="32" t="s">
        <v>65</v>
      </c>
      <c r="ES4" s="32" t="s">
        <v>65</v>
      </c>
      <c r="ET4" s="32" t="s">
        <v>65</v>
      </c>
      <c r="EU4" s="32" t="s">
        <v>65</v>
      </c>
      <c r="EV4" s="32" t="s">
        <v>65</v>
      </c>
      <c r="EW4" s="32" t="s">
        <v>65</v>
      </c>
      <c r="EX4" s="32" t="s">
        <v>65</v>
      </c>
      <c r="EY4" s="32" t="s">
        <v>65</v>
      </c>
      <c r="EZ4" s="32" t="s">
        <v>65</v>
      </c>
      <c r="FA4" s="32" t="s">
        <v>65</v>
      </c>
      <c r="FB4" s="32" t="s">
        <v>65</v>
      </c>
      <c r="FC4" s="32" t="s">
        <v>65</v>
      </c>
      <c r="FD4" s="32" t="s">
        <v>65</v>
      </c>
      <c r="FE4" s="32" t="s">
        <v>65</v>
      </c>
      <c r="FF4" s="32" t="s">
        <v>65</v>
      </c>
      <c r="FG4" s="32" t="s">
        <v>65</v>
      </c>
      <c r="FH4" s="32" t="s">
        <v>65</v>
      </c>
      <c r="FI4" s="32" t="s">
        <v>65</v>
      </c>
      <c r="FJ4" s="32" t="s">
        <v>65</v>
      </c>
      <c r="FK4" s="32" t="s">
        <v>65</v>
      </c>
      <c r="FL4" s="32" t="s">
        <v>65</v>
      </c>
      <c r="FM4" s="32" t="s">
        <v>65</v>
      </c>
      <c r="FN4" s="32" t="s">
        <v>65</v>
      </c>
      <c r="FO4" s="32" t="s">
        <v>65</v>
      </c>
      <c r="FP4" s="32" t="s">
        <v>65</v>
      </c>
      <c r="FQ4" s="32" t="s">
        <v>65</v>
      </c>
      <c r="FR4" s="32" t="s">
        <v>65</v>
      </c>
      <c r="FS4" s="32" t="s">
        <v>65</v>
      </c>
      <c r="FT4" s="32" t="s">
        <v>65</v>
      </c>
      <c r="FU4" s="32" t="s">
        <v>65</v>
      </c>
      <c r="FV4" s="32" t="s">
        <v>65</v>
      </c>
      <c r="FW4" s="32" t="s">
        <v>65</v>
      </c>
      <c r="FX4" s="32" t="s">
        <v>65</v>
      </c>
      <c r="FY4" s="32" t="s">
        <v>65</v>
      </c>
      <c r="FZ4" s="32" t="s">
        <v>65</v>
      </c>
      <c r="GA4" s="32" t="s">
        <v>65</v>
      </c>
      <c r="GB4" s="32" t="s">
        <v>65</v>
      </c>
      <c r="GC4" s="32" t="s">
        <v>65</v>
      </c>
      <c r="GD4" s="32" t="s">
        <v>65</v>
      </c>
      <c r="GE4" s="32" t="s">
        <v>65</v>
      </c>
      <c r="GF4" s="32" t="s">
        <v>65</v>
      </c>
      <c r="GG4" s="32" t="s">
        <v>65</v>
      </c>
      <c r="GH4" s="32" t="s">
        <v>65</v>
      </c>
      <c r="GI4" s="32" t="s">
        <v>65</v>
      </c>
      <c r="GJ4" s="32" t="s">
        <v>65</v>
      </c>
      <c r="GK4" s="32" t="s">
        <v>65</v>
      </c>
      <c r="GL4" s="32" t="s">
        <v>65</v>
      </c>
      <c r="GM4" s="32" t="s">
        <v>65</v>
      </c>
      <c r="GN4" s="32" t="s">
        <v>65</v>
      </c>
      <c r="GO4" s="32" t="s">
        <v>65</v>
      </c>
      <c r="GP4" s="32" t="s">
        <v>65</v>
      </c>
      <c r="GQ4" s="32" t="s">
        <v>65</v>
      </c>
      <c r="GR4" s="32" t="s">
        <v>65</v>
      </c>
      <c r="GS4" s="32" t="s">
        <v>62</v>
      </c>
      <c r="GT4" s="32" t="s">
        <v>62</v>
      </c>
      <c r="GU4" s="32" t="s">
        <v>65</v>
      </c>
      <c r="GV4" s="32" t="s">
        <v>65</v>
      </c>
      <c r="GW4" s="32" t="s">
        <v>65</v>
      </c>
      <c r="GX4" s="32" t="s">
        <v>65</v>
      </c>
      <c r="GY4" s="32" t="s">
        <v>65</v>
      </c>
      <c r="GZ4" s="32" t="s">
        <v>65</v>
      </c>
      <c r="HA4" s="32" t="s">
        <v>65</v>
      </c>
      <c r="HB4" s="32" t="s">
        <v>65</v>
      </c>
      <c r="HC4" s="32" t="s">
        <v>65</v>
      </c>
      <c r="HD4" s="32" t="s">
        <v>65</v>
      </c>
      <c r="HE4" s="32" t="s">
        <v>62</v>
      </c>
      <c r="HF4" s="32" t="s">
        <v>64</v>
      </c>
      <c r="HG4" s="32" t="s">
        <v>64</v>
      </c>
      <c r="HH4" s="32" t="s">
        <v>64</v>
      </c>
      <c r="HI4" s="32" t="s">
        <v>64</v>
      </c>
      <c r="HJ4" s="32" t="s">
        <v>64</v>
      </c>
      <c r="HK4" s="32" t="s">
        <v>64</v>
      </c>
      <c r="HL4" s="32" t="s">
        <v>64</v>
      </c>
      <c r="HM4" s="32" t="s">
        <v>64</v>
      </c>
      <c r="HN4" s="32" t="s">
        <v>64</v>
      </c>
      <c r="HO4" s="32" t="s">
        <v>64</v>
      </c>
      <c r="HP4" s="32" t="s">
        <v>64</v>
      </c>
      <c r="HQ4" s="32" t="s">
        <v>64</v>
      </c>
      <c r="HR4" s="32" t="s">
        <v>64</v>
      </c>
      <c r="HS4" s="32" t="s">
        <v>64</v>
      </c>
      <c r="HT4" s="32" t="s">
        <v>64</v>
      </c>
      <c r="HU4" s="32" t="s">
        <v>64</v>
      </c>
      <c r="HV4" s="32" t="s">
        <v>64</v>
      </c>
      <c r="HW4" s="32" t="s">
        <v>64</v>
      </c>
      <c r="HX4" s="32" t="s">
        <v>64</v>
      </c>
      <c r="HY4" s="32" t="s">
        <v>64</v>
      </c>
      <c r="HZ4" s="32" t="s">
        <v>64</v>
      </c>
      <c r="IA4" s="32" t="s">
        <v>64</v>
      </c>
      <c r="IB4" s="32" t="s">
        <v>64</v>
      </c>
      <c r="IC4" s="32" t="s">
        <v>64</v>
      </c>
      <c r="ID4" s="32" t="s">
        <v>64</v>
      </c>
      <c r="IE4" s="32" t="s">
        <v>64</v>
      </c>
      <c r="IF4" s="32" t="s">
        <v>64</v>
      </c>
      <c r="IG4" s="32" t="s">
        <v>64</v>
      </c>
      <c r="IH4" s="32" t="s">
        <v>64</v>
      </c>
      <c r="II4" s="32" t="s">
        <v>64</v>
      </c>
      <c r="IJ4" s="32" t="s">
        <v>64</v>
      </c>
      <c r="IK4" s="32" t="s">
        <v>65</v>
      </c>
      <c r="IL4" s="32" t="s">
        <v>64</v>
      </c>
      <c r="IM4" s="32" t="s">
        <v>64</v>
      </c>
      <c r="IN4" s="32" t="s">
        <v>64</v>
      </c>
      <c r="IO4" s="32" t="s">
        <v>65</v>
      </c>
      <c r="IP4" s="32" t="s">
        <v>64</v>
      </c>
      <c r="IQ4" s="32" t="s">
        <v>64</v>
      </c>
      <c r="IR4" s="32" t="s">
        <v>64</v>
      </c>
      <c r="IS4" s="32" t="s">
        <v>65</v>
      </c>
      <c r="IT4" s="32" t="s">
        <v>64</v>
      </c>
      <c r="IU4" s="32" t="s">
        <v>64</v>
      </c>
      <c r="IV4" s="32" t="s">
        <v>64</v>
      </c>
      <c r="IW4" s="32" t="s">
        <v>65</v>
      </c>
      <c r="IX4" s="32" t="s">
        <v>64</v>
      </c>
      <c r="IY4" s="32" t="s">
        <v>64</v>
      </c>
      <c r="IZ4" s="32" t="s">
        <v>64</v>
      </c>
      <c r="JA4" s="32" t="s">
        <v>65</v>
      </c>
      <c r="JB4" s="32" t="s">
        <v>64</v>
      </c>
      <c r="JC4" s="32" t="s">
        <v>64</v>
      </c>
      <c r="JD4" s="32" t="s">
        <v>64</v>
      </c>
      <c r="JE4" s="32" t="s">
        <v>65</v>
      </c>
      <c r="JF4" s="32" t="s">
        <v>64</v>
      </c>
      <c r="JG4" s="32" t="s">
        <v>64</v>
      </c>
      <c r="JH4" s="32" t="s">
        <v>64</v>
      </c>
      <c r="JI4" s="32" t="s">
        <v>65</v>
      </c>
      <c r="JJ4" s="32" t="s">
        <v>64</v>
      </c>
      <c r="JK4" s="32" t="s">
        <v>64</v>
      </c>
      <c r="JL4" s="32" t="s">
        <v>64</v>
      </c>
      <c r="JM4" s="32" t="s">
        <v>65</v>
      </c>
      <c r="JN4" s="32" t="s">
        <v>64</v>
      </c>
      <c r="JO4" s="32" t="s">
        <v>64</v>
      </c>
      <c r="JP4" s="32" t="s">
        <v>64</v>
      </c>
      <c r="JQ4" s="32" t="s">
        <v>65</v>
      </c>
      <c r="JR4" s="32" t="s">
        <v>64</v>
      </c>
      <c r="JS4" s="32" t="s">
        <v>64</v>
      </c>
      <c r="JT4" s="32" t="s">
        <v>64</v>
      </c>
      <c r="JU4" s="32" t="s">
        <v>65</v>
      </c>
      <c r="JV4" s="32" t="s">
        <v>64</v>
      </c>
      <c r="JW4" s="32" t="s">
        <v>64</v>
      </c>
      <c r="JX4" s="32" t="s">
        <v>64</v>
      </c>
      <c r="JY4" s="32" t="s">
        <v>62</v>
      </c>
      <c r="JZ4" s="32" t="s">
        <v>63</v>
      </c>
      <c r="KA4" s="32" t="s">
        <v>63</v>
      </c>
      <c r="KB4" s="32" t="s">
        <v>62</v>
      </c>
      <c r="KC4" s="32" t="s">
        <v>62</v>
      </c>
      <c r="KD4" s="32" t="s">
        <v>62</v>
      </c>
      <c r="KE4" s="32" t="s">
        <v>63</v>
      </c>
      <c r="KF4" s="32" t="s">
        <v>63</v>
      </c>
      <c r="KG4" s="32" t="s">
        <v>63</v>
      </c>
      <c r="KH4" s="32" t="s">
        <v>63</v>
      </c>
      <c r="KI4" s="32" t="s">
        <v>65</v>
      </c>
      <c r="KJ4" s="32" t="s">
        <v>63</v>
      </c>
      <c r="KK4" s="32" t="s">
        <v>63</v>
      </c>
      <c r="KL4" s="32" t="s">
        <v>63</v>
      </c>
      <c r="KM4" s="32" t="s">
        <v>63</v>
      </c>
      <c r="KN4" s="32" t="s">
        <v>63</v>
      </c>
      <c r="KO4" s="32" t="s">
        <v>63</v>
      </c>
      <c r="KP4" s="32" t="s">
        <v>62</v>
      </c>
      <c r="KQ4" s="32" t="s">
        <v>63</v>
      </c>
      <c r="KR4" s="32" t="s">
        <v>64</v>
      </c>
      <c r="KS4" s="32" t="s">
        <v>62</v>
      </c>
      <c r="KT4" s="32" t="s">
        <v>62</v>
      </c>
      <c r="KU4" s="32" t="s">
        <v>62</v>
      </c>
      <c r="KV4" s="32" t="s">
        <v>62</v>
      </c>
      <c r="KW4" s="32" t="s">
        <v>62</v>
      </c>
      <c r="KX4" s="32" t="s">
        <v>62</v>
      </c>
      <c r="KY4" s="32" t="s">
        <v>65</v>
      </c>
      <c r="KZ4" s="32" t="s">
        <v>63</v>
      </c>
      <c r="LA4" s="32" t="s">
        <v>62</v>
      </c>
      <c r="LB4" s="32" t="s">
        <v>62</v>
      </c>
      <c r="LC4" s="32" t="s">
        <v>63</v>
      </c>
    </row>
    <row r="5" spans="1:315" ht="50" customHeight="1">
      <c r="A5" s="19" t="s">
        <v>217</v>
      </c>
      <c r="B5" s="19" t="s">
        <v>96</v>
      </c>
      <c r="C5" s="19" t="s">
        <v>218</v>
      </c>
      <c r="D5" s="19" t="s">
        <v>219</v>
      </c>
      <c r="E5" s="19" t="s">
        <v>220</v>
      </c>
      <c r="F5" s="19" t="s">
        <v>221</v>
      </c>
      <c r="G5" s="19" t="s">
        <v>222</v>
      </c>
      <c r="H5" s="19" t="s">
        <v>223</v>
      </c>
      <c r="I5" s="19" t="s">
        <v>224</v>
      </c>
      <c r="J5" s="19" t="s">
        <v>225</v>
      </c>
      <c r="K5" s="19" t="s">
        <v>226</v>
      </c>
      <c r="L5" s="19" t="s">
        <v>227</v>
      </c>
      <c r="M5" s="19" t="s">
        <v>228</v>
      </c>
      <c r="N5" s="19" t="s">
        <v>229</v>
      </c>
      <c r="O5" s="19" t="s">
        <v>230</v>
      </c>
      <c r="P5" s="19" t="s">
        <v>231</v>
      </c>
      <c r="Q5" s="19" t="s">
        <v>232</v>
      </c>
      <c r="R5" s="19" t="s">
        <v>233</v>
      </c>
      <c r="S5" s="19" t="s">
        <v>234</v>
      </c>
      <c r="T5" s="19" t="s">
        <v>235</v>
      </c>
      <c r="U5" s="19" t="s">
        <v>236</v>
      </c>
      <c r="V5" s="19" t="s">
        <v>237</v>
      </c>
      <c r="W5" s="19" t="s">
        <v>238</v>
      </c>
      <c r="X5" s="19" t="s">
        <v>239</v>
      </c>
      <c r="Y5" s="19" t="s">
        <v>240</v>
      </c>
      <c r="Z5" s="19" t="s">
        <v>241</v>
      </c>
      <c r="AA5" s="19" t="s">
        <v>242</v>
      </c>
      <c r="AB5" s="19" t="s">
        <v>243</v>
      </c>
      <c r="AC5" s="19" t="s">
        <v>244</v>
      </c>
      <c r="AD5" s="19" t="s">
        <v>245</v>
      </c>
      <c r="AE5" s="19" t="s">
        <v>246</v>
      </c>
      <c r="AF5" s="19" t="s">
        <v>247</v>
      </c>
      <c r="AG5" s="19" t="s">
        <v>248</v>
      </c>
      <c r="AH5" s="19" t="s">
        <v>249</v>
      </c>
      <c r="AI5" s="19" t="s">
        <v>250</v>
      </c>
      <c r="AJ5" s="19" t="s">
        <v>251</v>
      </c>
      <c r="AK5" s="19" t="s">
        <v>252</v>
      </c>
      <c r="AL5" s="19" t="s">
        <v>253</v>
      </c>
      <c r="AM5" s="19" t="s">
        <v>254</v>
      </c>
      <c r="AN5" s="19" t="s">
        <v>255</v>
      </c>
      <c r="AO5" s="19" t="s">
        <v>256</v>
      </c>
      <c r="AP5" s="19" t="s">
        <v>257</v>
      </c>
      <c r="AQ5" s="19" t="s">
        <v>258</v>
      </c>
      <c r="AR5" s="19" t="s">
        <v>259</v>
      </c>
      <c r="AS5" s="19" t="s">
        <v>260</v>
      </c>
      <c r="AT5" s="19" t="s">
        <v>261</v>
      </c>
      <c r="AU5" s="19" t="s">
        <v>262</v>
      </c>
      <c r="AV5" s="19" t="s">
        <v>263</v>
      </c>
      <c r="AW5" s="19" t="s">
        <v>264</v>
      </c>
      <c r="AX5" s="19" t="s">
        <v>265</v>
      </c>
      <c r="AY5" s="19" t="s">
        <v>266</v>
      </c>
      <c r="AZ5" s="19" t="s">
        <v>267</v>
      </c>
      <c r="BA5" s="19" t="s">
        <v>268</v>
      </c>
      <c r="BB5" s="19" t="s">
        <v>269</v>
      </c>
      <c r="BC5" s="19" t="s">
        <v>270</v>
      </c>
      <c r="BD5" s="19" t="s">
        <v>271</v>
      </c>
      <c r="BE5" s="19" t="s">
        <v>272</v>
      </c>
      <c r="BF5" s="19" t="s">
        <v>273</v>
      </c>
      <c r="BG5" s="19" t="s">
        <v>274</v>
      </c>
      <c r="BH5" s="19" t="s">
        <v>275</v>
      </c>
      <c r="BI5" s="19" t="s">
        <v>276</v>
      </c>
      <c r="BJ5" s="19" t="s">
        <v>277</v>
      </c>
      <c r="BK5" s="19" t="s">
        <v>278</v>
      </c>
      <c r="BL5" s="19" t="s">
        <v>279</v>
      </c>
      <c r="BM5" s="19" t="s">
        <v>280</v>
      </c>
      <c r="BN5" s="19" t="s">
        <v>281</v>
      </c>
      <c r="BO5" s="19" t="s">
        <v>282</v>
      </c>
      <c r="BP5" s="19" t="s">
        <v>283</v>
      </c>
      <c r="BQ5" s="19" t="s">
        <v>284</v>
      </c>
      <c r="BR5" s="19" t="s">
        <v>285</v>
      </c>
      <c r="BS5" s="19" t="s">
        <v>286</v>
      </c>
      <c r="BT5" s="19" t="s">
        <v>287</v>
      </c>
      <c r="BU5" s="19" t="s">
        <v>288</v>
      </c>
      <c r="BV5" s="19" t="s">
        <v>289</v>
      </c>
      <c r="BW5" s="19" t="s">
        <v>290</v>
      </c>
      <c r="BX5" s="19" t="s">
        <v>291</v>
      </c>
      <c r="BY5" s="19" t="s">
        <v>292</v>
      </c>
      <c r="BZ5" s="19" t="s">
        <v>293</v>
      </c>
      <c r="CA5" s="19" t="s">
        <v>294</v>
      </c>
      <c r="CB5" s="19" t="s">
        <v>295</v>
      </c>
      <c r="CC5" s="19" t="s">
        <v>296</v>
      </c>
      <c r="CD5" s="19" t="s">
        <v>297</v>
      </c>
      <c r="CE5" s="19" t="s">
        <v>298</v>
      </c>
      <c r="CF5" s="19" t="s">
        <v>299</v>
      </c>
      <c r="CG5" s="19" t="s">
        <v>300</v>
      </c>
      <c r="CH5" s="19" t="s">
        <v>301</v>
      </c>
      <c r="CI5" s="19" t="s">
        <v>302</v>
      </c>
      <c r="CJ5" s="19" t="s">
        <v>303</v>
      </c>
      <c r="CK5" s="19" t="s">
        <v>304</v>
      </c>
      <c r="CL5" s="19" t="s">
        <v>305</v>
      </c>
      <c r="CM5" s="19" t="s">
        <v>306</v>
      </c>
      <c r="CN5" s="19" t="s">
        <v>307</v>
      </c>
      <c r="CO5" s="19" t="s">
        <v>308</v>
      </c>
      <c r="CP5" s="19" t="s">
        <v>309</v>
      </c>
      <c r="CQ5" s="19" t="s">
        <v>310</v>
      </c>
      <c r="CR5" s="19" t="s">
        <v>311</v>
      </c>
      <c r="CS5" s="19" t="s">
        <v>312</v>
      </c>
      <c r="CT5" s="19" t="s">
        <v>313</v>
      </c>
      <c r="CU5" s="19" t="s">
        <v>314</v>
      </c>
      <c r="CV5" s="19" t="s">
        <v>315</v>
      </c>
      <c r="CW5" s="19" t="s">
        <v>316</v>
      </c>
      <c r="CX5" s="19" t="s">
        <v>317</v>
      </c>
      <c r="CY5" s="19" t="s">
        <v>318</v>
      </c>
      <c r="CZ5" s="19" t="s">
        <v>319</v>
      </c>
      <c r="DA5" s="19" t="s">
        <v>320</v>
      </c>
      <c r="DB5" s="19" t="s">
        <v>321</v>
      </c>
      <c r="DC5" s="19" t="s">
        <v>322</v>
      </c>
      <c r="DD5" s="19" t="s">
        <v>323</v>
      </c>
      <c r="DE5" s="19" t="s">
        <v>324</v>
      </c>
      <c r="DF5" s="19" t="s">
        <v>325</v>
      </c>
      <c r="DG5" s="19" t="s">
        <v>326</v>
      </c>
      <c r="DH5" s="19" t="s">
        <v>327</v>
      </c>
      <c r="DI5" s="19" t="s">
        <v>328</v>
      </c>
      <c r="DJ5" s="19" t="s">
        <v>329</v>
      </c>
      <c r="DK5" s="19" t="s">
        <v>330</v>
      </c>
      <c r="DL5" s="19" t="s">
        <v>331</v>
      </c>
      <c r="DM5" s="19" t="s">
        <v>332</v>
      </c>
      <c r="DN5" s="19" t="s">
        <v>333</v>
      </c>
      <c r="DO5" s="19" t="s">
        <v>334</v>
      </c>
      <c r="DP5" s="19" t="s">
        <v>335</v>
      </c>
      <c r="DQ5" s="19" t="s">
        <v>336</v>
      </c>
      <c r="DR5" s="19" t="s">
        <v>337</v>
      </c>
      <c r="DS5" s="19" t="s">
        <v>338</v>
      </c>
      <c r="DT5" s="19" t="s">
        <v>339</v>
      </c>
      <c r="DU5" s="19" t="s">
        <v>340</v>
      </c>
      <c r="DV5" s="19" t="s">
        <v>341</v>
      </c>
      <c r="DW5" s="19" t="s">
        <v>342</v>
      </c>
      <c r="DX5" s="19" t="s">
        <v>343</v>
      </c>
      <c r="DY5" s="19" t="s">
        <v>344</v>
      </c>
      <c r="DZ5" s="19" t="s">
        <v>345</v>
      </c>
      <c r="EA5" s="19" t="s">
        <v>346</v>
      </c>
      <c r="EB5" s="19" t="s">
        <v>347</v>
      </c>
      <c r="EC5" s="19" t="s">
        <v>348</v>
      </c>
      <c r="ED5" s="19" t="s">
        <v>349</v>
      </c>
      <c r="EE5" s="19" t="s">
        <v>350</v>
      </c>
      <c r="EF5" s="19" t="s">
        <v>351</v>
      </c>
      <c r="EG5" s="19" t="s">
        <v>352</v>
      </c>
      <c r="EH5" s="19" t="s">
        <v>353</v>
      </c>
      <c r="EI5" s="19" t="s">
        <v>354</v>
      </c>
      <c r="EJ5" s="19" t="s">
        <v>355</v>
      </c>
      <c r="EK5" s="19" t="s">
        <v>356</v>
      </c>
      <c r="EL5" s="19" t="s">
        <v>357</v>
      </c>
      <c r="EM5" s="19" t="s">
        <v>358</v>
      </c>
      <c r="EN5" s="19" t="s">
        <v>359</v>
      </c>
      <c r="EO5" s="19" t="s">
        <v>360</v>
      </c>
      <c r="EP5" s="19" t="s">
        <v>361</v>
      </c>
      <c r="EQ5" s="19" t="s">
        <v>362</v>
      </c>
      <c r="ER5" s="19" t="s">
        <v>363</v>
      </c>
      <c r="ES5" s="19" t="s">
        <v>364</v>
      </c>
      <c r="ET5" s="19" t="s">
        <v>365</v>
      </c>
      <c r="EU5" s="19" t="s">
        <v>366</v>
      </c>
      <c r="EV5" s="19" t="s">
        <v>367</v>
      </c>
      <c r="EW5" s="19" t="s">
        <v>368</v>
      </c>
      <c r="EX5" s="19" t="s">
        <v>369</v>
      </c>
      <c r="EY5" s="19" t="s">
        <v>370</v>
      </c>
      <c r="EZ5" s="19" t="s">
        <v>371</v>
      </c>
      <c r="FA5" s="19" t="s">
        <v>372</v>
      </c>
      <c r="FB5" s="19" t="s">
        <v>373</v>
      </c>
      <c r="FC5" s="19" t="s">
        <v>374</v>
      </c>
      <c r="FD5" s="19" t="s">
        <v>375</v>
      </c>
      <c r="FE5" s="19" t="s">
        <v>376</v>
      </c>
      <c r="FF5" s="19" t="s">
        <v>377</v>
      </c>
      <c r="FG5" s="19" t="s">
        <v>378</v>
      </c>
      <c r="FH5" s="19" t="s">
        <v>379</v>
      </c>
      <c r="FI5" s="19" t="s">
        <v>380</v>
      </c>
      <c r="FJ5" s="19" t="s">
        <v>381</v>
      </c>
      <c r="FK5" s="19" t="s">
        <v>382</v>
      </c>
      <c r="FL5" s="19" t="s">
        <v>383</v>
      </c>
      <c r="FM5" s="19" t="s">
        <v>384</v>
      </c>
      <c r="FN5" s="19" t="s">
        <v>385</v>
      </c>
      <c r="FO5" s="19" t="s">
        <v>386</v>
      </c>
      <c r="FP5" s="19" t="s">
        <v>387</v>
      </c>
      <c r="FQ5" s="19" t="s">
        <v>388</v>
      </c>
      <c r="FR5" s="19" t="s">
        <v>389</v>
      </c>
      <c r="FS5" s="19" t="s">
        <v>390</v>
      </c>
      <c r="FT5" s="19" t="s">
        <v>391</v>
      </c>
      <c r="FU5" s="19" t="s">
        <v>392</v>
      </c>
      <c r="FV5" s="19" t="s">
        <v>393</v>
      </c>
      <c r="FW5" s="19" t="s">
        <v>394</v>
      </c>
      <c r="FX5" s="19" t="s">
        <v>395</v>
      </c>
      <c r="FY5" s="19" t="s">
        <v>396</v>
      </c>
      <c r="FZ5" s="19" t="s">
        <v>397</v>
      </c>
      <c r="GA5" s="19" t="s">
        <v>398</v>
      </c>
      <c r="GB5" s="19" t="s">
        <v>399</v>
      </c>
      <c r="GC5" s="19" t="s">
        <v>400</v>
      </c>
      <c r="GD5" s="19" t="s">
        <v>401</v>
      </c>
      <c r="GE5" s="19" t="s">
        <v>402</v>
      </c>
      <c r="GF5" s="19" t="s">
        <v>403</v>
      </c>
      <c r="GG5" s="19" t="s">
        <v>404</v>
      </c>
      <c r="GH5" s="19" t="s">
        <v>405</v>
      </c>
      <c r="GI5" s="19" t="s">
        <v>406</v>
      </c>
      <c r="GJ5" s="19" t="s">
        <v>407</v>
      </c>
      <c r="GK5" s="19" t="s">
        <v>408</v>
      </c>
      <c r="GL5" s="19" t="s">
        <v>409</v>
      </c>
      <c r="GM5" s="19" t="s">
        <v>410</v>
      </c>
      <c r="GN5" s="19" t="s">
        <v>411</v>
      </c>
      <c r="GO5" s="19" t="s">
        <v>412</v>
      </c>
      <c r="GP5" s="19" t="s">
        <v>413</v>
      </c>
      <c r="GQ5" s="19" t="s">
        <v>414</v>
      </c>
      <c r="GR5" s="19" t="s">
        <v>415</v>
      </c>
      <c r="GS5" s="19" t="s">
        <v>416</v>
      </c>
      <c r="GT5" s="19" t="s">
        <v>417</v>
      </c>
      <c r="GU5" s="19" t="s">
        <v>418</v>
      </c>
      <c r="GV5" s="19" t="s">
        <v>419</v>
      </c>
      <c r="GW5" s="19" t="s">
        <v>420</v>
      </c>
      <c r="GX5" s="19" t="s">
        <v>421</v>
      </c>
      <c r="GY5" s="19" t="s">
        <v>422</v>
      </c>
      <c r="GZ5" s="19" t="s">
        <v>423</v>
      </c>
      <c r="HA5" s="19" t="s">
        <v>424</v>
      </c>
      <c r="HB5" s="19" t="s">
        <v>425</v>
      </c>
      <c r="HC5" s="19" t="s">
        <v>426</v>
      </c>
      <c r="HD5" s="19" t="s">
        <v>427</v>
      </c>
      <c r="HE5" s="19" t="s">
        <v>428</v>
      </c>
      <c r="HF5" s="19" t="s">
        <v>429</v>
      </c>
      <c r="HG5" s="19" t="s">
        <v>430</v>
      </c>
      <c r="HH5" s="19" t="s">
        <v>431</v>
      </c>
      <c r="HI5" s="19" t="s">
        <v>432</v>
      </c>
      <c r="HJ5" s="19" t="s">
        <v>433</v>
      </c>
      <c r="HK5" s="19" t="s">
        <v>434</v>
      </c>
      <c r="HL5" s="19" t="s">
        <v>435</v>
      </c>
      <c r="HM5" s="19" t="s">
        <v>436</v>
      </c>
      <c r="HN5" s="19" t="s">
        <v>437</v>
      </c>
      <c r="HO5" s="19" t="s">
        <v>438</v>
      </c>
      <c r="HP5" s="19" t="s">
        <v>439</v>
      </c>
      <c r="HQ5" s="19" t="s">
        <v>440</v>
      </c>
      <c r="HR5" s="19" t="s">
        <v>441</v>
      </c>
      <c r="HS5" s="19" t="s">
        <v>442</v>
      </c>
      <c r="HT5" s="19" t="s">
        <v>443</v>
      </c>
      <c r="HU5" s="19" t="s">
        <v>444</v>
      </c>
      <c r="HV5" s="19" t="s">
        <v>445</v>
      </c>
      <c r="HW5" s="19" t="s">
        <v>446</v>
      </c>
      <c r="HX5" s="19" t="s">
        <v>447</v>
      </c>
      <c r="HY5" s="19" t="s">
        <v>448</v>
      </c>
      <c r="HZ5" s="19" t="s">
        <v>449</v>
      </c>
      <c r="IA5" s="19" t="s">
        <v>450</v>
      </c>
      <c r="IB5" s="19" t="s">
        <v>451</v>
      </c>
      <c r="IC5" s="19" t="s">
        <v>452</v>
      </c>
      <c r="ID5" s="19" t="s">
        <v>453</v>
      </c>
      <c r="IE5" s="19" t="s">
        <v>454</v>
      </c>
      <c r="IF5" s="19" t="s">
        <v>455</v>
      </c>
      <c r="IG5" s="19" t="s">
        <v>456</v>
      </c>
      <c r="IH5" s="19" t="s">
        <v>457</v>
      </c>
      <c r="II5" s="19" t="s">
        <v>458</v>
      </c>
      <c r="IJ5" s="19" t="s">
        <v>459</v>
      </c>
      <c r="IK5" s="19" t="s">
        <v>460</v>
      </c>
      <c r="IL5" s="19" t="s">
        <v>461</v>
      </c>
      <c r="IM5" s="19" t="s">
        <v>462</v>
      </c>
      <c r="IN5" s="19" t="s">
        <v>463</v>
      </c>
      <c r="IO5" s="19" t="s">
        <v>464</v>
      </c>
      <c r="IP5" s="19" t="s">
        <v>465</v>
      </c>
      <c r="IQ5" s="19" t="s">
        <v>466</v>
      </c>
      <c r="IR5" s="19" t="s">
        <v>467</v>
      </c>
      <c r="IS5" s="19" t="s">
        <v>468</v>
      </c>
      <c r="IT5" s="19" t="s">
        <v>469</v>
      </c>
      <c r="IU5" s="19" t="s">
        <v>470</v>
      </c>
      <c r="IV5" s="19" t="s">
        <v>471</v>
      </c>
      <c r="IW5" s="19" t="s">
        <v>472</v>
      </c>
      <c r="IX5" s="19" t="s">
        <v>473</v>
      </c>
      <c r="IY5" s="19" t="s">
        <v>474</v>
      </c>
      <c r="IZ5" s="19" t="s">
        <v>475</v>
      </c>
      <c r="JA5" s="19" t="s">
        <v>476</v>
      </c>
      <c r="JB5" s="19" t="s">
        <v>477</v>
      </c>
      <c r="JC5" s="19" t="s">
        <v>478</v>
      </c>
      <c r="JD5" s="19" t="s">
        <v>479</v>
      </c>
      <c r="JE5" s="19" t="s">
        <v>480</v>
      </c>
      <c r="JF5" s="19" t="s">
        <v>481</v>
      </c>
      <c r="JG5" s="19" t="s">
        <v>482</v>
      </c>
      <c r="JH5" s="19" t="s">
        <v>483</v>
      </c>
      <c r="JI5" s="19" t="s">
        <v>484</v>
      </c>
      <c r="JJ5" s="19" t="s">
        <v>485</v>
      </c>
      <c r="JK5" s="19" t="s">
        <v>486</v>
      </c>
      <c r="JL5" s="19" t="s">
        <v>487</v>
      </c>
      <c r="JM5" s="19" t="s">
        <v>488</v>
      </c>
      <c r="JN5" s="19" t="s">
        <v>489</v>
      </c>
      <c r="JO5" s="19" t="s">
        <v>490</v>
      </c>
      <c r="JP5" s="19" t="s">
        <v>491</v>
      </c>
      <c r="JQ5" s="19" t="s">
        <v>492</v>
      </c>
      <c r="JR5" s="19" t="s">
        <v>493</v>
      </c>
      <c r="JS5" s="19" t="s">
        <v>494</v>
      </c>
      <c r="JT5" s="19" t="s">
        <v>495</v>
      </c>
      <c r="JU5" s="19" t="s">
        <v>496</v>
      </c>
      <c r="JV5" s="19" t="s">
        <v>497</v>
      </c>
      <c r="JW5" s="19" t="s">
        <v>498</v>
      </c>
      <c r="JX5" s="19" t="s">
        <v>499</v>
      </c>
      <c r="JY5" s="19" t="s">
        <v>500</v>
      </c>
      <c r="JZ5" s="19" t="s">
        <v>634</v>
      </c>
      <c r="KA5" s="19" t="s">
        <v>635</v>
      </c>
      <c r="KB5" s="19" t="s">
        <v>503</v>
      </c>
      <c r="KC5" s="19" t="s">
        <v>636</v>
      </c>
      <c r="KD5" s="19" t="s">
        <v>513</v>
      </c>
      <c r="KE5" s="19" t="s">
        <v>517</v>
      </c>
      <c r="KF5" s="19" t="s">
        <v>516</v>
      </c>
      <c r="KG5" s="19" t="s">
        <v>637</v>
      </c>
      <c r="KH5" s="19" t="s">
        <v>638</v>
      </c>
      <c r="KI5" s="19" t="s">
        <v>639</v>
      </c>
      <c r="KJ5" s="19" t="s">
        <v>640</v>
      </c>
      <c r="KK5" s="19" t="s">
        <v>641</v>
      </c>
      <c r="KL5" s="19" t="s">
        <v>642</v>
      </c>
      <c r="KM5" s="19" t="s">
        <v>643</v>
      </c>
      <c r="KN5" s="19" t="s">
        <v>511</v>
      </c>
      <c r="KO5" s="19" t="s">
        <v>518</v>
      </c>
      <c r="KP5" s="19" t="s">
        <v>644</v>
      </c>
      <c r="KQ5" s="19" t="s">
        <v>645</v>
      </c>
      <c r="KR5" s="19" t="s">
        <v>508</v>
      </c>
      <c r="KS5" s="19" t="s">
        <v>509</v>
      </c>
      <c r="KT5" s="19" t="s">
        <v>646</v>
      </c>
      <c r="KU5" s="19" t="s">
        <v>520</v>
      </c>
      <c r="KV5" s="19" t="s">
        <v>647</v>
      </c>
      <c r="KW5" s="19" t="s">
        <v>521</v>
      </c>
      <c r="KX5" s="33" t="s">
        <v>522</v>
      </c>
      <c r="KY5" s="34" t="s">
        <v>523</v>
      </c>
      <c r="KZ5" s="19" t="s">
        <v>524</v>
      </c>
      <c r="LA5" s="19" t="s">
        <v>525</v>
      </c>
      <c r="LB5" s="19" t="s">
        <v>526</v>
      </c>
      <c r="LC5" s="19" t="s">
        <v>528</v>
      </c>
    </row>
    <row r="6" spans="1:315" ht="50" customHeight="1">
      <c r="A6" s="35" t="s">
        <v>529</v>
      </c>
      <c r="B6" s="35" t="s">
        <v>530</v>
      </c>
      <c r="C6" s="35" t="s">
        <v>531</v>
      </c>
      <c r="D6" s="35" t="s">
        <v>532</v>
      </c>
      <c r="E6" s="35" t="s">
        <v>533</v>
      </c>
      <c r="F6" s="35" t="s">
        <v>534</v>
      </c>
      <c r="G6" s="35" t="s">
        <v>535</v>
      </c>
      <c r="H6" s="35" t="s">
        <v>536</v>
      </c>
      <c r="I6" s="35" t="s">
        <v>537</v>
      </c>
      <c r="J6" s="35" t="s">
        <v>538</v>
      </c>
      <c r="K6" s="35" t="s">
        <v>539</v>
      </c>
      <c r="L6" s="35" t="s">
        <v>538</v>
      </c>
      <c r="M6" s="35" t="s">
        <v>539</v>
      </c>
      <c r="N6" s="35" t="s">
        <v>538</v>
      </c>
      <c r="O6" s="35" t="s">
        <v>539</v>
      </c>
      <c r="P6" s="35" t="s">
        <v>540</v>
      </c>
      <c r="Q6" s="35" t="s">
        <v>541</v>
      </c>
      <c r="R6" s="35" t="s">
        <v>542</v>
      </c>
      <c r="S6" s="35" t="s">
        <v>543</v>
      </c>
      <c r="T6" s="35" t="s">
        <v>544</v>
      </c>
      <c r="U6" s="35" t="s">
        <v>545</v>
      </c>
      <c r="V6" s="35" t="s">
        <v>545</v>
      </c>
      <c r="W6" s="35" t="s">
        <v>545</v>
      </c>
      <c r="X6" s="35" t="s">
        <v>545</v>
      </c>
      <c r="Y6" s="35" t="s">
        <v>545</v>
      </c>
      <c r="Z6" s="35" t="s">
        <v>545</v>
      </c>
      <c r="AA6" s="35" t="s">
        <v>545</v>
      </c>
      <c r="AB6" s="35" t="s">
        <v>545</v>
      </c>
      <c r="AC6" s="35" t="s">
        <v>546</v>
      </c>
      <c r="AD6" s="35" t="s">
        <v>547</v>
      </c>
      <c r="AE6" s="35" t="s">
        <v>548</v>
      </c>
      <c r="AF6" s="35" t="s">
        <v>549</v>
      </c>
      <c r="AG6" s="35" t="s">
        <v>550</v>
      </c>
      <c r="AH6" s="35" t="s">
        <v>551</v>
      </c>
      <c r="AI6" s="35" t="s">
        <v>552</v>
      </c>
      <c r="AJ6" s="35" t="s">
        <v>553</v>
      </c>
      <c r="AK6" s="35" t="s">
        <v>554</v>
      </c>
      <c r="AL6" s="35" t="s">
        <v>555</v>
      </c>
      <c r="AM6" s="35" t="s">
        <v>556</v>
      </c>
      <c r="AN6" s="35" t="s">
        <v>557</v>
      </c>
      <c r="AO6" s="35" t="s">
        <v>558</v>
      </c>
      <c r="AP6" s="35" t="s">
        <v>559</v>
      </c>
      <c r="AQ6" s="35" t="s">
        <v>560</v>
      </c>
      <c r="AR6" s="35" t="s">
        <v>561</v>
      </c>
      <c r="AS6" s="35" t="s">
        <v>558</v>
      </c>
      <c r="AT6" s="35" t="s">
        <v>559</v>
      </c>
      <c r="AU6" s="35" t="s">
        <v>560</v>
      </c>
      <c r="AV6" s="35" t="s">
        <v>561</v>
      </c>
      <c r="AW6" s="35" t="s">
        <v>558</v>
      </c>
      <c r="AX6" s="35" t="s">
        <v>559</v>
      </c>
      <c r="AY6" s="35" t="s">
        <v>560</v>
      </c>
      <c r="AZ6" s="35" t="s">
        <v>561</v>
      </c>
      <c r="BA6" s="35" t="s">
        <v>558</v>
      </c>
      <c r="BB6" s="35" t="s">
        <v>559</v>
      </c>
      <c r="BC6" s="35" t="s">
        <v>560</v>
      </c>
      <c r="BD6" s="35" t="s">
        <v>561</v>
      </c>
      <c r="BE6" s="35" t="s">
        <v>558</v>
      </c>
      <c r="BF6" s="35" t="s">
        <v>559</v>
      </c>
      <c r="BG6" s="35" t="s">
        <v>560</v>
      </c>
      <c r="BH6" s="35" t="s">
        <v>561</v>
      </c>
      <c r="BI6" s="35" t="s">
        <v>558</v>
      </c>
      <c r="BJ6" s="35" t="s">
        <v>559</v>
      </c>
      <c r="BK6" s="35" t="s">
        <v>560</v>
      </c>
      <c r="BL6" s="35" t="s">
        <v>561</v>
      </c>
      <c r="BM6" s="35" t="s">
        <v>558</v>
      </c>
      <c r="BN6" s="35" t="s">
        <v>559</v>
      </c>
      <c r="BO6" s="35" t="s">
        <v>560</v>
      </c>
      <c r="BP6" s="35" t="s">
        <v>561</v>
      </c>
      <c r="BQ6" s="35" t="s">
        <v>558</v>
      </c>
      <c r="BR6" s="35" t="s">
        <v>559</v>
      </c>
      <c r="BS6" s="35" t="s">
        <v>560</v>
      </c>
      <c r="BT6" s="35" t="s">
        <v>561</v>
      </c>
      <c r="BU6" s="35" t="s">
        <v>558</v>
      </c>
      <c r="BV6" s="35" t="s">
        <v>559</v>
      </c>
      <c r="BW6" s="35" t="s">
        <v>560</v>
      </c>
      <c r="BX6" s="35" t="s">
        <v>561</v>
      </c>
      <c r="BY6" s="35" t="s">
        <v>558</v>
      </c>
      <c r="BZ6" s="35" t="s">
        <v>559</v>
      </c>
      <c r="CA6" s="35" t="s">
        <v>560</v>
      </c>
      <c r="CB6" s="35" t="s">
        <v>561</v>
      </c>
      <c r="CC6" s="35" t="s">
        <v>558</v>
      </c>
      <c r="CD6" s="35" t="s">
        <v>559</v>
      </c>
      <c r="CE6" s="35" t="s">
        <v>560</v>
      </c>
      <c r="CF6" s="35" t="s">
        <v>561</v>
      </c>
      <c r="CG6" s="35" t="s">
        <v>558</v>
      </c>
      <c r="CH6" s="35" t="s">
        <v>559</v>
      </c>
      <c r="CI6" s="35" t="s">
        <v>560</v>
      </c>
      <c r="CJ6" s="35" t="s">
        <v>561</v>
      </c>
      <c r="CK6" s="35" t="s">
        <v>558</v>
      </c>
      <c r="CL6" s="35" t="s">
        <v>559</v>
      </c>
      <c r="CM6" s="35" t="s">
        <v>560</v>
      </c>
      <c r="CN6" s="35" t="s">
        <v>561</v>
      </c>
      <c r="CO6" s="35" t="s">
        <v>558</v>
      </c>
      <c r="CP6" s="35" t="s">
        <v>559</v>
      </c>
      <c r="CQ6" s="35" t="s">
        <v>560</v>
      </c>
      <c r="CR6" s="35" t="s">
        <v>561</v>
      </c>
      <c r="CS6" s="35" t="s">
        <v>558</v>
      </c>
      <c r="CT6" s="35" t="s">
        <v>559</v>
      </c>
      <c r="CU6" s="35" t="s">
        <v>560</v>
      </c>
      <c r="CV6" s="35" t="s">
        <v>561</v>
      </c>
      <c r="CW6" s="35" t="s">
        <v>558</v>
      </c>
      <c r="CX6" s="35" t="s">
        <v>559</v>
      </c>
      <c r="CY6" s="35" t="s">
        <v>560</v>
      </c>
      <c r="CZ6" s="35" t="s">
        <v>561</v>
      </c>
      <c r="DA6" s="35" t="s">
        <v>558</v>
      </c>
      <c r="DB6" s="35" t="s">
        <v>559</v>
      </c>
      <c r="DC6" s="35" t="s">
        <v>560</v>
      </c>
      <c r="DD6" s="35" t="s">
        <v>561</v>
      </c>
      <c r="DE6" s="35" t="s">
        <v>558</v>
      </c>
      <c r="DF6" s="35" t="s">
        <v>559</v>
      </c>
      <c r="DG6" s="35" t="s">
        <v>560</v>
      </c>
      <c r="DH6" s="35" t="s">
        <v>561</v>
      </c>
      <c r="DI6" s="35" t="s">
        <v>558</v>
      </c>
      <c r="DJ6" s="35" t="s">
        <v>559</v>
      </c>
      <c r="DK6" s="35" t="s">
        <v>560</v>
      </c>
      <c r="DL6" s="35" t="s">
        <v>561</v>
      </c>
      <c r="DM6" s="35" t="s">
        <v>558</v>
      </c>
      <c r="DN6" s="35" t="s">
        <v>559</v>
      </c>
      <c r="DO6" s="35" t="s">
        <v>560</v>
      </c>
      <c r="DP6" s="35" t="s">
        <v>561</v>
      </c>
      <c r="DQ6" s="35" t="s">
        <v>558</v>
      </c>
      <c r="DR6" s="35" t="s">
        <v>559</v>
      </c>
      <c r="DS6" s="35" t="s">
        <v>560</v>
      </c>
      <c r="DT6" s="35" t="s">
        <v>561</v>
      </c>
      <c r="DU6" s="35" t="s">
        <v>558</v>
      </c>
      <c r="DV6" s="35" t="s">
        <v>559</v>
      </c>
      <c r="DW6" s="35" t="s">
        <v>560</v>
      </c>
      <c r="DX6" s="35" t="s">
        <v>561</v>
      </c>
      <c r="DY6" s="35" t="s">
        <v>558</v>
      </c>
      <c r="DZ6" s="35" t="s">
        <v>559</v>
      </c>
      <c r="EA6" s="35" t="s">
        <v>560</v>
      </c>
      <c r="EB6" s="35" t="s">
        <v>561</v>
      </c>
      <c r="EC6" s="35" t="s">
        <v>558</v>
      </c>
      <c r="ED6" s="35" t="s">
        <v>559</v>
      </c>
      <c r="EE6" s="35" t="s">
        <v>560</v>
      </c>
      <c r="EF6" s="35" t="s">
        <v>561</v>
      </c>
      <c r="EG6" s="35" t="s">
        <v>558</v>
      </c>
      <c r="EH6" s="35" t="s">
        <v>559</v>
      </c>
      <c r="EI6" s="35" t="s">
        <v>560</v>
      </c>
      <c r="EJ6" s="35" t="s">
        <v>561</v>
      </c>
      <c r="EK6" s="35" t="s">
        <v>558</v>
      </c>
      <c r="EL6" s="35" t="s">
        <v>559</v>
      </c>
      <c r="EM6" s="35" t="s">
        <v>560</v>
      </c>
      <c r="EN6" s="35" t="s">
        <v>561</v>
      </c>
      <c r="EO6" s="35" t="s">
        <v>558</v>
      </c>
      <c r="EP6" s="35" t="s">
        <v>559</v>
      </c>
      <c r="EQ6" s="35" t="s">
        <v>560</v>
      </c>
      <c r="ER6" s="35" t="s">
        <v>561</v>
      </c>
      <c r="ES6" s="35" t="s">
        <v>558</v>
      </c>
      <c r="ET6" s="35" t="s">
        <v>559</v>
      </c>
      <c r="EU6" s="35" t="s">
        <v>560</v>
      </c>
      <c r="EV6" s="35" t="s">
        <v>561</v>
      </c>
      <c r="EW6" s="35" t="s">
        <v>558</v>
      </c>
      <c r="EX6" s="35" t="s">
        <v>559</v>
      </c>
      <c r="EY6" s="35" t="s">
        <v>560</v>
      </c>
      <c r="EZ6" s="35" t="s">
        <v>561</v>
      </c>
      <c r="FA6" s="35" t="s">
        <v>558</v>
      </c>
      <c r="FB6" s="35" t="s">
        <v>559</v>
      </c>
      <c r="FC6" s="35" t="s">
        <v>560</v>
      </c>
      <c r="FD6" s="35" t="s">
        <v>561</v>
      </c>
      <c r="FE6" s="35" t="s">
        <v>558</v>
      </c>
      <c r="FF6" s="35" t="s">
        <v>559</v>
      </c>
      <c r="FG6" s="35" t="s">
        <v>560</v>
      </c>
      <c r="FH6" s="35" t="s">
        <v>561</v>
      </c>
      <c r="FI6" s="35" t="s">
        <v>558</v>
      </c>
      <c r="FJ6" s="35" t="s">
        <v>559</v>
      </c>
      <c r="FK6" s="35" t="s">
        <v>560</v>
      </c>
      <c r="FL6" s="35" t="s">
        <v>561</v>
      </c>
      <c r="FM6" s="35" t="s">
        <v>558</v>
      </c>
      <c r="FN6" s="35" t="s">
        <v>559</v>
      </c>
      <c r="FO6" s="35" t="s">
        <v>560</v>
      </c>
      <c r="FP6" s="35" t="s">
        <v>561</v>
      </c>
      <c r="FQ6" s="35" t="s">
        <v>558</v>
      </c>
      <c r="FR6" s="35" t="s">
        <v>559</v>
      </c>
      <c r="FS6" s="35" t="s">
        <v>560</v>
      </c>
      <c r="FT6" s="35" t="s">
        <v>561</v>
      </c>
      <c r="FU6" s="35" t="s">
        <v>558</v>
      </c>
      <c r="FV6" s="35" t="s">
        <v>559</v>
      </c>
      <c r="FW6" s="35" t="s">
        <v>560</v>
      </c>
      <c r="FX6" s="35" t="s">
        <v>561</v>
      </c>
      <c r="FY6" s="35" t="s">
        <v>558</v>
      </c>
      <c r="FZ6" s="35" t="s">
        <v>559</v>
      </c>
      <c r="GA6" s="35" t="s">
        <v>560</v>
      </c>
      <c r="GB6" s="35" t="s">
        <v>561</v>
      </c>
      <c r="GC6" s="35" t="s">
        <v>558</v>
      </c>
      <c r="GD6" s="35" t="s">
        <v>559</v>
      </c>
      <c r="GE6" s="35" t="s">
        <v>560</v>
      </c>
      <c r="GF6" s="35" t="s">
        <v>561</v>
      </c>
      <c r="GG6" s="35" t="s">
        <v>558</v>
      </c>
      <c r="GH6" s="35" t="s">
        <v>559</v>
      </c>
      <c r="GI6" s="35" t="s">
        <v>560</v>
      </c>
      <c r="GJ6" s="35" t="s">
        <v>561</v>
      </c>
      <c r="GK6" s="35" t="s">
        <v>558</v>
      </c>
      <c r="GL6" s="35" t="s">
        <v>559</v>
      </c>
      <c r="GM6" s="35" t="s">
        <v>560</v>
      </c>
      <c r="GN6" s="35" t="s">
        <v>561</v>
      </c>
      <c r="GO6" s="35" t="s">
        <v>558</v>
      </c>
      <c r="GP6" s="35" t="s">
        <v>559</v>
      </c>
      <c r="GQ6" s="35" t="s">
        <v>560</v>
      </c>
      <c r="GR6" s="35" t="s">
        <v>561</v>
      </c>
      <c r="GS6" s="35" t="s">
        <v>562</v>
      </c>
      <c r="GT6" s="35" t="s">
        <v>563</v>
      </c>
      <c r="GU6" s="35" t="s">
        <v>564</v>
      </c>
      <c r="GV6" s="35" t="s">
        <v>565</v>
      </c>
      <c r="GW6" s="35" t="s">
        <v>564</v>
      </c>
      <c r="GX6" s="35" t="s">
        <v>565</v>
      </c>
      <c r="GY6" s="35" t="s">
        <v>564</v>
      </c>
      <c r="GZ6" s="35" t="s">
        <v>565</v>
      </c>
      <c r="HA6" s="35" t="s">
        <v>564</v>
      </c>
      <c r="HB6" s="35" t="s">
        <v>565</v>
      </c>
      <c r="HC6" s="35" t="s">
        <v>564</v>
      </c>
      <c r="HD6" s="35" t="s">
        <v>565</v>
      </c>
      <c r="HE6" s="35" t="s">
        <v>566</v>
      </c>
      <c r="HF6" s="35" t="s">
        <v>566</v>
      </c>
      <c r="HG6" s="35" t="s">
        <v>566</v>
      </c>
      <c r="HH6" s="35" t="s">
        <v>566</v>
      </c>
      <c r="HI6" s="35" t="s">
        <v>566</v>
      </c>
      <c r="HJ6" s="35" t="s">
        <v>566</v>
      </c>
      <c r="HK6" s="35" t="s">
        <v>566</v>
      </c>
      <c r="HL6" s="35" t="s">
        <v>566</v>
      </c>
      <c r="HM6" s="35" t="s">
        <v>566</v>
      </c>
      <c r="HN6" s="35" t="s">
        <v>566</v>
      </c>
      <c r="HO6" s="35" t="s">
        <v>566</v>
      </c>
      <c r="HP6" s="35" t="s">
        <v>566</v>
      </c>
      <c r="HQ6" s="35" t="s">
        <v>566</v>
      </c>
      <c r="HR6" s="35" t="s">
        <v>566</v>
      </c>
      <c r="HS6" s="35" t="s">
        <v>566</v>
      </c>
      <c r="HT6" s="35" t="s">
        <v>566</v>
      </c>
      <c r="HU6" s="35" t="s">
        <v>566</v>
      </c>
      <c r="HV6" s="35" t="s">
        <v>566</v>
      </c>
      <c r="HW6" s="35" t="s">
        <v>566</v>
      </c>
      <c r="HX6" s="35" t="s">
        <v>566</v>
      </c>
      <c r="HY6" s="35" t="s">
        <v>566</v>
      </c>
      <c r="HZ6" s="35" t="s">
        <v>566</v>
      </c>
      <c r="IA6" s="35" t="s">
        <v>566</v>
      </c>
      <c r="IB6" s="35" t="s">
        <v>566</v>
      </c>
      <c r="IC6" s="35" t="s">
        <v>566</v>
      </c>
      <c r="ID6" s="35" t="s">
        <v>566</v>
      </c>
      <c r="IE6" s="35" t="s">
        <v>566</v>
      </c>
      <c r="IF6" s="35" t="s">
        <v>566</v>
      </c>
      <c r="IG6" s="35" t="s">
        <v>566</v>
      </c>
      <c r="IH6" s="35" t="s">
        <v>566</v>
      </c>
      <c r="II6" s="35" t="s">
        <v>567</v>
      </c>
      <c r="IJ6" s="35" t="s">
        <v>567</v>
      </c>
      <c r="IK6" s="35" t="s">
        <v>568</v>
      </c>
      <c r="IL6" s="35" t="s">
        <v>569</v>
      </c>
      <c r="IM6" s="35" t="s">
        <v>570</v>
      </c>
      <c r="IN6" s="35" t="s">
        <v>571</v>
      </c>
      <c r="IO6" s="35" t="s">
        <v>568</v>
      </c>
      <c r="IP6" s="35" t="s">
        <v>569</v>
      </c>
      <c r="IQ6" s="35" t="s">
        <v>570</v>
      </c>
      <c r="IR6" s="35" t="s">
        <v>571</v>
      </c>
      <c r="IS6" s="35" t="s">
        <v>568</v>
      </c>
      <c r="IT6" s="35" t="s">
        <v>569</v>
      </c>
      <c r="IU6" s="35" t="s">
        <v>570</v>
      </c>
      <c r="IV6" s="35" t="s">
        <v>571</v>
      </c>
      <c r="IW6" s="35" t="s">
        <v>568</v>
      </c>
      <c r="IX6" s="35" t="s">
        <v>569</v>
      </c>
      <c r="IY6" s="35" t="s">
        <v>570</v>
      </c>
      <c r="IZ6" s="35" t="s">
        <v>571</v>
      </c>
      <c r="JA6" s="35" t="s">
        <v>568</v>
      </c>
      <c r="JB6" s="35" t="s">
        <v>569</v>
      </c>
      <c r="JC6" s="35" t="s">
        <v>570</v>
      </c>
      <c r="JD6" s="35" t="s">
        <v>571</v>
      </c>
      <c r="JE6" s="35" t="s">
        <v>568</v>
      </c>
      <c r="JF6" s="35" t="s">
        <v>569</v>
      </c>
      <c r="JG6" s="35" t="s">
        <v>570</v>
      </c>
      <c r="JH6" s="35" t="s">
        <v>571</v>
      </c>
      <c r="JI6" s="35" t="s">
        <v>568</v>
      </c>
      <c r="JJ6" s="35" t="s">
        <v>569</v>
      </c>
      <c r="JK6" s="35" t="s">
        <v>570</v>
      </c>
      <c r="JL6" s="35" t="s">
        <v>571</v>
      </c>
      <c r="JM6" s="35" t="s">
        <v>568</v>
      </c>
      <c r="JN6" s="35" t="s">
        <v>569</v>
      </c>
      <c r="JO6" s="35" t="s">
        <v>570</v>
      </c>
      <c r="JP6" s="35" t="s">
        <v>571</v>
      </c>
      <c r="JQ6" s="35" t="s">
        <v>568</v>
      </c>
      <c r="JR6" s="35" t="s">
        <v>569</v>
      </c>
      <c r="JS6" s="35" t="s">
        <v>570</v>
      </c>
      <c r="JT6" s="35" t="s">
        <v>571</v>
      </c>
      <c r="JU6" s="35" t="s">
        <v>568</v>
      </c>
      <c r="JV6" s="35" t="s">
        <v>569</v>
      </c>
      <c r="JW6" s="35" t="s">
        <v>570</v>
      </c>
      <c r="JX6" s="35" t="s">
        <v>571</v>
      </c>
      <c r="JY6" s="35" t="s">
        <v>572</v>
      </c>
      <c r="JZ6" s="35" t="s">
        <v>648</v>
      </c>
      <c r="KA6" s="35" t="s">
        <v>649</v>
      </c>
      <c r="KB6" s="35" t="s">
        <v>575</v>
      </c>
      <c r="KC6" s="35" t="s">
        <v>650</v>
      </c>
      <c r="KD6" s="35" t="s">
        <v>585</v>
      </c>
      <c r="KE6" s="35" t="s">
        <v>589</v>
      </c>
      <c r="KF6" s="35" t="s">
        <v>588</v>
      </c>
      <c r="KG6" s="35" t="s">
        <v>651</v>
      </c>
      <c r="KH6" s="35" t="s">
        <v>652</v>
      </c>
      <c r="KI6" s="35" t="s">
        <v>653</v>
      </c>
      <c r="KJ6" s="35" t="s">
        <v>654</v>
      </c>
      <c r="KK6" s="35" t="s">
        <v>655</v>
      </c>
      <c r="KL6" s="35" t="s">
        <v>656</v>
      </c>
      <c r="KM6" s="35" t="s">
        <v>657</v>
      </c>
      <c r="KN6" s="35" t="s">
        <v>583</v>
      </c>
      <c r="KO6" s="35" t="s">
        <v>590</v>
      </c>
      <c r="KP6" s="35" t="s">
        <v>658</v>
      </c>
      <c r="KQ6" s="35" t="s">
        <v>659</v>
      </c>
      <c r="KR6" s="35" t="s">
        <v>580</v>
      </c>
      <c r="KS6" s="35" t="s">
        <v>581</v>
      </c>
      <c r="KT6" s="35" t="s">
        <v>660</v>
      </c>
      <c r="KU6" s="35" t="s">
        <v>592</v>
      </c>
      <c r="KV6" s="35" t="s">
        <v>661</v>
      </c>
      <c r="KW6" s="35" t="s">
        <v>593</v>
      </c>
      <c r="KX6" s="35" t="s">
        <v>594</v>
      </c>
      <c r="KY6" s="35" t="s">
        <v>595</v>
      </c>
      <c r="KZ6" s="35" t="s">
        <v>596</v>
      </c>
      <c r="LA6" s="35" t="s">
        <v>597</v>
      </c>
      <c r="LB6" s="35" t="s">
        <v>598</v>
      </c>
      <c r="LC6" s="35" t="s">
        <v>600</v>
      </c>
    </row>
    <row r="7" spans="1:315" ht="50" customHeight="1">
      <c r="A7" s="35" t="s">
        <v>601</v>
      </c>
      <c r="B7" s="35" t="s">
        <v>67</v>
      </c>
      <c r="C7" s="35" t="s">
        <v>67</v>
      </c>
      <c r="D7" s="35" t="s">
        <v>67</v>
      </c>
      <c r="E7" s="35" t="s">
        <v>67</v>
      </c>
      <c r="F7" s="36" t="s">
        <v>602</v>
      </c>
      <c r="G7" s="35" t="s">
        <v>67</v>
      </c>
      <c r="H7" s="36" t="s">
        <v>602</v>
      </c>
      <c r="I7" s="35" t="s">
        <v>67</v>
      </c>
      <c r="J7" s="36" t="s">
        <v>602</v>
      </c>
      <c r="K7" s="35" t="s">
        <v>67</v>
      </c>
      <c r="L7" s="36" t="s">
        <v>602</v>
      </c>
      <c r="M7" s="35" t="s">
        <v>67</v>
      </c>
      <c r="N7" s="36" t="s">
        <v>602</v>
      </c>
      <c r="O7" s="35" t="s">
        <v>67</v>
      </c>
      <c r="P7" s="35" t="s">
        <v>603</v>
      </c>
      <c r="Q7" s="35" t="s">
        <v>603</v>
      </c>
      <c r="R7" s="35" t="s">
        <v>603</v>
      </c>
      <c r="S7" s="35" t="s">
        <v>603</v>
      </c>
      <c r="T7" s="35" t="s">
        <v>67</v>
      </c>
      <c r="U7" s="35" t="s">
        <v>67</v>
      </c>
      <c r="V7" s="35" t="s">
        <v>67</v>
      </c>
      <c r="W7" s="35" t="s">
        <v>67</v>
      </c>
      <c r="X7" s="35" t="s">
        <v>67</v>
      </c>
      <c r="Y7" s="35" t="s">
        <v>67</v>
      </c>
      <c r="Z7" s="35" t="s">
        <v>67</v>
      </c>
      <c r="AA7" s="35" t="s">
        <v>67</v>
      </c>
      <c r="AB7" s="35" t="s">
        <v>67</v>
      </c>
      <c r="AC7" s="35" t="s">
        <v>67</v>
      </c>
      <c r="AD7" s="35" t="s">
        <v>604</v>
      </c>
      <c r="AE7" s="35" t="s">
        <v>604</v>
      </c>
      <c r="AF7" s="35" t="s">
        <v>604</v>
      </c>
      <c r="AG7" s="35" t="s">
        <v>603</v>
      </c>
      <c r="AH7" s="36" t="s">
        <v>602</v>
      </c>
      <c r="AI7" s="36" t="s">
        <v>602</v>
      </c>
      <c r="AJ7" s="36" t="s">
        <v>602</v>
      </c>
      <c r="AK7" s="36" t="s">
        <v>602</v>
      </c>
      <c r="AL7" s="35" t="s">
        <v>67</v>
      </c>
      <c r="AM7" s="35" t="s">
        <v>72</v>
      </c>
      <c r="AN7" s="35" t="s">
        <v>72</v>
      </c>
      <c r="AO7" s="35" t="s">
        <v>603</v>
      </c>
      <c r="AP7" s="35" t="s">
        <v>603</v>
      </c>
      <c r="AQ7" s="35" t="s">
        <v>603</v>
      </c>
      <c r="AR7" s="35" t="s">
        <v>603</v>
      </c>
      <c r="AS7" s="35" t="s">
        <v>603</v>
      </c>
      <c r="AT7" s="35" t="s">
        <v>603</v>
      </c>
      <c r="AU7" s="35" t="s">
        <v>603</v>
      </c>
      <c r="AV7" s="35" t="s">
        <v>603</v>
      </c>
      <c r="AW7" s="35" t="s">
        <v>603</v>
      </c>
      <c r="AX7" s="35" t="s">
        <v>603</v>
      </c>
      <c r="AY7" s="35" t="s">
        <v>603</v>
      </c>
      <c r="AZ7" s="35" t="s">
        <v>603</v>
      </c>
      <c r="BA7" s="35" t="s">
        <v>603</v>
      </c>
      <c r="BB7" s="35" t="s">
        <v>603</v>
      </c>
      <c r="BC7" s="35" t="s">
        <v>603</v>
      </c>
      <c r="BD7" s="35" t="s">
        <v>603</v>
      </c>
      <c r="BE7" s="35" t="s">
        <v>603</v>
      </c>
      <c r="BF7" s="35" t="s">
        <v>603</v>
      </c>
      <c r="BG7" s="35" t="s">
        <v>603</v>
      </c>
      <c r="BH7" s="35" t="s">
        <v>603</v>
      </c>
      <c r="BI7" s="35" t="s">
        <v>603</v>
      </c>
      <c r="BJ7" s="35" t="s">
        <v>603</v>
      </c>
      <c r="BK7" s="35" t="s">
        <v>603</v>
      </c>
      <c r="BL7" s="35" t="s">
        <v>603</v>
      </c>
      <c r="BM7" s="35" t="s">
        <v>603</v>
      </c>
      <c r="BN7" s="35" t="s">
        <v>603</v>
      </c>
      <c r="BO7" s="35" t="s">
        <v>603</v>
      </c>
      <c r="BP7" s="35" t="s">
        <v>603</v>
      </c>
      <c r="BQ7" s="35" t="s">
        <v>603</v>
      </c>
      <c r="BR7" s="35" t="s">
        <v>603</v>
      </c>
      <c r="BS7" s="35" t="s">
        <v>603</v>
      </c>
      <c r="BT7" s="35" t="s">
        <v>603</v>
      </c>
      <c r="BU7" s="35" t="s">
        <v>603</v>
      </c>
      <c r="BV7" s="35" t="s">
        <v>603</v>
      </c>
      <c r="BW7" s="35" t="s">
        <v>603</v>
      </c>
      <c r="BX7" s="35" t="s">
        <v>603</v>
      </c>
      <c r="BY7" s="35" t="s">
        <v>603</v>
      </c>
      <c r="BZ7" s="35" t="s">
        <v>603</v>
      </c>
      <c r="CA7" s="35" t="s">
        <v>603</v>
      </c>
      <c r="CB7" s="35" t="s">
        <v>603</v>
      </c>
      <c r="CC7" s="35" t="s">
        <v>603</v>
      </c>
      <c r="CD7" s="35" t="s">
        <v>603</v>
      </c>
      <c r="CE7" s="35" t="s">
        <v>603</v>
      </c>
      <c r="CF7" s="35" t="s">
        <v>603</v>
      </c>
      <c r="CG7" s="35" t="s">
        <v>603</v>
      </c>
      <c r="CH7" s="35" t="s">
        <v>603</v>
      </c>
      <c r="CI7" s="35" t="s">
        <v>603</v>
      </c>
      <c r="CJ7" s="35" t="s">
        <v>603</v>
      </c>
      <c r="CK7" s="35" t="s">
        <v>603</v>
      </c>
      <c r="CL7" s="35" t="s">
        <v>603</v>
      </c>
      <c r="CM7" s="35" t="s">
        <v>603</v>
      </c>
      <c r="CN7" s="35" t="s">
        <v>603</v>
      </c>
      <c r="CO7" s="35" t="s">
        <v>603</v>
      </c>
      <c r="CP7" s="35" t="s">
        <v>603</v>
      </c>
      <c r="CQ7" s="35" t="s">
        <v>603</v>
      </c>
      <c r="CR7" s="35" t="s">
        <v>603</v>
      </c>
      <c r="CS7" s="35" t="s">
        <v>603</v>
      </c>
      <c r="CT7" s="35" t="s">
        <v>603</v>
      </c>
      <c r="CU7" s="35" t="s">
        <v>603</v>
      </c>
      <c r="CV7" s="35" t="s">
        <v>603</v>
      </c>
      <c r="CW7" s="35" t="s">
        <v>603</v>
      </c>
      <c r="CX7" s="35" t="s">
        <v>603</v>
      </c>
      <c r="CY7" s="35" t="s">
        <v>603</v>
      </c>
      <c r="CZ7" s="35" t="s">
        <v>603</v>
      </c>
      <c r="DA7" s="35" t="s">
        <v>603</v>
      </c>
      <c r="DB7" s="35" t="s">
        <v>603</v>
      </c>
      <c r="DC7" s="35" t="s">
        <v>603</v>
      </c>
      <c r="DD7" s="35" t="s">
        <v>603</v>
      </c>
      <c r="DE7" s="35" t="s">
        <v>603</v>
      </c>
      <c r="DF7" s="35" t="s">
        <v>603</v>
      </c>
      <c r="DG7" s="35" t="s">
        <v>603</v>
      </c>
      <c r="DH7" s="35" t="s">
        <v>603</v>
      </c>
      <c r="DI7" s="35" t="s">
        <v>603</v>
      </c>
      <c r="DJ7" s="35" t="s">
        <v>603</v>
      </c>
      <c r="DK7" s="35" t="s">
        <v>603</v>
      </c>
      <c r="DL7" s="35" t="s">
        <v>603</v>
      </c>
      <c r="DM7" s="35" t="s">
        <v>603</v>
      </c>
      <c r="DN7" s="35" t="s">
        <v>603</v>
      </c>
      <c r="DO7" s="35" t="s">
        <v>603</v>
      </c>
      <c r="DP7" s="35" t="s">
        <v>603</v>
      </c>
      <c r="DQ7" s="35" t="s">
        <v>603</v>
      </c>
      <c r="DR7" s="35" t="s">
        <v>603</v>
      </c>
      <c r="DS7" s="35" t="s">
        <v>603</v>
      </c>
      <c r="DT7" s="35" t="s">
        <v>603</v>
      </c>
      <c r="DU7" s="35" t="s">
        <v>603</v>
      </c>
      <c r="DV7" s="35" t="s">
        <v>603</v>
      </c>
      <c r="DW7" s="35" t="s">
        <v>603</v>
      </c>
      <c r="DX7" s="35" t="s">
        <v>603</v>
      </c>
      <c r="DY7" s="35" t="s">
        <v>603</v>
      </c>
      <c r="DZ7" s="35" t="s">
        <v>603</v>
      </c>
      <c r="EA7" s="35" t="s">
        <v>603</v>
      </c>
      <c r="EB7" s="35" t="s">
        <v>603</v>
      </c>
      <c r="EC7" s="35" t="s">
        <v>603</v>
      </c>
      <c r="ED7" s="35" t="s">
        <v>603</v>
      </c>
      <c r="EE7" s="35" t="s">
        <v>603</v>
      </c>
      <c r="EF7" s="35" t="s">
        <v>603</v>
      </c>
      <c r="EG7" s="35" t="s">
        <v>603</v>
      </c>
      <c r="EH7" s="35" t="s">
        <v>603</v>
      </c>
      <c r="EI7" s="35" t="s">
        <v>603</v>
      </c>
      <c r="EJ7" s="35" t="s">
        <v>603</v>
      </c>
      <c r="EK7" s="35" t="s">
        <v>603</v>
      </c>
      <c r="EL7" s="35" t="s">
        <v>603</v>
      </c>
      <c r="EM7" s="35" t="s">
        <v>603</v>
      </c>
      <c r="EN7" s="35" t="s">
        <v>603</v>
      </c>
      <c r="EO7" s="35" t="s">
        <v>603</v>
      </c>
      <c r="EP7" s="35" t="s">
        <v>603</v>
      </c>
      <c r="EQ7" s="35" t="s">
        <v>603</v>
      </c>
      <c r="ER7" s="35" t="s">
        <v>603</v>
      </c>
      <c r="ES7" s="35" t="s">
        <v>603</v>
      </c>
      <c r="ET7" s="35" t="s">
        <v>603</v>
      </c>
      <c r="EU7" s="35" t="s">
        <v>603</v>
      </c>
      <c r="EV7" s="35" t="s">
        <v>603</v>
      </c>
      <c r="EW7" s="35" t="s">
        <v>603</v>
      </c>
      <c r="EX7" s="35" t="s">
        <v>603</v>
      </c>
      <c r="EY7" s="35" t="s">
        <v>603</v>
      </c>
      <c r="EZ7" s="35" t="s">
        <v>603</v>
      </c>
      <c r="FA7" s="35" t="s">
        <v>603</v>
      </c>
      <c r="FB7" s="35" t="s">
        <v>603</v>
      </c>
      <c r="FC7" s="35" t="s">
        <v>603</v>
      </c>
      <c r="FD7" s="35" t="s">
        <v>603</v>
      </c>
      <c r="FE7" s="35" t="s">
        <v>603</v>
      </c>
      <c r="FF7" s="35" t="s">
        <v>603</v>
      </c>
      <c r="FG7" s="35" t="s">
        <v>603</v>
      </c>
      <c r="FH7" s="35" t="s">
        <v>603</v>
      </c>
      <c r="FI7" s="35" t="s">
        <v>603</v>
      </c>
      <c r="FJ7" s="35" t="s">
        <v>603</v>
      </c>
      <c r="FK7" s="35" t="s">
        <v>603</v>
      </c>
      <c r="FL7" s="35" t="s">
        <v>603</v>
      </c>
      <c r="FM7" s="35" t="s">
        <v>603</v>
      </c>
      <c r="FN7" s="35" t="s">
        <v>603</v>
      </c>
      <c r="FO7" s="35" t="s">
        <v>603</v>
      </c>
      <c r="FP7" s="35" t="s">
        <v>603</v>
      </c>
      <c r="FQ7" s="35" t="s">
        <v>603</v>
      </c>
      <c r="FR7" s="35" t="s">
        <v>603</v>
      </c>
      <c r="FS7" s="35" t="s">
        <v>603</v>
      </c>
      <c r="FT7" s="35" t="s">
        <v>603</v>
      </c>
      <c r="FU7" s="35" t="s">
        <v>603</v>
      </c>
      <c r="FV7" s="35" t="s">
        <v>603</v>
      </c>
      <c r="FW7" s="35" t="s">
        <v>603</v>
      </c>
      <c r="FX7" s="35" t="s">
        <v>603</v>
      </c>
      <c r="FY7" s="35" t="s">
        <v>603</v>
      </c>
      <c r="FZ7" s="35" t="s">
        <v>603</v>
      </c>
      <c r="GA7" s="35" t="s">
        <v>603</v>
      </c>
      <c r="GB7" s="35" t="s">
        <v>603</v>
      </c>
      <c r="GC7" s="35" t="s">
        <v>603</v>
      </c>
      <c r="GD7" s="35" t="s">
        <v>603</v>
      </c>
      <c r="GE7" s="35" t="s">
        <v>603</v>
      </c>
      <c r="GF7" s="35" t="s">
        <v>603</v>
      </c>
      <c r="GG7" s="35" t="s">
        <v>603</v>
      </c>
      <c r="GH7" s="35" t="s">
        <v>603</v>
      </c>
      <c r="GI7" s="35" t="s">
        <v>603</v>
      </c>
      <c r="GJ7" s="35" t="s">
        <v>603</v>
      </c>
      <c r="GK7" s="35" t="s">
        <v>603</v>
      </c>
      <c r="GL7" s="35" t="s">
        <v>603</v>
      </c>
      <c r="GM7" s="35" t="s">
        <v>603</v>
      </c>
      <c r="GN7" s="35" t="s">
        <v>603</v>
      </c>
      <c r="GO7" s="35" t="s">
        <v>603</v>
      </c>
      <c r="GP7" s="35" t="s">
        <v>603</v>
      </c>
      <c r="GQ7" s="35" t="s">
        <v>603</v>
      </c>
      <c r="GR7" s="35" t="s">
        <v>603</v>
      </c>
      <c r="GS7" s="36" t="s">
        <v>602</v>
      </c>
      <c r="GT7" s="35" t="s">
        <v>72</v>
      </c>
      <c r="GU7" s="36" t="s">
        <v>602</v>
      </c>
      <c r="GV7" s="36" t="s">
        <v>602</v>
      </c>
      <c r="GW7" s="36" t="s">
        <v>602</v>
      </c>
      <c r="GX7" s="36" t="s">
        <v>602</v>
      </c>
      <c r="GY7" s="36" t="s">
        <v>602</v>
      </c>
      <c r="GZ7" s="36" t="s">
        <v>602</v>
      </c>
      <c r="HA7" s="36" t="s">
        <v>602</v>
      </c>
      <c r="HB7" s="36" t="s">
        <v>602</v>
      </c>
      <c r="HC7" s="36" t="s">
        <v>602</v>
      </c>
      <c r="HD7" s="36" t="s">
        <v>602</v>
      </c>
      <c r="HE7" s="35" t="s">
        <v>67</v>
      </c>
      <c r="HF7" s="35" t="s">
        <v>67</v>
      </c>
      <c r="HG7" s="35" t="s">
        <v>67</v>
      </c>
      <c r="HH7" s="35" t="s">
        <v>67</v>
      </c>
      <c r="HI7" s="35" t="s">
        <v>67</v>
      </c>
      <c r="HJ7" s="35" t="s">
        <v>67</v>
      </c>
      <c r="HK7" s="35" t="s">
        <v>67</v>
      </c>
      <c r="HL7" s="35" t="s">
        <v>67</v>
      </c>
      <c r="HM7" s="35" t="s">
        <v>67</v>
      </c>
      <c r="HN7" s="35" t="s">
        <v>67</v>
      </c>
      <c r="HO7" s="35" t="s">
        <v>67</v>
      </c>
      <c r="HP7" s="35" t="s">
        <v>67</v>
      </c>
      <c r="HQ7" s="35" t="s">
        <v>67</v>
      </c>
      <c r="HR7" s="35" t="s">
        <v>67</v>
      </c>
      <c r="HS7" s="35" t="s">
        <v>67</v>
      </c>
      <c r="HT7" s="35" t="s">
        <v>67</v>
      </c>
      <c r="HU7" s="35" t="s">
        <v>67</v>
      </c>
      <c r="HV7" s="35" t="s">
        <v>67</v>
      </c>
      <c r="HW7" s="35" t="s">
        <v>67</v>
      </c>
      <c r="HX7" s="35" t="s">
        <v>67</v>
      </c>
      <c r="HY7" s="35" t="s">
        <v>67</v>
      </c>
      <c r="HZ7" s="35" t="s">
        <v>67</v>
      </c>
      <c r="IA7" s="35" t="s">
        <v>67</v>
      </c>
      <c r="IB7" s="35" t="s">
        <v>67</v>
      </c>
      <c r="IC7" s="35" t="s">
        <v>67</v>
      </c>
      <c r="ID7" s="35" t="s">
        <v>67</v>
      </c>
      <c r="IE7" s="35" t="s">
        <v>67</v>
      </c>
      <c r="IF7" s="35" t="s">
        <v>67</v>
      </c>
      <c r="IG7" s="35" t="s">
        <v>67</v>
      </c>
      <c r="IH7" s="35" t="s">
        <v>67</v>
      </c>
      <c r="II7" s="35" t="s">
        <v>67</v>
      </c>
      <c r="IJ7" s="35" t="s">
        <v>67</v>
      </c>
      <c r="IK7" s="35" t="s">
        <v>67</v>
      </c>
      <c r="IL7" s="36" t="s">
        <v>605</v>
      </c>
      <c r="IM7" s="36" t="s">
        <v>606</v>
      </c>
      <c r="IN7" s="36" t="s">
        <v>602</v>
      </c>
      <c r="IO7" s="35" t="s">
        <v>67</v>
      </c>
      <c r="IP7" s="36" t="s">
        <v>605</v>
      </c>
      <c r="IQ7" s="36" t="s">
        <v>606</v>
      </c>
      <c r="IR7" s="36" t="s">
        <v>602</v>
      </c>
      <c r="IS7" s="35" t="s">
        <v>67</v>
      </c>
      <c r="IT7" s="36" t="s">
        <v>605</v>
      </c>
      <c r="IU7" s="36" t="s">
        <v>606</v>
      </c>
      <c r="IV7" s="36" t="s">
        <v>602</v>
      </c>
      <c r="IW7" s="35" t="s">
        <v>67</v>
      </c>
      <c r="IX7" s="36" t="s">
        <v>605</v>
      </c>
      <c r="IY7" s="36" t="s">
        <v>606</v>
      </c>
      <c r="IZ7" s="36" t="s">
        <v>602</v>
      </c>
      <c r="JA7" s="35" t="s">
        <v>67</v>
      </c>
      <c r="JB7" s="36" t="s">
        <v>605</v>
      </c>
      <c r="JC7" s="36" t="s">
        <v>606</v>
      </c>
      <c r="JD7" s="36" t="s">
        <v>602</v>
      </c>
      <c r="JE7" s="35" t="s">
        <v>67</v>
      </c>
      <c r="JF7" s="36" t="s">
        <v>605</v>
      </c>
      <c r="JG7" s="36" t="s">
        <v>606</v>
      </c>
      <c r="JH7" s="36" t="s">
        <v>602</v>
      </c>
      <c r="JI7" s="35" t="s">
        <v>67</v>
      </c>
      <c r="JJ7" s="36" t="s">
        <v>605</v>
      </c>
      <c r="JK7" s="36" t="s">
        <v>606</v>
      </c>
      <c r="JL7" s="36" t="s">
        <v>602</v>
      </c>
      <c r="JM7" s="35" t="s">
        <v>67</v>
      </c>
      <c r="JN7" s="36" t="s">
        <v>605</v>
      </c>
      <c r="JO7" s="36" t="s">
        <v>606</v>
      </c>
      <c r="JP7" s="36" t="s">
        <v>602</v>
      </c>
      <c r="JQ7" s="35" t="s">
        <v>67</v>
      </c>
      <c r="JR7" s="36" t="s">
        <v>605</v>
      </c>
      <c r="JS7" s="36" t="s">
        <v>606</v>
      </c>
      <c r="JT7" s="36" t="s">
        <v>602</v>
      </c>
      <c r="JU7" s="35" t="s">
        <v>67</v>
      </c>
      <c r="JV7" s="36" t="s">
        <v>605</v>
      </c>
      <c r="JW7" s="36" t="s">
        <v>606</v>
      </c>
      <c r="JX7" s="36" t="s">
        <v>602</v>
      </c>
      <c r="JY7" s="36" t="s">
        <v>602</v>
      </c>
      <c r="JZ7" s="36" t="s">
        <v>602</v>
      </c>
      <c r="KA7" s="36" t="s">
        <v>662</v>
      </c>
      <c r="KB7" s="36" t="s">
        <v>663</v>
      </c>
      <c r="KC7" s="36" t="s">
        <v>664</v>
      </c>
      <c r="KD7" s="36" t="s">
        <v>665</v>
      </c>
      <c r="KE7" s="36" t="s">
        <v>666</v>
      </c>
      <c r="KF7" s="36" t="s">
        <v>616</v>
      </c>
      <c r="KG7" s="36" t="s">
        <v>667</v>
      </c>
      <c r="KH7" s="36" t="s">
        <v>668</v>
      </c>
      <c r="KI7" s="35" t="s">
        <v>603</v>
      </c>
      <c r="KJ7" s="35" t="s">
        <v>604</v>
      </c>
      <c r="KK7" s="36" t="s">
        <v>669</v>
      </c>
      <c r="KL7" s="36" t="s">
        <v>602</v>
      </c>
      <c r="KM7" s="36" t="s">
        <v>670</v>
      </c>
      <c r="KN7" s="36" t="s">
        <v>671</v>
      </c>
      <c r="KO7" s="36" t="s">
        <v>618</v>
      </c>
      <c r="KP7" s="36" t="s">
        <v>672</v>
      </c>
      <c r="KQ7" s="36" t="s">
        <v>673</v>
      </c>
      <c r="KR7" s="36" t="s">
        <v>611</v>
      </c>
      <c r="KS7" s="35" t="s">
        <v>72</v>
      </c>
      <c r="KT7" s="35" t="s">
        <v>603</v>
      </c>
      <c r="KU7" s="35" t="s">
        <v>603</v>
      </c>
      <c r="KV7" s="35" t="s">
        <v>603</v>
      </c>
      <c r="KW7" s="35" t="s">
        <v>603</v>
      </c>
      <c r="KX7" s="35" t="s">
        <v>72</v>
      </c>
      <c r="KY7" s="36" t="s">
        <v>602</v>
      </c>
      <c r="KZ7" s="36" t="s">
        <v>602</v>
      </c>
      <c r="LA7" s="36" t="s">
        <v>602</v>
      </c>
      <c r="LB7" s="35" t="s">
        <v>72</v>
      </c>
      <c r="LC7" s="35" t="s">
        <v>72</v>
      </c>
    </row>
    <row r="8" spans="1:315">
      <c r="B8" s="37" t="s">
        <v>619</v>
      </c>
      <c r="C8" s="37" t="s">
        <v>620</v>
      </c>
      <c r="D8" s="37" t="s">
        <v>620</v>
      </c>
      <c r="E8" s="37" t="s">
        <v>620</v>
      </c>
      <c r="F8" s="38"/>
      <c r="G8" s="38"/>
      <c r="H8" s="37" t="s">
        <v>620</v>
      </c>
      <c r="I8" s="37" t="s">
        <v>620</v>
      </c>
      <c r="J8" s="37" t="s">
        <v>620</v>
      </c>
      <c r="K8" s="37" t="s">
        <v>620</v>
      </c>
      <c r="L8" s="37" t="s">
        <v>620</v>
      </c>
      <c r="M8" s="37" t="s">
        <v>620</v>
      </c>
      <c r="N8" s="37" t="s">
        <v>620</v>
      </c>
      <c r="O8" s="37" t="s">
        <v>620</v>
      </c>
      <c r="P8" s="37" t="s">
        <v>620</v>
      </c>
      <c r="Q8" s="37" t="s">
        <v>620</v>
      </c>
      <c r="R8" s="37" t="s">
        <v>620</v>
      </c>
      <c r="S8" s="37" t="s">
        <v>620</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7" t="s">
        <v>620</v>
      </c>
      <c r="HF8" s="37" t="s">
        <v>620</v>
      </c>
      <c r="HG8" s="37" t="s">
        <v>620</v>
      </c>
      <c r="HH8" s="37" t="s">
        <v>620</v>
      </c>
      <c r="HI8" s="37" t="s">
        <v>620</v>
      </c>
      <c r="HJ8" s="37" t="s">
        <v>620</v>
      </c>
      <c r="HK8" s="37" t="s">
        <v>620</v>
      </c>
      <c r="HL8" s="37" t="s">
        <v>620</v>
      </c>
      <c r="HM8" s="37" t="s">
        <v>620</v>
      </c>
      <c r="HN8" s="37" t="s">
        <v>620</v>
      </c>
      <c r="HO8" s="37" t="s">
        <v>620</v>
      </c>
      <c r="HP8" s="37" t="s">
        <v>620</v>
      </c>
      <c r="HQ8" s="37" t="s">
        <v>620</v>
      </c>
      <c r="HR8" s="37" t="s">
        <v>620</v>
      </c>
      <c r="HS8" s="37" t="s">
        <v>620</v>
      </c>
      <c r="HT8" s="37" t="s">
        <v>620</v>
      </c>
      <c r="HU8" s="37" t="s">
        <v>620</v>
      </c>
      <c r="HV8" s="37" t="s">
        <v>620</v>
      </c>
      <c r="HW8" s="37" t="s">
        <v>620</v>
      </c>
      <c r="HX8" s="37" t="s">
        <v>620</v>
      </c>
      <c r="HY8" s="37" t="s">
        <v>620</v>
      </c>
      <c r="HZ8" s="37" t="s">
        <v>620</v>
      </c>
      <c r="IA8" s="37" t="s">
        <v>620</v>
      </c>
      <c r="IB8" s="37" t="s">
        <v>620</v>
      </c>
      <c r="IC8" s="37" t="s">
        <v>620</v>
      </c>
      <c r="ID8" s="37" t="s">
        <v>620</v>
      </c>
      <c r="IE8" s="37" t="s">
        <v>620</v>
      </c>
      <c r="IF8" s="37" t="s">
        <v>620</v>
      </c>
      <c r="IG8" s="37" t="s">
        <v>620</v>
      </c>
      <c r="IH8" s="37" t="s">
        <v>620</v>
      </c>
      <c r="II8" s="37" t="s">
        <v>620</v>
      </c>
      <c r="IJ8" s="37" t="s">
        <v>620</v>
      </c>
      <c r="IK8" s="37" t="s">
        <v>620</v>
      </c>
      <c r="IL8" s="37" t="s">
        <v>620</v>
      </c>
      <c r="IM8" s="37" t="s">
        <v>620</v>
      </c>
      <c r="IN8" s="37" t="s">
        <v>620</v>
      </c>
      <c r="IO8" s="37" t="s">
        <v>620</v>
      </c>
      <c r="IP8" s="37" t="s">
        <v>620</v>
      </c>
      <c r="IQ8" s="37" t="s">
        <v>620</v>
      </c>
      <c r="IR8" s="37" t="s">
        <v>620</v>
      </c>
      <c r="IS8" s="37" t="s">
        <v>620</v>
      </c>
      <c r="IT8" s="37" t="s">
        <v>620</v>
      </c>
      <c r="IU8" s="37" t="s">
        <v>620</v>
      </c>
      <c r="IV8" s="37" t="s">
        <v>620</v>
      </c>
      <c r="IW8" s="37" t="s">
        <v>620</v>
      </c>
      <c r="IX8" s="37" t="s">
        <v>620</v>
      </c>
      <c r="IY8" s="37" t="s">
        <v>620</v>
      </c>
      <c r="IZ8" s="37" t="s">
        <v>620</v>
      </c>
      <c r="JA8" s="37" t="s">
        <v>620</v>
      </c>
      <c r="JB8" s="37" t="s">
        <v>620</v>
      </c>
      <c r="JC8" s="37" t="s">
        <v>620</v>
      </c>
      <c r="JD8" s="37" t="s">
        <v>620</v>
      </c>
      <c r="JE8" s="37" t="s">
        <v>620</v>
      </c>
      <c r="JF8" s="37" t="s">
        <v>620</v>
      </c>
      <c r="JG8" s="37" t="s">
        <v>620</v>
      </c>
      <c r="JH8" s="37" t="s">
        <v>620</v>
      </c>
      <c r="JI8" s="37" t="s">
        <v>620</v>
      </c>
      <c r="JJ8" s="37" t="s">
        <v>620</v>
      </c>
      <c r="JK8" s="37" t="s">
        <v>620</v>
      </c>
      <c r="JL8" s="37" t="s">
        <v>620</v>
      </c>
      <c r="JM8" s="37" t="s">
        <v>620</v>
      </c>
      <c r="JN8" s="37" t="s">
        <v>620</v>
      </c>
      <c r="JO8" s="37" t="s">
        <v>620</v>
      </c>
      <c r="JP8" s="37" t="s">
        <v>620</v>
      </c>
      <c r="JQ8" s="37" t="s">
        <v>620</v>
      </c>
      <c r="JR8" s="37" t="s">
        <v>620</v>
      </c>
      <c r="JS8" s="37" t="s">
        <v>620</v>
      </c>
      <c r="JT8" s="37" t="s">
        <v>620</v>
      </c>
      <c r="JU8" s="37" t="s">
        <v>620</v>
      </c>
      <c r="JV8" s="37" t="s">
        <v>620</v>
      </c>
      <c r="JW8" s="37" t="s">
        <v>620</v>
      </c>
      <c r="JX8" s="37" t="s">
        <v>620</v>
      </c>
      <c r="JY8" s="38"/>
      <c r="JZ8" s="38"/>
      <c r="KA8" s="38"/>
      <c r="KB8" s="38"/>
      <c r="KC8" s="38"/>
      <c r="KD8" s="38"/>
      <c r="KE8" s="38"/>
      <c r="KF8" s="38"/>
      <c r="KG8" s="38"/>
      <c r="KH8" s="38"/>
      <c r="KI8" s="38"/>
      <c r="KJ8" s="38"/>
      <c r="KK8" s="38"/>
      <c r="KL8" s="38"/>
      <c r="KM8" s="38"/>
      <c r="KN8" s="38"/>
      <c r="KO8" s="38"/>
      <c r="KP8" s="38"/>
      <c r="KQ8" s="38"/>
      <c r="KR8" s="38"/>
      <c r="KS8" s="38"/>
      <c r="KT8" s="38"/>
      <c r="KU8" s="38"/>
      <c r="KV8" s="38"/>
      <c r="KW8" s="38"/>
      <c r="KX8" s="38"/>
      <c r="KY8" s="38"/>
      <c r="KZ8" s="38"/>
      <c r="LA8" s="38"/>
      <c r="LB8" s="38"/>
      <c r="LC8" s="38"/>
    </row>
    <row r="9" spans="1:315">
      <c r="A9" cm="1">
        <f t="array" ref="A9">_xlfn.BYROW('6161-S-WUO_TRK'!B9:LC508, _xlfn.LAMBDA(_xlpm.r, _xlfn.LET(_xlpm.high_priority_idx, IFERROR(MATCH(TRUE, (_xlpm.r = "Error") + (_xlpm.r = "Required") &gt; 0, 0), 0), IF(_xlpm.high_priority_idx &gt; 0, _xlpm.high_priority_idx + 1, IFERROR(MATCH(1, (_xlpm.r = "Warning") * 1, 0) + 1, "")))))</f>
        <v>0</v>
      </c>
      <c r="B9" s="22" cm="1">
        <f t="array" ref="B9">_xlfn.MAP('6161 - Wallpaper (S)'!B9:B508, '6161 - Wallpaper (S)'!B9:B508, '6161-S-WUO_ERR'!B9:B508, _xlfn.LAMBDA(_xlpm.part, _xlpm.val, _xlpm.error, IF(_xlpm.part = "", "", IF(LEN(_xlpm.error), _xlfn.SWITCH(IFERROR(_xlfn.TEXTBEFORE(_xlpm.error,":"), ""), "1", "Error", "2", "Disabled", "3", "Required", "4", "Warning", "Valid"), "Valid"))))</f>
        <v>0</v>
      </c>
      <c r="C9" s="22" cm="1">
        <f t="array" ref="C9">_xlfn.MAP('6161 - Wallpaper (S)'!B9:B508, '6161 - Wallpaper (S)'!C9:C508, '6161-S-WUO_ERR'!C9:C508, _xlfn.LAMBDA(_xlpm.part, _xlpm.val, _xlpm.error, IF(_xlpm.part = "", "", IF(LEN(_xlpm.error), _xlfn.SWITCH(IFERROR(_xlfn.TEXTBEFORE(_xlpm.error,":"), ""), "1", "Error", "2", "Disabled", "3", "Required", "4", "Warning", "Valid"), "Valid"))))</f>
        <v>0</v>
      </c>
      <c r="D9" s="22" cm="1">
        <f t="array" ref="D9">_xlfn.MAP('6161 - Wallpaper (S)'!B9:B508, '6161 - Wallpaper (S)'!D9:D508, '6161-S-WUO_ERR'!D9:D508, _xlfn.LAMBDA(_xlpm.part, _xlpm.val, _xlpm.error, IF(_xlpm.part = "", "", IF(LEN(_xlpm.error), _xlfn.SWITCH(IFERROR(_xlfn.TEXTBEFORE(_xlpm.error,":"), ""), "1", "Error", "2", "Disabled", "3", "Required", "4", "Warning", "Valid"), "Valid"))))</f>
        <v>0</v>
      </c>
      <c r="E9" s="22" cm="1">
        <f t="array" ref="E9">_xlfn.MAP('6161 - Wallpaper (S)'!B9:B508, '6161 - Wallpaper (S)'!E9:E508, '6161-S-WUO_ERR'!E9:E508, _xlfn.LAMBDA(_xlpm.part, _xlpm.val, _xlpm.error, IF(_xlpm.part = "", "", IF(LEN(_xlpm.error), _xlfn.SWITCH(IFERROR(_xlfn.TEXTBEFORE(_xlpm.error,":"), ""), "1", "Error", "2", "Disabled", "3", "Required", "4", "Warning", "Valid"), "Valid"))))</f>
        <v>0</v>
      </c>
      <c r="F9" s="22" cm="1">
        <f t="array" ref="F9">_xlfn.MAP('6161 - Wallpaper (S)'!B9:B508, '6161 - Wallpaper (S)'!F9:F508, '6161-S-WUO_ERR'!F9:F508, _xlfn.LAMBDA(_xlpm.part, _xlpm.val, _xlpm.error, IF(_xlpm.part = "", "", IF(LEN(_xlpm.error), _xlfn.SWITCH(IFERROR(_xlfn.TEXTBEFORE(_xlpm.error,":"), ""), "1", "Error", "2", "Disabled", "3", "Required", "4", "Warning", "Valid"), "Valid"))))</f>
        <v>0</v>
      </c>
      <c r="G9" s="22" cm="1">
        <f t="array" ref="G9">_xlfn.MAP('6161 - Wallpaper (S)'!B9:B508, '6161 - Wallpaper (S)'!G9:G508, '6161-S-WUO_ERR'!G9:G508, _xlfn.LAMBDA(_xlpm.part, _xlpm.val, _xlpm.error, IF(_xlpm.part = "", "", IF(LEN(_xlpm.error), _xlfn.SWITCH(IFERROR(_xlfn.TEXTBEFORE(_xlpm.error,":"), ""), "1", "Error", "2", "Disabled", "3", "Required", "4", "Warning", "Valid"), "Valid"))))</f>
        <v>0</v>
      </c>
      <c r="H9" s="22" cm="1">
        <f t="array" ref="H9">_xlfn.MAP('6161 - Wallpaper (S)'!B9:B508, '6161 - Wallpaper (S)'!H9:H508, '6161-S-WUO_ERR'!H9:H508, _xlfn.LAMBDA(_xlpm.part, _xlpm.val, _xlpm.error, IF(_xlpm.part = "", "", IF(LEN(_xlpm.error), _xlfn.SWITCH(IFERROR(_xlfn.TEXTBEFORE(_xlpm.error,":"), ""), "1", "Error", "2", "Disabled", "3", "Required", "4", "Warning", "Valid"), "Valid"))))</f>
        <v>0</v>
      </c>
      <c r="I9" s="22" cm="1">
        <f t="array" ref="I9">_xlfn.MAP('6161 - Wallpaper (S)'!B9:B508, '6161 - Wallpaper (S)'!I9:I508, '6161-S-WUO_ERR'!I9:I508, _xlfn.LAMBDA(_xlpm.part, _xlpm.val, _xlpm.error, IF(_xlpm.part = "", "", IF(LEN(_xlpm.error), _xlfn.SWITCH(IFERROR(_xlfn.TEXTBEFORE(_xlpm.error,":"), ""), "1", "Error", "2", "Disabled", "3", "Required", "4", "Warning", "Valid"), "Valid"))))</f>
        <v>0</v>
      </c>
      <c r="J9" s="22" cm="1">
        <f t="array" ref="J9">_xlfn.MAP('6161 - Wallpaper (S)'!B9:B508, '6161 - Wallpaper (S)'!J9:J508, '6161-S-WUO_ERR'!J9:J508, _xlfn.LAMBDA(_xlpm.part, _xlpm.val, _xlpm.error, IF(_xlpm.part = "", "", IF(LEN(_xlpm.error), _xlfn.SWITCH(IFERROR(_xlfn.TEXTBEFORE(_xlpm.error,":"), ""), "1", "Error", "2", "Disabled", "3", "Required", "4", "Warning", "Valid"), "Valid"))))</f>
        <v>0</v>
      </c>
      <c r="K9" s="22" cm="1">
        <f t="array" ref="K9">_xlfn.MAP('6161 - Wallpaper (S)'!B9:B508, '6161 - Wallpaper (S)'!K9:K508, '6161-S-WUO_ERR'!K9:K508, _xlfn.LAMBDA(_xlpm.part, _xlpm.val, _xlpm.error, IF(_xlpm.part = "", "", IF(LEN(_xlpm.error), _xlfn.SWITCH(IFERROR(_xlfn.TEXTBEFORE(_xlpm.error,":"), ""), "1", "Error", "2", "Disabled", "3", "Required", "4", "Warning", "Valid"), "Valid"))))</f>
        <v>0</v>
      </c>
      <c r="P9" s="22" cm="1">
        <f t="array" ref="P9">_xlfn.MAP('6161 - Wallpaper (S)'!B9:B508, '6161 - Wallpaper (S)'!P9:P508, '6161-S-WUO_ERR'!P9:P508, _xlfn.LAMBDA(_xlpm.part, _xlpm.val, _xlpm.error, IF(_xlpm.part = "", "", IF(LEN(_xlpm.error), _xlfn.SWITCH(IFERROR(_xlfn.TEXTBEFORE(_xlpm.error,":"), ""), "1", "Error", "2", "Disabled", "3", "Required", "4", "Warning", "Valid"), "Valid"))))</f>
        <v>0</v>
      </c>
      <c r="Q9" s="22" cm="1">
        <f t="array" ref="Q9">_xlfn.MAP('6161 - Wallpaper (S)'!B9:B508, '6161 - Wallpaper (S)'!Q9:Q508, '6161-S-WUO_ERR'!Q9:Q508, _xlfn.LAMBDA(_xlpm.part, _xlpm.val, _xlpm.error, IF(_xlpm.part = "", "", IF(LEN(_xlpm.error), _xlfn.SWITCH(IFERROR(_xlfn.TEXTBEFORE(_xlpm.error,":"), ""), "1", "Error", "2", "Disabled", "3", "Required", "4", "Warning", "Valid"), "Valid"))))</f>
        <v>0</v>
      </c>
      <c r="R9" s="22" cm="1">
        <f t="array" ref="R9">_xlfn.MAP('6161 - Wallpaper (S)'!B9:B508, '6161 - Wallpaper (S)'!R9:R508, '6161-S-WUO_ERR'!R9:R508, _xlfn.LAMBDA(_xlpm.part, _xlpm.val, _xlpm.error, IF(_xlpm.part = "", "", IF(LEN(_xlpm.error), _xlfn.SWITCH(IFERROR(_xlfn.TEXTBEFORE(_xlpm.error,":"), ""), "1", "Error", "2", "Disabled", "3", "Required", "4", "Warning", "Valid"), "Valid"))))</f>
        <v>0</v>
      </c>
      <c r="S9" s="22" cm="1">
        <f t="array" ref="S9">_xlfn.MAP('6161 - Wallpaper (S)'!B9:B508, '6161 - Wallpaper (S)'!S9:S508, '6161-S-WUO_ERR'!S9:S508, _xlfn.LAMBDA(_xlpm.part, _xlpm.val, _xlpm.error, IF(_xlpm.part = "", "", IF(LEN(_xlpm.error), _xlfn.SWITCH(IFERROR(_xlfn.TEXTBEFORE(_xlpm.error,":"), ""), "1", "Error", "2", "Disabled", "3", "Required", "4", "Warning", "Valid"), "Valid"))))</f>
        <v>0</v>
      </c>
      <c r="T9" s="22" cm="1">
        <f t="array" ref="T9">_xlfn.MAP('6161 - Wallpaper (S)'!B9:B508, '6161 - Wallpaper (S)'!T9:T508, '6161-S-WUO_ERR'!T9:T508, _xlfn.LAMBDA(_xlpm.part, _xlpm.val, _xlpm.error, IF(_xlpm.part = "", "", IF(LEN(_xlpm.error), _xlfn.SWITCH(IFERROR(_xlfn.TEXTBEFORE(_xlpm.error,":"), ""), "1", "Error", "2", "Disabled", "3", "Required", "4", "Warning", "Valid"), "Valid"))))</f>
        <v>0</v>
      </c>
      <c r="U9" s="22" cm="1">
        <f t="array" ref="U9">_xlfn.MAP('6161 - Wallpaper (S)'!B9:B508, '6161 - Wallpaper (S)'!U9:U508, '6161-S-WUO_ERR'!U9:U508, _xlfn.LAMBDA(_xlpm.part, _xlpm.val, _xlpm.error, IF(_xlpm.part = "", "", IF(LEN(_xlpm.error), _xlfn.SWITCH(IFERROR(_xlfn.TEXTBEFORE(_xlpm.error,":"), ""), "1", "Error", "2", "Disabled", "3", "Required", "4", "Warning", "Valid"), "Valid"))))</f>
        <v>0</v>
      </c>
      <c r="V9" s="22" cm="1">
        <f t="array" ref="V9">_xlfn.MAP('6161 - Wallpaper (S)'!B9:B508, '6161 - Wallpaper (S)'!V9:V508, '6161-S-WUO_ERR'!V9:V508, _xlfn.LAMBDA(_xlpm.part, _xlpm.val, _xlpm.error, IF(_xlpm.part = "", "", IF(LEN(_xlpm.error), _xlfn.SWITCH(IFERROR(_xlfn.TEXTBEFORE(_xlpm.error,":"), ""), "1", "Error", "2", "Disabled", "3", "Required", "4", "Warning", "Valid"), "Valid"))))</f>
        <v>0</v>
      </c>
      <c r="W9" s="22" cm="1">
        <f t="array" ref="W9">_xlfn.MAP('6161 - Wallpaper (S)'!B9:B508, '6161 - Wallpaper (S)'!W9:W508, '6161-S-WUO_ERR'!W9:W508, _xlfn.LAMBDA(_xlpm.part, _xlpm.val, _xlpm.error, IF(_xlpm.part = "", "", IF(LEN(_xlpm.error), _xlfn.SWITCH(IFERROR(_xlfn.TEXTBEFORE(_xlpm.error,":"), ""), "1", "Error", "2", "Disabled", "3", "Required", "4", "Warning", "Valid"), "Valid"))))</f>
        <v>0</v>
      </c>
      <c r="AC9" s="22" cm="1">
        <f t="array" ref="AC9">_xlfn.MAP('6161 - Wallpaper (S)'!B9:B508, '6161 - Wallpaper (S)'!AC9:AC508, '6161-S-WUO_ERR'!AC9:AC508, _xlfn.LAMBDA(_xlpm.part, _xlpm.val, _xlpm.error, IF(_xlpm.part = "", "", IF(LEN(_xlpm.error), _xlfn.SWITCH(IFERROR(_xlfn.TEXTBEFORE(_xlpm.error,":"), ""), "1", "Error", "2", "Disabled", "3", "Required", "4", "Warning", "Valid"), "Valid"))))</f>
        <v>0</v>
      </c>
      <c r="AD9" s="22" cm="1">
        <f t="array" ref="AD9">_xlfn.MAP('6161 - Wallpaper (S)'!B9:B508, '6161 - Wallpaper (S)'!AD9:AD508, '6161-S-WUO_ERR'!AD9:AD508, _xlfn.LAMBDA(_xlpm.part, _xlpm.val, _xlpm.error, IF(_xlpm.part = "", "", IF(LEN(_xlpm.error), _xlfn.SWITCH(IFERROR(_xlfn.TEXTBEFORE(_xlpm.error,":"), ""), "1", "Error", "2", "Disabled", "3", "Required", "4", "Warning", "Valid"), "Valid"))))</f>
        <v>0</v>
      </c>
      <c r="AE9" s="22" cm="1">
        <f t="array" ref="AE9">_xlfn.MAP('6161 - Wallpaper (S)'!B9:B508, '6161 - Wallpaper (S)'!AE9:AE508, '6161-S-WUO_ERR'!AE9:AE508, _xlfn.LAMBDA(_xlpm.part, _xlpm.val, _xlpm.error, IF(_xlpm.part = "", "", IF(LEN(_xlpm.error), _xlfn.SWITCH(IFERROR(_xlfn.TEXTBEFORE(_xlpm.error,":"), ""), "1", "Error", "2", "Disabled", "3", "Required", "4", "Warning", "Valid"), "Valid"))))</f>
        <v>0</v>
      </c>
      <c r="AF9" s="22" cm="1">
        <f t="array" ref="AF9">_xlfn.MAP('6161 - Wallpaper (S)'!B9:B508, '6161 - Wallpaper (S)'!AF9:AF508, '6161-S-WUO_ERR'!AF9:AF508, _xlfn.LAMBDA(_xlpm.part, _xlpm.val, _xlpm.error, IF(_xlpm.part = "", "", IF(LEN(_xlpm.error), _xlfn.SWITCH(IFERROR(_xlfn.TEXTBEFORE(_xlpm.error,":"), ""), "1", "Error", "2", "Disabled", "3", "Required", "4", "Warning", "Valid"), "Valid"))))</f>
        <v>0</v>
      </c>
      <c r="AG9" s="22" cm="1">
        <f t="array" ref="AG9">_xlfn.MAP('6161 - Wallpaper (S)'!B9:B508, '6161 - Wallpaper (S)'!AG9:AG508, '6161-S-WUO_ERR'!AG9:AG508, _xlfn.LAMBDA(_xlpm.part, _xlpm.val, _xlpm.error, IF(_xlpm.part = "", "", IF(LEN(_xlpm.error), _xlfn.SWITCH(IFERROR(_xlfn.TEXTBEFORE(_xlpm.error,":"), ""), "1", "Error", "2", "Disabled", "3", "Required", "4", "Warning", "Valid"), "Valid"))))</f>
        <v>0</v>
      </c>
      <c r="AH9" s="22" cm="1">
        <f t="array" ref="AH9">_xlfn.MAP('6161 - Wallpaper (S)'!B9:B508, '6161 - Wallpaper (S)'!AH9:AH508, '6161-S-WUO_ERR'!AH9:AH508, _xlfn.LAMBDA(_xlpm.part, _xlpm.val, _xlpm.error, IF(_xlpm.part = "", "", IF(LEN(_xlpm.error), _xlfn.SWITCH(IFERROR(_xlfn.TEXTBEFORE(_xlpm.error,":"), ""), "1", "Error", "2", "Disabled", "3", "Required", "4", "Warning", "Valid"), "Valid"))))</f>
        <v>0</v>
      </c>
      <c r="AI9" s="22" cm="1">
        <f t="array" ref="AI9">_xlfn.MAP('6161 - Wallpaper (S)'!B9:B508, '6161 - Wallpaper (S)'!AI9:AI508, '6161-S-WUO_ERR'!AI9:AI508, _xlfn.LAMBDA(_xlpm.part, _xlpm.val, _xlpm.error, IF(_xlpm.part = "", "", IF(LEN(_xlpm.error), _xlfn.SWITCH(IFERROR(_xlfn.TEXTBEFORE(_xlpm.error,":"), ""), "1", "Error", "2", "Disabled", "3", "Required", "4", "Warning", "Valid"), "Valid"))))</f>
        <v>0</v>
      </c>
      <c r="AJ9" s="22" cm="1">
        <f t="array" ref="AJ9">_xlfn.MAP('6161 - Wallpaper (S)'!B9:B508, '6161 - Wallpaper (S)'!AJ9:AJ508, '6161-S-WUO_ERR'!AJ9:AJ508, _xlfn.LAMBDA(_xlpm.part, _xlpm.val, _xlpm.error, IF(_xlpm.part = "", "", IF(LEN(_xlpm.error), _xlfn.SWITCH(IFERROR(_xlfn.TEXTBEFORE(_xlpm.error,":"), ""), "1", "Error", "2", "Disabled", "3", "Required", "4", "Warning", "Valid"), "Valid"))))</f>
        <v>0</v>
      </c>
      <c r="AK9" s="22" cm="1">
        <f t="array" ref="AK9">_xlfn.MAP('6161 - Wallpaper (S)'!B9:B508, '6161 - Wallpaper (S)'!AK9:AK508, '6161-S-WUO_ERR'!AK9:AK508, _xlfn.LAMBDA(_xlpm.part, _xlpm.val, _xlpm.error, IF(_xlpm.part = "", "", IF(LEN(_xlpm.error), _xlfn.SWITCH(IFERROR(_xlfn.TEXTBEFORE(_xlpm.error,":"), ""), "1", "Error", "2", "Disabled", "3", "Required", "4", "Warning", "Valid"), "Valid"))))</f>
        <v>0</v>
      </c>
      <c r="AL9" s="22" cm="1">
        <f t="array" ref="AL9">_xlfn.MAP('6161 - Wallpaper (S)'!B9:B508, '6161 - Wallpaper (S)'!AL9:AL508, '6161-S-WUO_ERR'!AL9:AL508, _xlfn.LAMBDA(_xlpm.part, _xlpm.val, _xlpm.error, IF(_xlpm.part = "", "", IF(LEN(_xlpm.error), _xlfn.SWITCH(IFERROR(_xlfn.TEXTBEFORE(_xlpm.error,":"), ""), "1", "Error", "2", "Disabled", "3", "Required", "4", "Warning", "Valid"), "Valid"))))</f>
        <v>0</v>
      </c>
      <c r="AM9" s="22" cm="1">
        <f t="array" ref="AM9">_xlfn.MAP('6161 - Wallpaper (S)'!B9:B508, '6161 - Wallpaper (S)'!AM9:AM508, '6161-S-WUO_ERR'!AM9:AM508, _xlfn.LAMBDA(_xlpm.part, _xlpm.val, _xlpm.error, IF(_xlpm.part = "", "", IF(LEN(_xlpm.error), _xlfn.SWITCH(IFERROR(_xlfn.TEXTBEFORE(_xlpm.error,":"), ""), "1", "Error", "2", "Disabled", "3", "Required", "4", "Warning", "Valid"), "Valid"))))</f>
        <v>0</v>
      </c>
      <c r="AN9" s="22" cm="1">
        <f t="array" ref="AN9">_xlfn.MAP('6161 - Wallpaper (S)'!B9:B508, '6161 - Wallpaper (S)'!AN9:AN508, '6161-S-WUO_ERR'!AN9:AN508, _xlfn.LAMBDA(_xlpm.part, _xlpm.val, _xlpm.error, IF(_xlpm.part = "", "", IF(LEN(_xlpm.error), _xlfn.SWITCH(IFERROR(_xlfn.TEXTBEFORE(_xlpm.error,":"), ""), "1", "Error", "2", "Disabled", "3", "Required", "4", "Warning", "Valid"), "Valid"))))</f>
        <v>0</v>
      </c>
      <c r="AO9" s="22" cm="1">
        <f t="array" ref="AO9">_xlfn.MAP('6161 - Wallpaper (S)'!B9:B508, '6161 - Wallpaper (S)'!AO9:AO508, '6161-S-WUO_ERR'!AO9:AO508, _xlfn.LAMBDA(_xlpm.part, _xlpm.val, _xlpm.error, IF(_xlpm.part = "", "", IF(LEN(_xlpm.error), _xlfn.SWITCH(IFERROR(_xlfn.TEXTBEFORE(_xlpm.error,":"), ""), "1", "Error", "2", "Disabled", "3", "Required", "4", "Warning", "Valid"), "Valid"))))</f>
        <v>0</v>
      </c>
      <c r="AP9" s="22" cm="1">
        <f t="array" ref="AP9">_xlfn.MAP('6161 - Wallpaper (S)'!B9:B508, '6161 - Wallpaper (S)'!AP9:AP508, '6161-S-WUO_ERR'!AP9:AP508, _xlfn.LAMBDA(_xlpm.part, _xlpm.val, _xlpm.error, IF(_xlpm.part = "", "", IF(LEN(_xlpm.error), _xlfn.SWITCH(IFERROR(_xlfn.TEXTBEFORE(_xlpm.error,":"), ""), "1", "Error", "2", "Disabled", "3", "Required", "4", "Warning", "Valid"), "Valid"))))</f>
        <v>0</v>
      </c>
      <c r="AQ9" s="22" cm="1">
        <f t="array" ref="AQ9">_xlfn.MAP('6161 - Wallpaper (S)'!B9:B508, '6161 - Wallpaper (S)'!AQ9:AQ508, '6161-S-WUO_ERR'!AQ9:AQ508, _xlfn.LAMBDA(_xlpm.part, _xlpm.val, _xlpm.error, IF(_xlpm.part = "", "", IF(LEN(_xlpm.error), _xlfn.SWITCH(IFERROR(_xlfn.TEXTBEFORE(_xlpm.error,":"), ""), "1", "Error", "2", "Disabled", "3", "Required", "4", "Warning", "Valid"), "Valid"))))</f>
        <v>0</v>
      </c>
      <c r="AR9" s="22" cm="1">
        <f t="array" ref="AR9">_xlfn.MAP('6161 - Wallpaper (S)'!B9:B508, '6161 - Wallpaper (S)'!AR9:AR508, '6161-S-WUO_ERR'!AR9:AR508, _xlfn.LAMBDA(_xlpm.part, _xlpm.val, _xlpm.error, IF(_xlpm.part = "", "", IF(LEN(_xlpm.error), _xlfn.SWITCH(IFERROR(_xlfn.TEXTBEFORE(_xlpm.error,":"), ""), "1", "Error", "2", "Disabled", "3", "Required", "4", "Warning", "Valid"), "Valid"))))</f>
        <v>0</v>
      </c>
      <c r="AS9" s="22" cm="1">
        <f t="array" ref="AS9">_xlfn.MAP('6161 - Wallpaper (S)'!B9:B508, '6161 - Wallpaper (S)'!AS9:AS508, '6161-S-WUO_ERR'!AS9:AS508, _xlfn.LAMBDA(_xlpm.part, _xlpm.val, _xlpm.error, IF(_xlpm.part = "", "", IF(LEN(_xlpm.error), _xlfn.SWITCH(IFERROR(_xlfn.TEXTBEFORE(_xlpm.error,":"), ""), "1", "Error", "2", "Disabled", "3", "Required", "4", "Warning", "Valid"), "Valid"))))</f>
        <v>0</v>
      </c>
      <c r="AT9" s="22" cm="1">
        <f t="array" ref="AT9">_xlfn.MAP('6161 - Wallpaper (S)'!B9:B508, '6161 - Wallpaper (S)'!AT9:AT508, '6161-S-WUO_ERR'!AT9:AT508, _xlfn.LAMBDA(_xlpm.part, _xlpm.val, _xlpm.error, IF(_xlpm.part = "", "", IF(LEN(_xlpm.error), _xlfn.SWITCH(IFERROR(_xlfn.TEXTBEFORE(_xlpm.error,":"), ""), "1", "Error", "2", "Disabled", "3", "Required", "4", "Warning", "Valid"), "Valid"))))</f>
        <v>0</v>
      </c>
      <c r="AU9" s="22" cm="1">
        <f t="array" ref="AU9">_xlfn.MAP('6161 - Wallpaper (S)'!B9:B508, '6161 - Wallpaper (S)'!AU9:AU508, '6161-S-WUO_ERR'!AU9:AU508, _xlfn.LAMBDA(_xlpm.part, _xlpm.val, _xlpm.error, IF(_xlpm.part = "", "", IF(LEN(_xlpm.error), _xlfn.SWITCH(IFERROR(_xlfn.TEXTBEFORE(_xlpm.error,":"), ""), "1", "Error", "2", "Disabled", "3", "Required", "4", "Warning", "Valid"), "Valid"))))</f>
        <v>0</v>
      </c>
      <c r="AV9" s="22" cm="1">
        <f t="array" ref="AV9">_xlfn.MAP('6161 - Wallpaper (S)'!B9:B508, '6161 - Wallpaper (S)'!AV9:AV508, '6161-S-WUO_ERR'!AV9:AV508, _xlfn.LAMBDA(_xlpm.part, _xlpm.val, _xlpm.error, IF(_xlpm.part = "", "", IF(LEN(_xlpm.error), _xlfn.SWITCH(IFERROR(_xlfn.TEXTBEFORE(_xlpm.error,":"), ""), "1", "Error", "2", "Disabled", "3", "Required", "4", "Warning", "Valid"), "Valid"))))</f>
        <v>0</v>
      </c>
      <c r="AW9" s="22" cm="1">
        <f t="array" ref="AW9">_xlfn.MAP('6161 - Wallpaper (S)'!B9:B508, '6161 - Wallpaper (S)'!AW9:AW508, '6161-S-WUO_ERR'!AW9:AW508, _xlfn.LAMBDA(_xlpm.part, _xlpm.val, _xlpm.error, IF(_xlpm.part = "", "", IF(LEN(_xlpm.error), _xlfn.SWITCH(IFERROR(_xlfn.TEXTBEFORE(_xlpm.error,":"), ""), "1", "Error", "2", "Disabled", "3", "Required", "4", "Warning", "Valid"), "Valid"))))</f>
        <v>0</v>
      </c>
      <c r="AX9" s="22" cm="1">
        <f t="array" ref="AX9">_xlfn.MAP('6161 - Wallpaper (S)'!B9:B508, '6161 - Wallpaper (S)'!AX9:AX508, '6161-S-WUO_ERR'!AX9:AX508, _xlfn.LAMBDA(_xlpm.part, _xlpm.val, _xlpm.error, IF(_xlpm.part = "", "", IF(LEN(_xlpm.error), _xlfn.SWITCH(IFERROR(_xlfn.TEXTBEFORE(_xlpm.error,":"), ""), "1", "Error", "2", "Disabled", "3", "Required", "4", "Warning", "Valid"), "Valid"))))</f>
        <v>0</v>
      </c>
      <c r="AY9" s="22" cm="1">
        <f t="array" ref="AY9">_xlfn.MAP('6161 - Wallpaper (S)'!B9:B508, '6161 - Wallpaper (S)'!AY9:AY508, '6161-S-WUO_ERR'!AY9:AY508, _xlfn.LAMBDA(_xlpm.part, _xlpm.val, _xlpm.error, IF(_xlpm.part = "", "", IF(LEN(_xlpm.error), _xlfn.SWITCH(IFERROR(_xlfn.TEXTBEFORE(_xlpm.error,":"), ""), "1", "Error", "2", "Disabled", "3", "Required", "4", "Warning", "Valid"), "Valid"))))</f>
        <v>0</v>
      </c>
      <c r="AZ9" s="22" cm="1">
        <f t="array" ref="AZ9">_xlfn.MAP('6161 - Wallpaper (S)'!B9:B508, '6161 - Wallpaper (S)'!AZ9:AZ508, '6161-S-WUO_ERR'!AZ9:AZ508, _xlfn.LAMBDA(_xlpm.part, _xlpm.val, _xlpm.error, IF(_xlpm.part = "", "", IF(LEN(_xlpm.error), _xlfn.SWITCH(IFERROR(_xlfn.TEXTBEFORE(_xlpm.error,":"), ""), "1", "Error", "2", "Disabled", "3", "Required", "4", "Warning", "Valid"), "Valid"))))</f>
        <v>0</v>
      </c>
      <c r="GS9" s="22" cm="1">
        <f t="array" ref="GS9">_xlfn.MAP('6161 - Wallpaper (S)'!B9:B508, '6161 - Wallpaper (S)'!GS9:GS508, '6161-S-WUO_ERR'!GS9:GS508, _xlfn.LAMBDA(_xlpm.part, _xlpm.val, _xlpm.error, IF(_xlpm.part = "", "", IF(LEN(_xlpm.error), _xlfn.SWITCH(IFERROR(_xlfn.TEXTBEFORE(_xlpm.error,":"), ""), "1", "Error", "2", "Disabled", "3", "Required", "4", "Warning", "Valid"), "Valid"))))</f>
        <v>0</v>
      </c>
      <c r="GT9" s="22" cm="1">
        <f t="array" ref="GT9">_xlfn.MAP('6161 - Wallpaper (S)'!B9:B508, '6161 - Wallpaper (S)'!GT9:GT508, '6161-S-WUO_ERR'!GT9:GT508, _xlfn.LAMBDA(_xlpm.part, _xlpm.val, _xlpm.error, IF(_xlpm.part = "", "", IF(LEN(_xlpm.error), _xlfn.SWITCH(IFERROR(_xlfn.TEXTBEFORE(_xlpm.error,":"), ""), "1", "Error", "2", "Disabled", "3", "Required", "4", "Warning", "Valid"), "Valid"))))</f>
        <v>0</v>
      </c>
      <c r="GU9" s="22" cm="1">
        <f t="array" ref="GU9">_xlfn.MAP('6161 - Wallpaper (S)'!B9:B508, '6161 - Wallpaper (S)'!GU9:GU508, '6161-S-WUO_ERR'!GU9:GU508, _xlfn.LAMBDA(_xlpm.part, _xlpm.val, _xlpm.error, IF(_xlpm.part = "", "", IF(LEN(_xlpm.error), _xlfn.SWITCH(IFERROR(_xlfn.TEXTBEFORE(_xlpm.error,":"), ""), "1", "Error", "2", "Disabled", "3", "Required", "4", "Warning", "Valid"), "Valid"))))</f>
        <v>0</v>
      </c>
      <c r="GV9" s="22" cm="1">
        <f t="array" ref="GV9">_xlfn.MAP('6161 - Wallpaper (S)'!B9:B508, '6161 - Wallpaper (S)'!GV9:GV508, '6161-S-WUO_ERR'!GV9:GV508, _xlfn.LAMBDA(_xlpm.part, _xlpm.val, _xlpm.error, IF(_xlpm.part = "", "", IF(LEN(_xlpm.error), _xlfn.SWITCH(IFERROR(_xlfn.TEXTBEFORE(_xlpm.error,":"), ""), "1", "Error", "2", "Disabled", "3", "Required", "4", "Warning", "Valid"), "Valid"))))</f>
        <v>0</v>
      </c>
      <c r="HE9" s="22" cm="1">
        <f t="array" ref="HE9">_xlfn.MAP('6161 - Wallpaper (S)'!B9:B508, '6161 - Wallpaper (S)'!HE9:HE508, '6161-S-WUO_ERR'!HE9:HE508, _xlfn.LAMBDA(_xlpm.part, _xlpm.val, _xlpm.error, IF(_xlpm.part = "", "", IF(LEN(_xlpm.error), _xlfn.SWITCH(IFERROR(_xlfn.TEXTBEFORE(_xlpm.error,":"), ""), "1", "Error", "2", "Disabled", "3", "Required", "4", "Warning", "Valid"), "Valid"))))</f>
        <v>0</v>
      </c>
      <c r="HF9" s="22" cm="1">
        <f t="array" ref="HF9">_xlfn.MAP('6161 - Wallpaper (S)'!B9:B508, '6161 - Wallpaper (S)'!HF9:HF508, '6161-S-WUO_ERR'!HF9:HF508, _xlfn.LAMBDA(_xlpm.part, _xlpm.val, _xlpm.error, IF(_xlpm.part = "", "", IF(LEN(_xlpm.error), _xlfn.SWITCH(IFERROR(_xlfn.TEXTBEFORE(_xlpm.error,":"), ""), "1", "Error", "2", "Disabled", "3", "Required", "4", "Warning", "Valid"), "Valid"))))</f>
        <v>0</v>
      </c>
      <c r="HG9" s="22" cm="1">
        <f t="array" ref="HG9">_xlfn.MAP('6161 - Wallpaper (S)'!B9:B508, '6161 - Wallpaper (S)'!HG9:HG508, '6161-S-WUO_ERR'!HG9:HG508, _xlfn.LAMBDA(_xlpm.part, _xlpm.val, _xlpm.error, IF(_xlpm.part = "", "", IF(LEN(_xlpm.error), _xlfn.SWITCH(IFERROR(_xlfn.TEXTBEFORE(_xlpm.error,":"), ""), "1", "Error", "2", "Disabled", "3", "Required", "4", "Warning", "Valid"), "Valid"))))</f>
        <v>0</v>
      </c>
      <c r="HH9" s="22" cm="1">
        <f t="array" ref="HH9">_xlfn.MAP('6161 - Wallpaper (S)'!B9:B508, '6161 - Wallpaper (S)'!HH9:HH508, '6161-S-WUO_ERR'!HH9:HH508, _xlfn.LAMBDA(_xlpm.part, _xlpm.val, _xlpm.error, IF(_xlpm.part = "", "", IF(LEN(_xlpm.error), _xlfn.SWITCH(IFERROR(_xlfn.TEXTBEFORE(_xlpm.error,":"), ""), "1", "Error", "2", "Disabled", "3", "Required", "4", "Warning", "Valid"), "Valid"))))</f>
        <v>0</v>
      </c>
      <c r="HI9" s="22" cm="1">
        <f t="array" ref="HI9">_xlfn.MAP('6161 - Wallpaper (S)'!B9:B508, '6161 - Wallpaper (S)'!HI9:HI508, '6161-S-WUO_ERR'!HI9:HI508, _xlfn.LAMBDA(_xlpm.part, _xlpm.val, _xlpm.error, IF(_xlpm.part = "", "", IF(LEN(_xlpm.error), _xlfn.SWITCH(IFERROR(_xlfn.TEXTBEFORE(_xlpm.error,":"), ""), "1", "Error", "2", "Disabled", "3", "Required", "4", "Warning", "Valid"), "Valid"))))</f>
        <v>0</v>
      </c>
      <c r="HJ9" s="22" cm="1">
        <f t="array" ref="HJ9">_xlfn.MAP('6161 - Wallpaper (S)'!B9:B508, '6161 - Wallpaper (S)'!HJ9:HJ508, '6161-S-WUO_ERR'!HJ9:HJ508, _xlfn.LAMBDA(_xlpm.part, _xlpm.val, _xlpm.error, IF(_xlpm.part = "", "", IF(LEN(_xlpm.error), _xlfn.SWITCH(IFERROR(_xlfn.TEXTBEFORE(_xlpm.error,":"), ""), "1", "Error", "2", "Disabled", "3", "Required", "4", "Warning", "Valid"), "Valid"))))</f>
        <v>0</v>
      </c>
      <c r="II9" s="22" cm="1">
        <f t="array" ref="II9">_xlfn.MAP('6161 - Wallpaper (S)'!B9:B508, '6161 - Wallpaper (S)'!II9:II508, '6161-S-WUO_ERR'!II9:II508, _xlfn.LAMBDA(_xlpm.part, _xlpm.val, _xlpm.error, IF(_xlpm.part = "", "", IF(LEN(_xlpm.error), _xlfn.SWITCH(IFERROR(_xlfn.TEXTBEFORE(_xlpm.error,":"), ""), "1", "Error", "2", "Disabled", "3", "Required", "4", "Warning", "Valid"), "Valid"))))</f>
        <v>0</v>
      </c>
      <c r="IK9" s="22" cm="1">
        <f t="array" ref="IK9">_xlfn.MAP('6161 - Wallpaper (S)'!B9:B508, '6161 - Wallpaper (S)'!IK9:IK508, '6161-S-WUO_ERR'!IK9:IK508, _xlfn.LAMBDA(_xlpm.part, _xlpm.val, _xlpm.error, IF(_xlpm.part = "", "", IF(LEN(_xlpm.error), _xlfn.SWITCH(IFERROR(_xlfn.TEXTBEFORE(_xlpm.error,":"), ""), "1", "Error", "2", "Disabled", "3", "Required", "4", "Warning", "Valid"), "Valid"))))</f>
        <v>0</v>
      </c>
      <c r="IL9" s="22" cm="1">
        <f t="array" ref="IL9">_xlfn.MAP('6161 - Wallpaper (S)'!B9:B508, '6161 - Wallpaper (S)'!IL9:IL508, '6161-S-WUO_ERR'!IL9:IL508, _xlfn.LAMBDA(_xlpm.part, _xlpm.val, _xlpm.error, IF(_xlpm.part = "", "", IF(LEN(_xlpm.error), _xlfn.SWITCH(IFERROR(_xlfn.TEXTBEFORE(_xlpm.error,":"), ""), "1", "Error", "2", "Disabled", "3", "Required", "4", "Warning", "Valid"), "Valid"))))</f>
        <v>0</v>
      </c>
      <c r="IM9" s="22" cm="1">
        <f t="array" ref="IM9">_xlfn.MAP('6161 - Wallpaper (S)'!B9:B508, '6161 - Wallpaper (S)'!IM9:IM508, '6161-S-WUO_ERR'!IM9:IM508, _xlfn.LAMBDA(_xlpm.part, _xlpm.val, _xlpm.error, IF(_xlpm.part = "", "", IF(LEN(_xlpm.error), _xlfn.SWITCH(IFERROR(_xlfn.TEXTBEFORE(_xlpm.error,":"), ""), "1", "Error", "2", "Disabled", "3", "Required", "4", "Warning", "Valid"), "Valid"))))</f>
        <v>0</v>
      </c>
      <c r="IN9" s="22" cm="1">
        <f t="array" ref="IN9">_xlfn.MAP('6161 - Wallpaper (S)'!B9:B508, '6161 - Wallpaper (S)'!IN9:IN508, '6161-S-WUO_ERR'!IN9:IN508, _xlfn.LAMBDA(_xlpm.part, _xlpm.val, _xlpm.error, IF(_xlpm.part = "", "", IF(LEN(_xlpm.error), _xlfn.SWITCH(IFERROR(_xlfn.TEXTBEFORE(_xlpm.error,":"), ""), "1", "Error", "2", "Disabled", "3", "Required", "4", "Warning", "Valid"), "Valid"))))</f>
        <v>0</v>
      </c>
      <c r="JY9" s="22" cm="1">
        <f t="array" ref="JY9">_xlfn.MAP('6161 - Wallpaper (S)'!B9:B508, '6161 - Wallpaper (S)'!JY9:JY508, '6161-S-WUO_ERR'!JY9:JY508, _xlfn.LAMBDA(_xlpm.part, _xlpm.val, _xlpm.error, IF(_xlpm.part = "", "", IF(LEN(_xlpm.error), _xlfn.SWITCH(IFERROR(_xlfn.TEXTBEFORE(_xlpm.error,":"), ""), "1", "Error", "2", "Disabled", "3", "Required", "4", "Warning", "Valid"), "Valid"))))</f>
        <v>0</v>
      </c>
      <c r="JZ9" s="22" cm="1">
        <f t="array" ref="JZ9">_xlfn.MAP('6161 - Wallpaper (S)'!B9:B508, '6161 - Wallpaper (S)'!JZ9:JZ508, '6161-S-WUO_ERR'!JZ9:JZ508, _xlfn.LAMBDA(_xlpm.part, _xlpm.val, _xlpm.error, IF(_xlpm.part = "", "", IF(LEN(_xlpm.error), _xlfn.SWITCH(IFERROR(_xlfn.TEXTBEFORE(_xlpm.error,":"), ""), "1", "Error", "2", "Disabled", "3", "Required", "4", "Warning", "Valid"), "Valid"))))</f>
        <v>0</v>
      </c>
      <c r="KA9" s="22" cm="1">
        <f t="array" ref="KA9">_xlfn.MAP('6161 - Wallpaper (S)'!B9:B508, '6161 - Wallpaper (S)'!KA9:KA508, '6161-S-WUO_ERR'!KA9:KA508, _xlfn.LAMBDA(_xlpm.part, _xlpm.val, _xlpm.error, IF(_xlpm.part = "", "", IF(LEN(_xlpm.error), _xlfn.SWITCH(IFERROR(_xlfn.TEXTBEFORE(_xlpm.error,":"), ""), "1", "Error", "2", "Disabled", "3", "Required", "4", "Warning", "Valid"), "Valid"))))</f>
        <v>0</v>
      </c>
      <c r="KB9" s="22" cm="1">
        <f t="array" ref="KB9">_xlfn.MAP('6161 - Wallpaper (S)'!B9:B508, '6161 - Wallpaper (S)'!KB9:KB508, '6161-S-WUO_ERR'!KB9:KB508, _xlfn.LAMBDA(_xlpm.part, _xlpm.val, _xlpm.error, IF(_xlpm.part = "", "", IF(LEN(_xlpm.error), _xlfn.SWITCH(IFERROR(_xlfn.TEXTBEFORE(_xlpm.error,":"), ""), "1", "Error", "2", "Disabled", "3", "Required", "4", "Warning", "Valid"), "Valid"))))</f>
        <v>0</v>
      </c>
      <c r="KC9" s="22" cm="1">
        <f t="array" ref="KC9">_xlfn.MAP('6161 - Wallpaper (S)'!B9:B508, '6161 - Wallpaper (S)'!KC9:KC508, '6161-S-WUO_ERR'!KC9:KC508, _xlfn.LAMBDA(_xlpm.part, _xlpm.val, _xlpm.error, IF(_xlpm.part = "", "", IF(LEN(_xlpm.error), _xlfn.SWITCH(IFERROR(_xlfn.TEXTBEFORE(_xlpm.error,":"), ""), "1", "Error", "2", "Disabled", "3", "Required", "4", "Warning", "Valid"), "Valid"))))</f>
        <v>0</v>
      </c>
      <c r="KD9" s="22" cm="1">
        <f t="array" ref="KD9">_xlfn.MAP('6161 - Wallpaper (S)'!B9:B508, '6161 - Wallpaper (S)'!KD9:KD508, '6161-S-WUO_ERR'!KD9:KD508, _xlfn.LAMBDA(_xlpm.part, _xlpm.val, _xlpm.error, IF(_xlpm.part = "", "", IF(LEN(_xlpm.error), _xlfn.SWITCH(IFERROR(_xlfn.TEXTBEFORE(_xlpm.error,":"), ""), "1", "Error", "2", "Disabled", "3", "Required", "4", "Warning", "Valid"), "Valid"))))</f>
        <v>0</v>
      </c>
      <c r="KE9" s="22" cm="1">
        <f t="array" ref="KE9">_xlfn.MAP('6161 - Wallpaper (S)'!B9:B508, '6161 - Wallpaper (S)'!KE9:KE508, '6161-S-WUO_ERR'!KE9:KE508, _xlfn.LAMBDA(_xlpm.part, _xlpm.val, _xlpm.error, IF(_xlpm.part = "", "", IF(LEN(_xlpm.error), _xlfn.SWITCH(IFERROR(_xlfn.TEXTBEFORE(_xlpm.error,":"), ""), "1", "Error", "2", "Disabled", "3", "Required", "4", "Warning", "Valid"), "Valid"))))</f>
        <v>0</v>
      </c>
      <c r="KF9" s="22" cm="1">
        <f t="array" ref="KF9">_xlfn.MAP('6161 - Wallpaper (S)'!B9:B508, '6161 - Wallpaper (S)'!KF9:KF508, '6161-S-WUO_ERR'!KF9:KF508, _xlfn.LAMBDA(_xlpm.part, _xlpm.val, _xlpm.error, IF(_xlpm.part = "", "", IF(LEN(_xlpm.error), _xlfn.SWITCH(IFERROR(_xlfn.TEXTBEFORE(_xlpm.error,":"), ""), "1", "Error", "2", "Disabled", "3", "Required", "4", "Warning", "Valid"), "Valid"))))</f>
        <v>0</v>
      </c>
      <c r="KG9" s="22" cm="1">
        <f t="array" ref="KG9">_xlfn.MAP('6161 - Wallpaper (S)'!B9:B508, '6161 - Wallpaper (S)'!KG9:KG508, '6161-S-WUO_ERR'!KG9:KG508, _xlfn.LAMBDA(_xlpm.part, _xlpm.val, _xlpm.error, IF(_xlpm.part = "", "", IF(LEN(_xlpm.error), _xlfn.SWITCH(IFERROR(_xlfn.TEXTBEFORE(_xlpm.error,":"), ""), "1", "Error", "2", "Disabled", "3", "Required", "4", "Warning", "Valid"), "Valid"))))</f>
        <v>0</v>
      </c>
      <c r="KH9" s="22" cm="1">
        <f t="array" ref="KH9">_xlfn.MAP('6161 - Wallpaper (S)'!B9:B508, '6161 - Wallpaper (S)'!KH9:KH508, '6161-S-WUO_ERR'!KH9:KH508, _xlfn.LAMBDA(_xlpm.part, _xlpm.val, _xlpm.error, IF(_xlpm.part = "", "", IF(LEN(_xlpm.error), _xlfn.SWITCH(IFERROR(_xlfn.TEXTBEFORE(_xlpm.error,":"), ""), "1", "Error", "2", "Disabled", "3", "Required", "4", "Warning", "Valid"), "Valid"))))</f>
        <v>0</v>
      </c>
      <c r="KI9" s="22" cm="1">
        <f t="array" ref="KI9">_xlfn.MAP('6161 - Wallpaper (S)'!B9:B508, '6161 - Wallpaper (S)'!KI9:KI508, '6161-S-WUO_ERR'!KI9:KI508, _xlfn.LAMBDA(_xlpm.part, _xlpm.val, _xlpm.error, IF(_xlpm.part = "", "", IF(LEN(_xlpm.error), _xlfn.SWITCH(IFERROR(_xlfn.TEXTBEFORE(_xlpm.error,":"), ""), "1", "Error", "2", "Disabled", "3", "Required", "4", "Warning", "Valid"), "Valid"))))</f>
        <v>0</v>
      </c>
      <c r="KJ9" s="22" cm="1">
        <f t="array" ref="KJ9">_xlfn.MAP('6161 - Wallpaper (S)'!B9:B508, '6161 - Wallpaper (S)'!KJ9:KJ508, '6161-S-WUO_ERR'!KJ9:KJ508, _xlfn.LAMBDA(_xlpm.part, _xlpm.val, _xlpm.error, IF(_xlpm.part = "", "", IF(LEN(_xlpm.error), _xlfn.SWITCH(IFERROR(_xlfn.TEXTBEFORE(_xlpm.error,":"), ""), "1", "Error", "2", "Disabled", "3", "Required", "4", "Warning", "Valid"), "Valid"))))</f>
        <v>0</v>
      </c>
      <c r="KK9" s="22" cm="1">
        <f t="array" ref="KK9">_xlfn.MAP('6161 - Wallpaper (S)'!B9:B508, '6161 - Wallpaper (S)'!KK9:KK508, '6161-S-WUO_ERR'!KK9:KK508, _xlfn.LAMBDA(_xlpm.part, _xlpm.val, _xlpm.error, IF(_xlpm.part = "", "", IF(LEN(_xlpm.error), _xlfn.SWITCH(IFERROR(_xlfn.TEXTBEFORE(_xlpm.error,":"), ""), "1", "Error", "2", "Disabled", "3", "Required", "4", "Warning", "Valid"), "Valid"))))</f>
        <v>0</v>
      </c>
      <c r="KL9" s="22" cm="1">
        <f t="array" ref="KL9">_xlfn.MAP('6161 - Wallpaper (S)'!B9:B508, '6161 - Wallpaper (S)'!KL9:KL508, '6161-S-WUO_ERR'!KL9:KL508, _xlfn.LAMBDA(_xlpm.part, _xlpm.val, _xlpm.error, IF(_xlpm.part = "", "", IF(LEN(_xlpm.error), _xlfn.SWITCH(IFERROR(_xlfn.TEXTBEFORE(_xlpm.error,":"), ""), "1", "Error", "2", "Disabled", "3", "Required", "4", "Warning", "Valid"), "Valid"))))</f>
        <v>0</v>
      </c>
      <c r="KM9" s="22" cm="1">
        <f t="array" ref="KM9">_xlfn.MAP('6161 - Wallpaper (S)'!B9:B508, '6161 - Wallpaper (S)'!KM9:KM508, '6161-S-WUO_ERR'!KM9:KM508, _xlfn.LAMBDA(_xlpm.part, _xlpm.val, _xlpm.error, IF(_xlpm.part = "", "", IF(LEN(_xlpm.error), _xlfn.SWITCH(IFERROR(_xlfn.TEXTBEFORE(_xlpm.error,":"), ""), "1", "Error", "2", "Disabled", "3", "Required", "4", "Warning", "Valid"), "Valid"))))</f>
        <v>0</v>
      </c>
      <c r="KN9" s="22" cm="1">
        <f t="array" ref="KN9">_xlfn.MAP('6161 - Wallpaper (S)'!B9:B508, '6161 - Wallpaper (S)'!KN9:KN508, '6161-S-WUO_ERR'!KN9:KN508, _xlfn.LAMBDA(_xlpm.part, _xlpm.val, _xlpm.error, IF(_xlpm.part = "", "", IF(LEN(_xlpm.error), _xlfn.SWITCH(IFERROR(_xlfn.TEXTBEFORE(_xlpm.error,":"), ""), "1", "Error", "2", "Disabled", "3", "Required", "4", "Warning", "Valid"), "Valid"))))</f>
        <v>0</v>
      </c>
      <c r="KO9" s="22" cm="1">
        <f t="array" ref="KO9">_xlfn.MAP('6161 - Wallpaper (S)'!B9:B508, '6161 - Wallpaper (S)'!KO9:KO508, '6161-S-WUO_ERR'!KO9:KO508, _xlfn.LAMBDA(_xlpm.part, _xlpm.val, _xlpm.error, IF(_xlpm.part = "", "", IF(LEN(_xlpm.error), _xlfn.SWITCH(IFERROR(_xlfn.TEXTBEFORE(_xlpm.error,":"), ""), "1", "Error", "2", "Disabled", "3", "Required", "4", "Warning", "Valid"), "Valid"))))</f>
        <v>0</v>
      </c>
      <c r="KP9" s="22" cm="1">
        <f t="array" ref="KP9">_xlfn.MAP('6161 - Wallpaper (S)'!B9:B508, '6161 - Wallpaper (S)'!KP9:KP508, '6161-S-WUO_ERR'!KP9:KP508, _xlfn.LAMBDA(_xlpm.part, _xlpm.val, _xlpm.error, IF(_xlpm.part = "", "", IF(LEN(_xlpm.error), _xlfn.SWITCH(IFERROR(_xlfn.TEXTBEFORE(_xlpm.error,":"), ""), "1", "Error", "2", "Disabled", "3", "Required", "4", "Warning", "Valid"), "Valid"))))</f>
        <v>0</v>
      </c>
      <c r="KQ9" s="22" cm="1">
        <f t="array" ref="KQ9">_xlfn.MAP('6161 - Wallpaper (S)'!B9:B508, '6161 - Wallpaper (S)'!KQ9:KQ508, '6161-S-WUO_ERR'!KQ9:KQ508, _xlfn.LAMBDA(_xlpm.part, _xlpm.val, _xlpm.error, IF(_xlpm.part = "", "", IF(LEN(_xlpm.error), _xlfn.SWITCH(IFERROR(_xlfn.TEXTBEFORE(_xlpm.error,":"), ""), "1", "Error", "2", "Disabled", "3", "Required", "4", "Warning", "Valid"), "Valid"))))</f>
        <v>0</v>
      </c>
      <c r="KR9" s="22" cm="1">
        <f t="array" ref="KR9">_xlfn.MAP('6161 - Wallpaper (S)'!B9:B508, '6161 - Wallpaper (S)'!KR9:KR508, '6161-S-WUO_ERR'!KR9:KR508, _xlfn.LAMBDA(_xlpm.part, _xlpm.val, _xlpm.error, IF(_xlpm.part = "", "", IF(LEN(_xlpm.error), _xlfn.SWITCH(IFERROR(_xlfn.TEXTBEFORE(_xlpm.error,":"), ""), "1", "Error", "2", "Disabled", "3", "Required", "4", "Warning", "Valid"), "Valid"))))</f>
        <v>0</v>
      </c>
      <c r="KS9" s="22" cm="1">
        <f t="array" ref="KS9">_xlfn.MAP('6161 - Wallpaper (S)'!B9:B508, '6161 - Wallpaper (S)'!KS9:KS508, '6161-S-WUO_ERR'!KS9:KS508, _xlfn.LAMBDA(_xlpm.part, _xlpm.val, _xlpm.error, IF(_xlpm.part = "", "", IF(LEN(_xlpm.error), _xlfn.SWITCH(IFERROR(_xlfn.TEXTBEFORE(_xlpm.error,":"), ""), "1", "Error", "2", "Disabled", "3", "Required", "4", "Warning", "Valid"), "Valid"))))</f>
        <v>0</v>
      </c>
      <c r="KT9" s="22" cm="1">
        <f t="array" ref="KT9">_xlfn.MAP('6161 - Wallpaper (S)'!B9:B508, '6161 - Wallpaper (S)'!KT9:KT508, '6161-S-WUO_ERR'!KT9:KT508, _xlfn.LAMBDA(_xlpm.part, _xlpm.val, _xlpm.error, IF(_xlpm.part = "", "", IF(LEN(_xlpm.error), _xlfn.SWITCH(IFERROR(_xlfn.TEXTBEFORE(_xlpm.error,":"), ""), "1", "Error", "2", "Disabled", "3", "Required", "4", "Warning", "Valid"), "Valid"))))</f>
        <v>0</v>
      </c>
      <c r="KU9" s="22" cm="1">
        <f t="array" ref="KU9">_xlfn.MAP('6161 - Wallpaper (S)'!B9:B508, '6161 - Wallpaper (S)'!KU9:KU508, '6161-S-WUO_ERR'!KU9:KU508, _xlfn.LAMBDA(_xlpm.part, _xlpm.val, _xlpm.error, IF(_xlpm.part = "", "", IF(LEN(_xlpm.error), _xlfn.SWITCH(IFERROR(_xlfn.TEXTBEFORE(_xlpm.error,":"), ""), "1", "Error", "2", "Disabled", "3", "Required", "4", "Warning", "Valid"), "Valid"))))</f>
        <v>0</v>
      </c>
      <c r="KV9" s="22" cm="1">
        <f t="array" ref="KV9">_xlfn.MAP('6161 - Wallpaper (S)'!B9:B508, '6161 - Wallpaper (S)'!KV9:KV508, '6161-S-WUO_ERR'!KV9:KV508, _xlfn.LAMBDA(_xlpm.part, _xlpm.val, _xlpm.error, IF(_xlpm.part = "", "", IF(LEN(_xlpm.error), _xlfn.SWITCH(IFERROR(_xlfn.TEXTBEFORE(_xlpm.error,":"), ""), "1", "Error", "2", "Disabled", "3", "Required", "4", "Warning", "Valid"), "Valid"))))</f>
        <v>0</v>
      </c>
      <c r="KW9" s="22" cm="1">
        <f t="array" ref="KW9">_xlfn.MAP('6161 - Wallpaper (S)'!B9:B508, '6161 - Wallpaper (S)'!KW9:KW508, '6161-S-WUO_ERR'!KW9:KW508, _xlfn.LAMBDA(_xlpm.part, _xlpm.val, _xlpm.error, IF(_xlpm.part = "", "", IF(LEN(_xlpm.error), _xlfn.SWITCH(IFERROR(_xlfn.TEXTBEFORE(_xlpm.error,":"), ""), "1", "Error", "2", "Disabled", "3", "Required", "4", "Warning", "Valid"), "Valid"))))</f>
        <v>0</v>
      </c>
      <c r="KX9" s="22" cm="1">
        <f t="array" ref="KX9">_xlfn.MAP('6161 - Wallpaper (S)'!B9:B508, '6161 - Wallpaper (S)'!KX9:KX508, '6161-S-WUO_ERR'!KX9:KX508, _xlfn.LAMBDA(_xlpm.part, _xlpm.val, _xlpm.error, IF(_xlpm.part = "", "", IF(LEN(_xlpm.error), _xlfn.SWITCH(IFERROR(_xlfn.TEXTBEFORE(_xlpm.error,":"), ""), "1", "Error", "2", "Disabled", "3", "Required", "4", "Warning", "Valid"), "Valid"))))</f>
        <v>0</v>
      </c>
      <c r="KY9" s="22" cm="1">
        <f t="array" ref="KY9">_xlfn.MAP('6161 - Wallpaper (S)'!B9:B508, '6161 - Wallpaper (S)'!KY9:KY508, '6161-S-WUO_ERR'!KY9:KY508, _xlfn.LAMBDA(_xlpm.part, _xlpm.val, _xlpm.error, IF(_xlpm.part = "", "", IF(LEN(_xlpm.error), _xlfn.SWITCH(IFERROR(_xlfn.TEXTBEFORE(_xlpm.error,":"), ""), "1", "Error", "2", "Disabled", "3", "Required", "4", "Warning", "Valid"), "Valid"))))</f>
        <v>0</v>
      </c>
      <c r="KZ9" s="22" cm="1">
        <f t="array" ref="KZ9">_xlfn.MAP('6161 - Wallpaper (S)'!B9:B508, '6161 - Wallpaper (S)'!KZ9:KZ508, '6161-S-WUO_ERR'!KZ9:KZ508, _xlfn.LAMBDA(_xlpm.part, _xlpm.val, _xlpm.error, IF(_xlpm.part = "", "", IF(LEN(_xlpm.error), _xlfn.SWITCH(IFERROR(_xlfn.TEXTBEFORE(_xlpm.error,":"), ""), "1", "Error", "2", "Disabled", "3", "Required", "4", "Warning", "Valid"), "Valid"))))</f>
        <v>0</v>
      </c>
      <c r="LA9" s="22" cm="1">
        <f t="array" ref="LA9">_xlfn.MAP('6161 - Wallpaper (S)'!B9:B508, '6161 - Wallpaper (S)'!LA9:LA508, '6161-S-WUO_ERR'!LA9:LA508, _xlfn.LAMBDA(_xlpm.part, _xlpm.val, _xlpm.error, IF(_xlpm.part = "", "", IF(LEN(_xlpm.error), _xlfn.SWITCH(IFERROR(_xlfn.TEXTBEFORE(_xlpm.error,":"), ""), "1", "Error", "2", "Disabled", "3", "Required", "4", "Warning", "Valid"), "Valid"))))</f>
        <v>0</v>
      </c>
      <c r="LB9" s="22" cm="1">
        <f t="array" ref="LB9">_xlfn.MAP('6161 - Wallpaper (S)'!B9:B508, '6161 - Wallpaper (S)'!LB9:LB508, '6161-S-WUO_ERR'!LB9:LB508, _xlfn.LAMBDA(_xlpm.part, _xlpm.val, _xlpm.error, IF(_xlpm.part = "", "", IF(LEN(_xlpm.error), _xlfn.SWITCH(IFERROR(_xlfn.TEXTBEFORE(_xlpm.error,":"), ""), "1", "Error", "2", "Disabled", "3", "Required", "4", "Warning", "Valid"), "Valid"))))</f>
        <v>0</v>
      </c>
      <c r="LC9" s="22" cm="1">
        <f t="array" ref="LC9">_xlfn.MAP('6161 - Wallpaper (S)'!B9:B508, '6161 - Wallpaper (S)'!LC9:LC508, '6161-S-WUO_ERR'!LC9:LC508, _xlfn.LAMBDA(_xlpm.part, _xlpm.val, _xlpm.error, IF(_xlpm.part = "", "", IF(LEN(_xlpm.error), _xlfn.SWITCH(IFERROR(_xlfn.TEXTBEFORE(_xlpm.error,":"), ""), "1", "Error", "2", "Disabled", "3", "Required", "4", "Warning", "Valid"), "Valid"))))</f>
        <v>0</v>
      </c>
    </row>
  </sheetData>
  <sheetProtection password="B290" sheet="1" objects="1" scenarios="1" formatColumns="0"/>
  <mergeCells count="10">
    <mergeCell ref="B3:E3"/>
    <mergeCell ref="F3:G3"/>
    <mergeCell ref="H3:O3"/>
    <mergeCell ref="P3:S3"/>
    <mergeCell ref="T3:AB3"/>
    <mergeCell ref="AC3:AN3"/>
    <mergeCell ref="AO3:GR3"/>
    <mergeCell ref="GS3:HD3"/>
    <mergeCell ref="HE3:JX3"/>
    <mergeCell ref="JY3:LC3"/>
  </mergeCells>
  <dataValidations count="211">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F8">
      <formula1>allowed9007_fp_S_class_6161</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Z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A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B8">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C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D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E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G8">
      <formula1>32767</formula1>
    </dataValidation>
    <dataValidation type="list" allowBlank="1" showInputMessage="1" showErrorMessage="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sqref="AH8">
      <formula1>allowed9030_fp_S_class_6161</formula1>
    </dataValidation>
    <dataValidation type="list" allowBlank="1" showInputMessage="1" showErrorMessage="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sqref="AI8">
      <formula1>allowed9031_fp_S_class_6161</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J8">
      <formula1>allowed9032_fp_S_class_6161</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K8">
      <formula1>allowed9033_fp_S_class_6161</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L8">
      <formula1>32767</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M8">
      <formula1>allowed9035_fp_S_class_6161</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N8">
      <formula1>allowed9036_fp_S_class_6161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E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R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S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W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X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Y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FZ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A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B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C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D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E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F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G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H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I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J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K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L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M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N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O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P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Q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GR8">
      <formula1>32767</formula1>
    </dataValidation>
    <dataValidation type="list" allowBlank="1" showInputMessage="1" showErrorMessage="1" errorTitle="Invalid Country of Origin" error="The value provided is not a valid Country of Origin." promptTitle="" prompt="If all products in this class consistently have the same answer, you can set a default value to apply automatically. For any exceptions, you can modify the answer for specific products without changing the default." sqref="GS8">
      <formula1>allowed647_fp_S_class_6161</formula1>
    </dataValidation>
    <dataValidation type="list" allowBlank="1" showInputMessage="1" showErrorMessage="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sqref="GT8">
      <formula1>allowed9041_fp_S_class_6161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U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V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W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X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GY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GZ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A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B8">
      <formula1>allowed9043_fp_S_class_6161</formula1>
    </dataValidation>
    <dataValidation type="list" allowBlank="1" showInputMessage="1" showErrorMessage="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sqref="HC8">
      <formula1>allowed9042_fp_S_class_6161</formula1>
    </dataValidation>
    <dataValidation type="list" allowBlank="1" showInputMessage="1" showErrorMessage="1" errorTitle="Invalid Toxicity" error="The value provided is not a valid Toxicity." promptTitle="" prompt="If all products in this class consistently have the same answer, you can set a default value to apply automatically. For any exceptions, you can modify the answer for specific products without changing the default." sqref="HD8">
      <formula1>allowed9043_fp_S_class_6161</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Y8">
      <formula1>allowed6109_fp_S_class_6161</formula1>
    </dataValidation>
    <dataValidation type="list" errorStyle="warning" allowBlank="1" showInputMessage="1" showErrorMessage="1" errorTitle="Invalid Application Type" error="The value provided is not a valid Application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JZ8">
      <formula1>allowed6012_fp_S_class_6161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I8">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KJ8">
      <formula1>32767</formula1>
    </dataValidation>
    <dataValidation type="list" errorStyle="warning" allowBlank="1" showInputMessage="1" showErrorMessage="1" errorTitle="Invalid Wallpaper Texture" error="The value provided is not a valid Wallpaper Texture. Would you like to provide a custom answer?" promptTitle="" prompt="If all products in this class consistently have the same answer, you can set a default value to apply automatically. For any exceptions, you can modify the answer for specific products without changing the default." sqref="KL8">
      <formula1>allowed3921_fp_S_class_6161</formula1>
    </dataValidation>
    <dataValidation type="list" allowBlank="1" showInputMessage="1" showErrorMessage="1" errorTitle="Invalid BPA Free" error="The value provided is not a valid BPA Free." promptTitle="" prompt="If all products in this class consistently have the same answer, you can set a default value to apply automatically. For any exceptions, you can modify the answer for specific products without changing the default." sqref="KS8">
      <formula1>allowed807_fp_S_class_6161</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T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U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V8">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KW8">
      <formula1>32767</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KX8">
      <formula1>allowed28_fp_S_class_6161</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KY8">
      <formula1>allowed135_fp_S_class_6161</formula1>
    </dataValidation>
    <dataValidation type="list" allowBlank="1" showInputMessage="1" showErrorMessage="1" errorTitle="Invalid Wayfair Compliance Vetti" error="The value provided is not a valid Wayfair Compliance Vetting Program (including Baby Safety Alliance fka JPMA) for this product category." promptTitle="" prompt="If all products in this class consistently have the same answer, you can set a default value to apply automatically. For any exceptions, you can modify the answer for specific products without changing the default." sqref="KZ8">
      <formula1>allowed256_fp_S_class_6161</formula1>
    </dataValidation>
    <dataValidation type="list" allowBlank="1" showInputMessage="1" showErrorMessage="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sqref="LA8">
      <formula1>allowed31_fp_S_class_6161</formula1>
    </dataValidation>
    <dataValidation type="list" allowBlank="1" showInputMessage="1" showErrorMessage="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sqref="LB8">
      <formula1>allowed117_fp_S_class_6161</formula1>
    </dataValidation>
    <dataValidation type="list" allowBlank="1" showInputMessage="1" showErrorMessage="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sqref="LC8">
      <formula1>allowed8462_fp_S_class_6161</formula1>
    </dataValidation>
  </dataValidations>
  <hyperlinks>
    <hyperlink ref="F7" location="#vvh_9007_fp_S_class_6161" display="Select"/>
    <hyperlink ref="H7" location="#vvh_9009_fp_S_class_6161" display="Select"/>
    <hyperlink ref="J7" location="#vvh_9011_fp_S_class_6161" display="Select"/>
    <hyperlink ref="L7" location="#vvh_9011_fp_S_class_6161" display="Select"/>
    <hyperlink ref="N7" location="#vvh_9011_fp_S_class_6161" display="Select"/>
    <hyperlink ref="AH7" location="#vvh_9030_fp_S_class_6161" display="Select"/>
    <hyperlink ref="AI7" location="#vvh_9031_fp_S_class_6161" display="Select"/>
    <hyperlink ref="AJ7" location="#vvh_9032_fp_S_class_6161" display="Select"/>
    <hyperlink ref="AK7" location="#vvh_9033_fp_S_class_6161" display="Select"/>
    <hyperlink ref="GS7" location="#vvh_647_fp_S_class_6161" display="Select"/>
    <hyperlink ref="GU7" location="#vvh_9042_fp_S_class_6161" display="Select"/>
    <hyperlink ref="GV7" location="#vvh_9043_fp_S_class_6161" display="Select"/>
    <hyperlink ref="GW7" location="#vvh_9042_fp_S_class_6161" display="Select"/>
    <hyperlink ref="GX7" location="#vvh_9043_fp_S_class_6161" display="Select"/>
    <hyperlink ref="GY7" location="#vvh_9042_fp_S_class_6161" display="Select"/>
    <hyperlink ref="GZ7" location="#vvh_9043_fp_S_class_6161" display="Select"/>
    <hyperlink ref="HA7" location="#vvh_9042_fp_S_class_6161" display="Select"/>
    <hyperlink ref="HB7" location="#vvh_9043_fp_S_class_6161" display="Select"/>
    <hyperlink ref="HC7" location="#vvh_9042_fp_S_class_6161" display="Select"/>
    <hyperlink ref="HD7" location="#vvh_9043_fp_S_class_6161" display="Select"/>
    <hyperlink ref="IL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M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N7" location="#vvh_9066_fp_S_class_6161" display="Select"/>
    <hyperlink ref="IP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Q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R7" location="#vvh_9066_fp_S_class_6161" display="Select"/>
    <hyperlink ref="IT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U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V7" location="#vvh_9066_fp_S_class_6161" display="Select"/>
    <hyperlink ref="IX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IY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IZ7" location="#vvh_9066_fp_S_class_6161" display="Select"/>
    <hyperlink ref="JB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C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D7" location="#vvh_9066_fp_S_class_6161" display="Select"/>
    <hyperlink ref="JF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G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H7" location="#vvh_9066_fp_S_class_6161" display="Select"/>
    <hyperlink ref="JJ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K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L7" location="#vvh_9066_fp_S_class_6161" display="Select"/>
    <hyperlink ref="JN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O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P7" location="#vvh_9066_fp_S_class_6161" display="Select"/>
    <hyperlink ref="JR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S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T7" location="#vvh_9066_fp_S_class_6161" display="Select"/>
    <hyperlink ref="JV7" location="#vvh_9064_fp_S_class_616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JW7" location="#vvh_9065_fp_S_class_616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JX7" location="#vvh_9066_fp_S_class_6161" display="Select"/>
    <hyperlink ref="JY7" location="#vvh_6109_fp_S_class_6161" display="Select"/>
    <hyperlink ref="JZ7" location="#vvh_6012_fp_S_class_6161" display="Select"/>
    <hyperlink ref="KA7" location="#vvh_5471_fp_S_class_6161" display="Please choose one or more from the following, using a semicolon (;) to separate each value: Peelable; Strippable; Solution Required; Does Not Apply; Unavailable"/>
    <hyperlink ref="KB7" location="#vvh_2385_fp_S_class_6161" display="Please choose one or more from the following, using a semicolon (;) to separate each value: Aluminum; Fabric; Paper; Plastic; PVC; Steel; Solid Wood; Vinyl; Fleece; Grass Cloth; MDF; Non-Woven; Particle Board / Chipboard; Plywood / Laminate Board; Paper / Printed Veneer; Real Wood Veneer"/>
    <hyperlink ref="KC7" location="#vvh_4123_fp_S_class_6161" display="Please choose one or more from the following, using a semicolon (;) to separate each value: Satin; Gloss; Distressed; Glitter / Shimmer; Low-Gloss; Matte; Metallic; Primed; Semi Gloss; Does Not Apply"/>
    <hyperlink ref="KD7" location="#vvh_1316_fp_S_class_6161" display="Please choose one or more from the following, using a semicolon (;) to separate each value: Black; Brown; White; Green; Gray; Red; Beige; Yellow; Pink; Orange; Purple; Silver; Gold; Clear; Cream; Ivory; Tan; Teal; Navy; Blue"/>
    <hyperlink ref="KE7" location="#vvh_8653_fp_S_class_6161" display="Please choose one or more from the following, using a semicolon (;) to separate each value: Breathable; Paintable / Stainable; No General Features"/>
    <hyperlink ref="KF7" location="#vvh_1388_fp_S_class_6161" display="Please choose one or more from the following, using a semicolon (;) to separate each value: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hyperlink ref="KG7" location="#vvh_1386_fp_S_class_6161" display="Please choose one or more from the following, using a semicolon (;) to separate each value: MLB Atlanta Braves; MLB Chicago Cubs; MLB Arizona Diamondbacks; MLB Baltimore Orioles; MLB Kansas City Royals; MLB Boston Red Sox; MLB Milwaukee Brewers; MLB Detroit Tigers; MLB Cincinnati Reds; MLB Los Angeles Dodgers; MLB Colorado Rockies; MLB Chicago White Sox; MLB Houston Astros; MLB Miami Marlins; MLB Minnesota Twins; MLB Philadelphia Phillies; NBA New York Knicks; NHL Edmonton Oilers; MLB Los Angeles Angels; MLB New York Mets; MLB New York Yankees; MLB Pittsburgh Pirates; MLB San Diego Padres; MLB San Francisco Giants; NHL Los Angeles Kings; NHL Pittsburgh Penguins; MLB Seattle Mariners; MLB Cleveland Guardians; MLB Tampa Bay Rays; MLB Toronto Blue Jays; MLB Washington Nationals; NBA Boston Celtics; NBA Charlotte Hornets; NBA Denver Nuggets; NBA Golden State Warriors; NFL Houston Texans; NFL Baltimore Ravens; NBA Detroit Pistons; NBA Cleveland Cavaliers; NBA Houston Rockets; NBA Atlanta Hawks; NHL Washington Capitals; NBA Los Angeles Clippers; NBA Minnesota Timberwolves; NBA Brooklyn Nets; NBA Sacramento Kings; NBA Washington Wizards; NBA San Antonio Spurs; NHL Calgary Flames; NHL Carolina Hurricanes; NBA Indiana Pacers; NBA New Orleans Pelicans; NFL New York Giants; NBA Memphis Grizzlies; MLB Oakland Athletics; NHL Detroit Red Wings; NHL Colorado Avalanche; NHL New York Islanders; NBA Chicago Bulls; NBA Utah Jazz; NBA Philadelphia 76ers; NBA Milwaukee Bucks; NBA Miami Heat; NBA Oklahoma City Thunder; NBA Orlando Magic; NHL Montreal Canadiens; NHL Vancouver Canucks; NHL San Jose Sharks; NHL Arizona Coyotes; NHL Winnipeg Jets; NHL Buffalo Sabres; NHL Boston Bruins; NHL Vegas Golden Knights; NFL Buffalo Bills; NBA Toronto Raptors; NFL Arizona Cardinals; MLB Texas Rangers; NFL Cincinnati Bengals; NFL Carolina Panthers; NFL Detroit Lions; NFL Atlanta Falcons; NFL Green Bay Packers; NFL Denver Broncos; NFL Miami Dolphins; NFL Jacksonville Jaguars; NHL Dallas Stars; NFL Kansas City Chiefs; NHL Florida Panthers; NHL Minnesota Wild; NBA Phoenix Suns; NFL "/>
    <hyperlink ref="KH7" location="#vvh_82_fp_S_class_6161" display="Please choose one or more from the following, using a semicolon (;) to separate each value: Abstract; Animal Print; Chevron; Damask; Floral; Geometric; Paisley; Plaid; Polka Dots; Striped; Toile; Brick; Solid Color; Stone; Wood &amp; Shiplap; Marble; Gingham; Camouflage; Ikat; Houndstooth; Patchwork; Ombre; Checkered; Argyle; No Pattern; Trellis; Dots; Starburst; Geometric Shapes; Irish Chain; Chevron / Zig Zag; Clear; Drunkard's Path; Moroccan; Oriental; Block Print; Arc; Vintage Look; Does Not Apply"/>
    <hyperlink ref="KK7" location="#vvh_4591_fp_S_class_6161" display="Please choose one or more from the following, using a semicolon (;) to separate each value: Drop; Random; Straight; Does Not Apply; Unavailable"/>
    <hyperlink ref="KL7" location="#vvh_3921_fp_S_class_6161" display="Select"/>
    <hyperlink ref="KM7" location="#vvh_2358_fp_S_class_6161" display="Please choose one or more from the following, using a semicolon (;) to separate each value: Achille Castiglioni; Alfredo Llorens; Becky Bailey; Badeloft; Alain Van Havre; Bannoura; Ann Gish; Ambesonne; Alberto Tabellini &amp; David Reiss; Andres Martinez; Allison Paladino; AERIN; Alexa Hampton; Antonio Citterio; BergHOFF; Ardmore; Arnold Krog; Bruno Marashlian; Carol Benson-Cobb; Campania International; Debra Ann of Atomic Mobiles; ARTCANVAS; Karen Didion; Maceteros; Rosiland Solomon; Ysnay; Ashley Norton; University frames; Ashley Helms; B2U; Artwall; Aviva Stanoff; ArtVerse; Artorang; ACROMA; Barrow Industries; Barclay Butera; Aqua Gallery; Barrow Fabric; Barbara Barry; Aston; Barry Goralnick; Barbara and James Restin; Arshs Fine Rugs; Brightech; C.L.L Collections; Bunny Williams; Busalt Design; Candice Olson; Betsy Drake Interiors; Bhawna's Fusion; Capital Lighting Fixture Co.; Booth &amp; Williams; Berbermade; Caroline's Treasures; Christian Lacroix; Chic Teak; Chapman &amp; Myers; ChiChi Decor; Celerie Kemble; ChildBeWild; Casa Fine Arts; Bespoky Rugs; Dawn Sweitzer; Dana Gibson; David Chipperfield; Darren Gygi; Creative Matters Inc.; Dana McMillan; Danielle Davis; David Phoenix; Christopher Fareed; E by Design; COXBRIGHT; Coe Steinwart; DreamLine; Daphne Polselli; Diane Beesley; Denny Knight; Diane Keaton; echo; Ebros Gift; EGLO; Duravit; Eleonora Ferragatta; E. F. Chapman; Elaine Smith; East West Furniture; iCanvas; Empava; Ernest Massuet; James Restin; Enrico Lavazzi; Ella's Bubbles; Emissary; Jaime Hayon; Evergreen; Jean-Marie Massaud; J Paul; Jennifer Hollack Raboin; Javier Mariscal; Jasper Morrison; James Brooksberry; Jamie Graney; J. Kent Martin; Jonathan Adler; Jennifer Ridel; Jose Javier Malavia; John Beard; JMV; Jordan Glassco Smith; Europatex; Jorge Pensi; Jose Luis Santes; John Strauss/Carisa Marie; Jose Maria Reina; Ettore Sottsass; Enrico Cosi &amp; Sergio Tabellini; Eugeni Quitllet; Jose Santaeulalia; Jessica Hollander; JoyJolt; Jim and Phoebe Howard; Julia Knight; Kelly Wearstler; Laura Park; Kurt Merki Jr.; Karin Reiter; Karo Martirosyan"/>
    <hyperlink ref="KN7" location="#vvh_1437_fp_S_class_6161" display="Please choose one or more from the following, using a semicolon (;) to separate each value: Mold / Mildew Resistant; Water Resistant; No Durability Features; Drip Free; Fade Resistant; Heat Resistant; Stain Resistant; Reinforced; Non-Porous; Fray Resistant; Non-Staining"/>
    <hyperlink ref="KO7" location="#vvh_1557_fp_S_class_6161" display="Please choose one or more from the following, using a semicolon (;) to separate each value: Newborn (Birth - 6 months old); Infant (6 - 12 Months); Toddler (1 - 3 Years); Pre-school (3 - 5 Years); Youth (5 - 8 Years); Pre-teen (9 - 12 Years); Teen (13+); Adult (18+); All Ages; Adult; Baby; Kid; Teen; Toddler"/>
    <hyperlink ref="KP7" location="#vvh_27_fp_S_class_6161" display="Please choose one or more from the following, using a semicolon (;) to separate each value: Non Residential Use; Residential Use"/>
    <hyperlink ref="KQ7" location="#vvh_1436_fp_S_class_6161" display="Please choose one or more from the following, using a semicolon (;) to separate each value: Wipe down with mild soap and water; Use product specific cleaner; Wipe clean with a dry cloth; Dust mop; Hand wash recommended; Spot clean only; Clean with soap and water; Clean spills immediately; Non-Abrasive, Neutral Ph Cleaner; Vacuum with no beater bar/rotating brush; Professional / Dry Clean Recommended; Vacuum with upholstery attachment; Avoid use of abrasive cleaners; Do not wash; Spot clean; Wipe with wet cloth; Spot clean with water; No washing / drying care; Do not bleach; Vacuum; Avoid direct sunlight; Clean with cloth, mild soap, and warm water; Spot clean with mild detergent; Spot clean as needed; Do not use any cleaning agents; Use dry, solvent-based cleaner; Wipe with cloth; Wipe Clean Only; Wipe clean with a damp cloth; Does Not Apply"/>
    <hyperlink ref="KR7" location="#vvh_95_fp_S_class_6161" display="Please choose one or more from the following, using a semicolon (;) to separate each value: Made in USA; Made in USA of Imported Materials; Product of Canada; Made In Canada; Does Not Apply"/>
    <hyperlink ref="KY7" location="#vvh_135_fp_S_class_6161" display="Select"/>
    <hyperlink ref="KZ7" location="#vvh_256_fp_S_class_6161" display="Select"/>
    <hyperlink ref="LA7" location="#vvh_31_fp_S_class_6161" display="Select"/>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sheetPr>
    <outlinePr summaryRight="0"/>
  </sheetPr>
  <dimension ref="A1:CR902"/>
  <sheetViews>
    <sheetView workbookViewId="0"/>
  </sheetViews>
  <sheetFormatPr defaultRowHeight="15"/>
  <cols>
    <col min="1" max="1" width="37.7109375" customWidth="1"/>
    <col min="2" max="2" width="49.7109375" customWidth="1"/>
    <col min="3" max="3" width="12.7109375" customWidth="1"/>
    <col min="4" max="4" width="24.7109375" customWidth="1"/>
    <col min="5" max="5" width="17.7109375" customWidth="1"/>
    <col min="6" max="6" width="29.7109375" customWidth="1"/>
    <col min="7" max="7" width="33.7109375" customWidth="1"/>
    <col min="8" max="8" width="45.7109375" customWidth="1"/>
    <col min="9" max="9" width="24.7109375" customWidth="1"/>
    <col min="10" max="10" width="36.7109375" customWidth="1"/>
    <col min="11" max="11" width="36.7109375" hidden="1" customWidth="1"/>
    <col min="12" max="12" width="48.7109375" hidden="1" customWidth="1"/>
    <col min="13" max="13" width="13.7109375" customWidth="1"/>
    <col min="14" max="14" width="25.7109375" customWidth="1"/>
    <col min="15" max="15" width="22.7109375" customWidth="1"/>
    <col min="16" max="16" width="34.7109375" customWidth="1"/>
    <col min="17" max="17" width="23.7109375" customWidth="1"/>
    <col min="18" max="18" width="35.7109375" customWidth="1"/>
    <col min="19" max="19" width="43.7109375" customWidth="1"/>
    <col min="20" max="20" width="55.7109375" customWidth="1"/>
    <col min="21" max="21" width="13.7109375" hidden="1" customWidth="1"/>
    <col min="22" max="22" width="25.7109375" hidden="1" customWidth="1"/>
    <col min="23" max="23" width="30.7109375" customWidth="1"/>
    <col min="24" max="24" width="42.7109375" customWidth="1"/>
    <col min="25" max="25" width="35.7109375" customWidth="1"/>
    <col min="26" max="26" width="47.7109375" customWidth="1"/>
    <col min="27" max="27" width="27.7109375" customWidth="1"/>
    <col min="28" max="28" width="39.7109375" customWidth="1"/>
    <col min="29" max="29" width="10.7109375" customWidth="1"/>
    <col min="30" max="30" width="22.7109375" customWidth="1"/>
    <col min="31" max="31" width="20.7109375" customWidth="1"/>
    <col min="32" max="32" width="32.7109375" customWidth="1"/>
    <col min="33" max="33" width="29.7109375" customWidth="1"/>
    <col min="34" max="35" width="41.7109375" customWidth="1"/>
    <col min="36" max="36" width="53.7109375" customWidth="1"/>
    <col min="37" max="37" width="14.7109375" customWidth="1"/>
    <col min="38" max="38" width="26.7109375" customWidth="1"/>
    <col min="39" max="39" width="24.7109375" hidden="1" customWidth="1"/>
    <col min="40" max="40" width="36.7109375" hidden="1" customWidth="1"/>
    <col min="41" max="41" width="53.7109375" customWidth="1"/>
    <col min="42" max="42" width="65.7109375" customWidth="1"/>
    <col min="43" max="43" width="107.7109375" customWidth="1"/>
    <col min="44" max="44" width="119.7109375" customWidth="1"/>
    <col min="45" max="45" width="64.7109375" customWidth="1"/>
    <col min="46" max="46" width="76.7109375" customWidth="1"/>
    <col min="47" max="47" width="31.7109375" hidden="1" customWidth="1"/>
    <col min="48" max="48" width="43.7109375" hidden="1" customWidth="1"/>
    <col min="49" max="49" width="19.7109375" customWidth="1"/>
    <col min="50" max="50" width="31.7109375" customWidth="1"/>
    <col min="51" max="51" width="79.7109375" hidden="1" customWidth="1"/>
    <col min="52" max="52" width="91.7109375" hidden="1" customWidth="1"/>
    <col min="53" max="53" width="10.7109375" customWidth="1"/>
    <col min="54" max="54" width="17.7109375" customWidth="1"/>
    <col min="55" max="55" width="41.7109375" customWidth="1"/>
    <col min="56" max="56" width="14.7109375" customWidth="1"/>
    <col min="57" max="57" width="18.7109375" customWidth="1"/>
    <col min="58" max="58" width="14.7109375" customWidth="1"/>
    <col min="59" max="59" width="26.7109375" customWidth="1"/>
    <col min="60" max="60" width="14.7109375" hidden="1" customWidth="1"/>
    <col min="61" max="61" width="20.7109375" hidden="1" customWidth="1"/>
    <col min="62" max="62" width="21.7109375" hidden="1" customWidth="1"/>
    <col min="63" max="64" width="13.7109375" customWidth="1"/>
    <col min="65" max="65" width="18.7109375" customWidth="1"/>
    <col min="66" max="66" width="24.7109375" customWidth="1"/>
    <col min="67" max="67" width="20.7109375" customWidth="1"/>
    <col min="68" max="68" width="33.7109375" customWidth="1"/>
    <col min="69" max="69" width="45.7109375" customWidth="1"/>
    <col min="70" max="70" width="21.7109375" customWidth="1"/>
    <col min="71" max="71" width="33.7109375" customWidth="1"/>
    <col min="72" max="72" width="17.7109375" customWidth="1"/>
    <col min="73" max="74" width="29.7109375" customWidth="1"/>
    <col min="75" max="75" width="41.7109375" customWidth="1"/>
    <col min="76" max="76" width="11.7109375" customWidth="1"/>
    <col min="77" max="77" width="23.7109375" customWidth="1"/>
    <col min="78" max="78" width="37.7109375" customWidth="1"/>
    <col min="79" max="79" width="49.7109375" customWidth="1"/>
    <col min="80" max="80" width="21.7109375" customWidth="1"/>
    <col min="81" max="81" width="33.7109375" customWidth="1"/>
    <col min="82" max="82" width="12.7109375" customWidth="1"/>
    <col min="83" max="83" width="24.7109375" customWidth="1"/>
    <col min="84" max="84" width="15.7109375" customWidth="1"/>
    <col min="85" max="85" width="27.7109375" customWidth="1"/>
    <col min="86" max="86" width="22.7109375" customWidth="1"/>
    <col min="87" max="87" width="34.7109375" customWidth="1"/>
    <col min="88" max="88" width="13.7109375" customWidth="1"/>
    <col min="89" max="89" width="25.7109375" customWidth="1"/>
    <col min="90" max="90" width="31.7109375" customWidth="1"/>
    <col min="91" max="91" width="43.7109375" customWidth="1"/>
    <col min="92" max="92" width="39.7109375" customWidth="1"/>
    <col min="93" max="93" width="51.7109375" customWidth="1"/>
    <col min="94" max="94" width="17.7109375" customWidth="1"/>
    <col min="95" max="95" width="29.7109375" customWidth="1"/>
    <col min="96" max="96" width="37.7109375" customWidth="1"/>
  </cols>
  <sheetData>
    <row r="1" spans="1:96" ht="50" customHeight="1">
      <c r="A1" s="40" t="s">
        <v>674</v>
      </c>
      <c r="B1" s="41" t="s">
        <v>675</v>
      </c>
      <c r="C1" s="40" t="s">
        <v>501</v>
      </c>
      <c r="D1" s="41" t="s">
        <v>676</v>
      </c>
      <c r="E1" s="40" t="s">
        <v>502</v>
      </c>
      <c r="F1" s="41" t="s">
        <v>677</v>
      </c>
      <c r="G1" s="40" t="s">
        <v>678</v>
      </c>
      <c r="H1" s="41" t="s">
        <v>679</v>
      </c>
      <c r="I1" s="40" t="s">
        <v>504</v>
      </c>
      <c r="J1" s="41" t="s">
        <v>680</v>
      </c>
      <c r="K1" s="41" t="s">
        <v>505</v>
      </c>
      <c r="L1" s="41" t="s">
        <v>681</v>
      </c>
      <c r="M1" s="40" t="s">
        <v>506</v>
      </c>
      <c r="N1" s="41" t="s">
        <v>682</v>
      </c>
      <c r="O1" s="40" t="s">
        <v>416</v>
      </c>
      <c r="P1" s="41" t="s">
        <v>683</v>
      </c>
      <c r="Q1" s="40" t="s">
        <v>507</v>
      </c>
      <c r="R1" s="41" t="s">
        <v>684</v>
      </c>
      <c r="S1" s="40" t="s">
        <v>508</v>
      </c>
      <c r="T1" s="41" t="s">
        <v>685</v>
      </c>
      <c r="U1" s="41" t="s">
        <v>509</v>
      </c>
      <c r="V1" s="41" t="s">
        <v>686</v>
      </c>
      <c r="W1" s="40" t="s">
        <v>510</v>
      </c>
      <c r="X1" s="41" t="s">
        <v>687</v>
      </c>
      <c r="Y1" s="40" t="s">
        <v>688</v>
      </c>
      <c r="Z1" s="41" t="s">
        <v>689</v>
      </c>
      <c r="AA1" s="40" t="s">
        <v>512</v>
      </c>
      <c r="AB1" s="41" t="s">
        <v>690</v>
      </c>
      <c r="AC1" s="40" t="s">
        <v>513</v>
      </c>
      <c r="AD1" s="41" t="s">
        <v>691</v>
      </c>
      <c r="AE1" s="40" t="s">
        <v>515</v>
      </c>
      <c r="AF1" s="41" t="s">
        <v>692</v>
      </c>
      <c r="AG1" s="40" t="s">
        <v>516</v>
      </c>
      <c r="AH1" s="41" t="s">
        <v>693</v>
      </c>
      <c r="AI1" s="40" t="s">
        <v>694</v>
      </c>
      <c r="AJ1" s="41" t="s">
        <v>695</v>
      </c>
      <c r="AK1" s="40" t="s">
        <v>518</v>
      </c>
      <c r="AL1" s="41" t="s">
        <v>696</v>
      </c>
      <c r="AM1" s="41" t="s">
        <v>522</v>
      </c>
      <c r="AN1" s="41" t="s">
        <v>697</v>
      </c>
      <c r="AO1" s="40" t="s">
        <v>698</v>
      </c>
      <c r="AP1" s="41" t="s">
        <v>699</v>
      </c>
      <c r="AQ1" s="40" t="s">
        <v>524</v>
      </c>
      <c r="AR1" s="41" t="s">
        <v>700</v>
      </c>
      <c r="AS1" s="40" t="s">
        <v>525</v>
      </c>
      <c r="AT1" s="41" t="s">
        <v>701</v>
      </c>
      <c r="AU1" s="41" t="s">
        <v>526</v>
      </c>
      <c r="AV1" s="41" t="s">
        <v>702</v>
      </c>
      <c r="AW1" s="40" t="s">
        <v>527</v>
      </c>
      <c r="AX1" s="41" t="s">
        <v>703</v>
      </c>
      <c r="AY1" s="41" t="s">
        <v>528</v>
      </c>
      <c r="AZ1" s="41" t="s">
        <v>704</v>
      </c>
      <c r="BA1" s="40" t="s">
        <v>221</v>
      </c>
      <c r="BB1" s="40" t="s">
        <v>223</v>
      </c>
      <c r="BC1" s="40" t="s">
        <v>705</v>
      </c>
      <c r="BD1" s="40" t="s">
        <v>249</v>
      </c>
      <c r="BE1" s="40" t="s">
        <v>250</v>
      </c>
      <c r="BF1" s="40" t="s">
        <v>251</v>
      </c>
      <c r="BG1" s="40" t="s">
        <v>252</v>
      </c>
      <c r="BH1" s="41" t="s">
        <v>254</v>
      </c>
      <c r="BI1" s="41" t="s">
        <v>255</v>
      </c>
      <c r="BJ1" s="41" t="s">
        <v>417</v>
      </c>
      <c r="BK1" s="40" t="s">
        <v>706</v>
      </c>
      <c r="BL1" s="40" t="s">
        <v>707</v>
      </c>
      <c r="BM1" s="40" t="s">
        <v>708</v>
      </c>
      <c r="BN1" s="40" t="s">
        <v>709</v>
      </c>
      <c r="BO1" s="40" t="s">
        <v>710</v>
      </c>
      <c r="BP1" s="40" t="s">
        <v>711</v>
      </c>
      <c r="BQ1" s="41" t="s">
        <v>712</v>
      </c>
      <c r="BR1" s="40" t="s">
        <v>634</v>
      </c>
      <c r="BS1" s="41" t="s">
        <v>713</v>
      </c>
      <c r="BT1" s="40" t="s">
        <v>635</v>
      </c>
      <c r="BU1" s="41" t="s">
        <v>714</v>
      </c>
      <c r="BV1" s="40" t="s">
        <v>715</v>
      </c>
      <c r="BW1" s="41" t="s">
        <v>716</v>
      </c>
      <c r="BX1" s="40" t="s">
        <v>636</v>
      </c>
      <c r="BY1" s="41" t="s">
        <v>717</v>
      </c>
      <c r="BZ1" s="40" t="s">
        <v>718</v>
      </c>
      <c r="CA1" s="41" t="s">
        <v>719</v>
      </c>
      <c r="CB1" s="40" t="s">
        <v>637</v>
      </c>
      <c r="CC1" s="41" t="s">
        <v>720</v>
      </c>
      <c r="CD1" s="40" t="s">
        <v>638</v>
      </c>
      <c r="CE1" s="41" t="s">
        <v>721</v>
      </c>
      <c r="CF1" s="40" t="s">
        <v>641</v>
      </c>
      <c r="CG1" s="41" t="s">
        <v>722</v>
      </c>
      <c r="CH1" s="40" t="s">
        <v>642</v>
      </c>
      <c r="CI1" s="41" t="s">
        <v>723</v>
      </c>
      <c r="CJ1" s="40" t="s">
        <v>643</v>
      </c>
      <c r="CK1" s="41" t="s">
        <v>724</v>
      </c>
      <c r="CL1" s="40" t="s">
        <v>725</v>
      </c>
      <c r="CM1" s="41" t="s">
        <v>726</v>
      </c>
      <c r="CN1" s="40" t="s">
        <v>644</v>
      </c>
      <c r="CO1" s="41" t="s">
        <v>727</v>
      </c>
      <c r="CP1" s="40" t="s">
        <v>645</v>
      </c>
      <c r="CQ1" s="41" t="s">
        <v>728</v>
      </c>
      <c r="CR1" s="40" t="s">
        <v>729</v>
      </c>
    </row>
    <row r="2" spans="1:96">
      <c r="A2" t="s">
        <v>730</v>
      </c>
      <c r="B2" s="42" t="s">
        <v>743</v>
      </c>
      <c r="C2" t="s">
        <v>756</v>
      </c>
      <c r="D2" s="42" t="s">
        <v>788</v>
      </c>
      <c r="E2" t="s">
        <v>820</v>
      </c>
      <c r="F2" s="42" t="s">
        <v>829</v>
      </c>
      <c r="G2" t="s">
        <v>838</v>
      </c>
      <c r="H2" s="42" t="s">
        <v>881</v>
      </c>
      <c r="I2" t="s">
        <v>924</v>
      </c>
      <c r="J2" s="42" t="s">
        <v>947</v>
      </c>
      <c r="K2" t="s">
        <v>972</v>
      </c>
      <c r="L2" s="42" t="s">
        <v>975</v>
      </c>
      <c r="M2" t="s">
        <v>978</v>
      </c>
      <c r="N2" s="42" t="s">
        <v>1005</v>
      </c>
      <c r="O2" t="s">
        <v>1032</v>
      </c>
      <c r="P2" s="42" t="s">
        <v>1279</v>
      </c>
      <c r="Q2" t="s">
        <v>1526</v>
      </c>
      <c r="R2" s="42" t="s">
        <v>1552</v>
      </c>
      <c r="S2" t="s">
        <v>1578</v>
      </c>
      <c r="T2" s="42" t="s">
        <v>1582</v>
      </c>
      <c r="U2" t="s">
        <v>972</v>
      </c>
      <c r="V2" s="42" t="s">
        <v>1586</v>
      </c>
      <c r="W2" t="s">
        <v>1588</v>
      </c>
      <c r="X2" s="42" t="s">
        <v>1593</v>
      </c>
      <c r="Y2" t="s">
        <v>1598</v>
      </c>
      <c r="Z2" s="42" t="s">
        <v>1617</v>
      </c>
      <c r="AA2" t="s">
        <v>1636</v>
      </c>
      <c r="AB2" s="42" t="s">
        <v>1648</v>
      </c>
      <c r="AC2" t="s">
        <v>58</v>
      </c>
      <c r="AD2" s="42" t="s">
        <v>1676</v>
      </c>
      <c r="AE2" t="s">
        <v>1696</v>
      </c>
      <c r="AF2" s="42" t="s">
        <v>1698</v>
      </c>
      <c r="AG2" t="s">
        <v>1700</v>
      </c>
      <c r="AH2" s="42" t="s">
        <v>1876</v>
      </c>
      <c r="AI2" t="s">
        <v>2052</v>
      </c>
      <c r="AJ2" s="42" t="s">
        <v>2060</v>
      </c>
      <c r="AK2" t="s">
        <v>2069</v>
      </c>
      <c r="AL2" s="42" t="s">
        <v>2083</v>
      </c>
      <c r="AM2" t="s">
        <v>972</v>
      </c>
      <c r="AN2" s="42" t="s">
        <v>2097</v>
      </c>
      <c r="AO2" t="s">
        <v>2099</v>
      </c>
      <c r="AP2" s="42" t="s">
        <v>2123</v>
      </c>
      <c r="AQ2" t="s">
        <v>973</v>
      </c>
      <c r="AR2" s="42" t="s">
        <v>1587</v>
      </c>
      <c r="AS2" t="s">
        <v>972</v>
      </c>
      <c r="AT2" s="42" t="s">
        <v>2148</v>
      </c>
      <c r="AU2" t="s">
        <v>972</v>
      </c>
      <c r="AV2" s="42" t="s">
        <v>2150</v>
      </c>
      <c r="AW2" t="s">
        <v>2152</v>
      </c>
      <c r="AX2" s="42" t="s">
        <v>2154</v>
      </c>
      <c r="AY2" t="s">
        <v>972</v>
      </c>
      <c r="AZ2" s="42" t="s">
        <v>2156</v>
      </c>
      <c r="BA2" t="s">
        <v>2158</v>
      </c>
      <c r="BB2" t="s">
        <v>2159</v>
      </c>
      <c r="BC2" t="s">
        <v>2162</v>
      </c>
      <c r="BD2" t="s">
        <v>2163</v>
      </c>
      <c r="BE2" t="s">
        <v>2165</v>
      </c>
      <c r="BF2" t="s">
        <v>2183</v>
      </c>
      <c r="BG2" t="s">
        <v>2183</v>
      </c>
      <c r="BH2" t="s">
        <v>972</v>
      </c>
      <c r="BI2" t="s">
        <v>973</v>
      </c>
      <c r="BJ2" t="s">
        <v>972</v>
      </c>
      <c r="BK2" t="s">
        <v>2216</v>
      </c>
      <c r="BL2" t="s">
        <v>3117</v>
      </c>
      <c r="BM2" t="s">
        <v>3120</v>
      </c>
      <c r="BN2" t="s">
        <v>3135</v>
      </c>
      <c r="BO2" t="s">
        <v>3635</v>
      </c>
      <c r="BP2" t="s">
        <v>3639</v>
      </c>
      <c r="BQ2" s="42" t="s">
        <v>3647</v>
      </c>
      <c r="BR2" t="s">
        <v>3655</v>
      </c>
      <c r="BS2" s="42" t="s">
        <v>3658</v>
      </c>
      <c r="BT2" t="s">
        <v>3661</v>
      </c>
      <c r="BU2" s="42" t="s">
        <v>3664</v>
      </c>
      <c r="BV2" t="s">
        <v>849</v>
      </c>
      <c r="BW2" s="42" t="s">
        <v>892</v>
      </c>
      <c r="BX2" t="s">
        <v>820</v>
      </c>
      <c r="BY2" s="42" t="s">
        <v>3680</v>
      </c>
      <c r="BZ2" t="s">
        <v>2052</v>
      </c>
      <c r="CA2" s="42" t="s">
        <v>2060</v>
      </c>
      <c r="CB2" t="s">
        <v>3691</v>
      </c>
      <c r="CC2" s="42" t="s">
        <v>4252</v>
      </c>
      <c r="CD2" t="s">
        <v>766</v>
      </c>
      <c r="CE2" s="42" t="s">
        <v>4848</v>
      </c>
      <c r="CF2" t="s">
        <v>4886</v>
      </c>
      <c r="CG2" s="42" t="s">
        <v>4889</v>
      </c>
      <c r="CH2" t="s">
        <v>4892</v>
      </c>
      <c r="CI2" s="42" t="s">
        <v>4896</v>
      </c>
      <c r="CJ2" t="s">
        <v>4900</v>
      </c>
      <c r="CK2" s="42" t="s">
        <v>5209</v>
      </c>
      <c r="CL2" t="s">
        <v>1598</v>
      </c>
      <c r="CM2" s="42" t="s">
        <v>1617</v>
      </c>
      <c r="CN2" t="s">
        <v>5524</v>
      </c>
      <c r="CO2" s="42" t="s">
        <v>5526</v>
      </c>
      <c r="CP2" t="s">
        <v>5528</v>
      </c>
      <c r="CQ2" s="42" t="s">
        <v>5557</v>
      </c>
      <c r="CR2" t="s">
        <v>2162</v>
      </c>
    </row>
    <row r="3" spans="1:96">
      <c r="A3" t="s">
        <v>731</v>
      </c>
      <c r="B3" s="42" t="s">
        <v>744</v>
      </c>
      <c r="C3" t="s">
        <v>757</v>
      </c>
      <c r="D3" s="42" t="s">
        <v>789</v>
      </c>
      <c r="E3" t="s">
        <v>821</v>
      </c>
      <c r="F3" s="42" t="s">
        <v>830</v>
      </c>
      <c r="G3" t="s">
        <v>839</v>
      </c>
      <c r="H3" s="42" t="s">
        <v>882</v>
      </c>
      <c r="I3" t="s">
        <v>925</v>
      </c>
      <c r="J3" s="42" t="s">
        <v>948</v>
      </c>
      <c r="K3" t="s">
        <v>973</v>
      </c>
      <c r="L3" s="42" t="s">
        <v>976</v>
      </c>
      <c r="M3" t="s">
        <v>979</v>
      </c>
      <c r="N3" s="42" t="s">
        <v>1006</v>
      </c>
      <c r="O3" t="s">
        <v>1033</v>
      </c>
      <c r="P3" s="42" t="s">
        <v>1280</v>
      </c>
      <c r="Q3" t="s">
        <v>1527</v>
      </c>
      <c r="R3" s="42" t="s">
        <v>1553</v>
      </c>
      <c r="S3" t="s">
        <v>1579</v>
      </c>
      <c r="T3" s="42" t="s">
        <v>1583</v>
      </c>
      <c r="U3" t="s">
        <v>973</v>
      </c>
      <c r="V3" s="42" t="s">
        <v>1587</v>
      </c>
      <c r="W3" t="s">
        <v>1589</v>
      </c>
      <c r="X3" s="42" t="s">
        <v>1594</v>
      </c>
      <c r="Y3" t="s">
        <v>1599</v>
      </c>
      <c r="Z3" s="42" t="s">
        <v>1618</v>
      </c>
      <c r="AA3" t="s">
        <v>1637</v>
      </c>
      <c r="AB3" s="42" t="s">
        <v>1649</v>
      </c>
      <c r="AC3" t="s">
        <v>1660</v>
      </c>
      <c r="AD3" s="42" t="s">
        <v>1677</v>
      </c>
      <c r="AE3" t="s">
        <v>1697</v>
      </c>
      <c r="AF3" s="42" t="s">
        <v>1699</v>
      </c>
      <c r="AG3" t="s">
        <v>1701</v>
      </c>
      <c r="AH3" s="42" t="s">
        <v>1877</v>
      </c>
      <c r="AI3" t="s">
        <v>2053</v>
      </c>
      <c r="AJ3" s="42" t="s">
        <v>2061</v>
      </c>
      <c r="AK3" t="s">
        <v>2070</v>
      </c>
      <c r="AL3" s="42" t="s">
        <v>2084</v>
      </c>
      <c r="AM3" t="s">
        <v>973</v>
      </c>
      <c r="AN3" s="42" t="s">
        <v>2098</v>
      </c>
      <c r="AO3" t="s">
        <v>2100</v>
      </c>
      <c r="AP3" s="42" t="s">
        <v>2124</v>
      </c>
      <c r="AQ3" t="s">
        <v>972</v>
      </c>
      <c r="AR3" s="42" t="s">
        <v>2147</v>
      </c>
      <c r="AS3" t="s">
        <v>973</v>
      </c>
      <c r="AT3" s="42" t="s">
        <v>2149</v>
      </c>
      <c r="AU3" t="s">
        <v>973</v>
      </c>
      <c r="AV3" s="42" t="s">
        <v>2151</v>
      </c>
      <c r="AW3" t="s">
        <v>2153</v>
      </c>
      <c r="AX3" s="42" t="s">
        <v>2155</v>
      </c>
      <c r="AY3" t="s">
        <v>973</v>
      </c>
      <c r="AZ3" s="42" t="s">
        <v>2157</v>
      </c>
      <c r="BB3" t="s">
        <v>2160</v>
      </c>
      <c r="BC3" t="s">
        <v>513</v>
      </c>
      <c r="BD3" t="s">
        <v>2164</v>
      </c>
      <c r="BE3" t="s">
        <v>2166</v>
      </c>
      <c r="BF3" t="s">
        <v>194</v>
      </c>
      <c r="BG3" t="s">
        <v>194</v>
      </c>
      <c r="BH3" t="s">
        <v>973</v>
      </c>
      <c r="BI3" t="s">
        <v>972</v>
      </c>
      <c r="BJ3" t="s">
        <v>973</v>
      </c>
      <c r="BK3" t="s">
        <v>2217</v>
      </c>
      <c r="BL3" t="s">
        <v>3118</v>
      </c>
      <c r="BM3" t="s">
        <v>3121</v>
      </c>
      <c r="BN3" t="s">
        <v>3136</v>
      </c>
      <c r="BO3" t="s">
        <v>3636</v>
      </c>
      <c r="BP3" t="s">
        <v>3640</v>
      </c>
      <c r="BQ3" s="42" t="s">
        <v>3648</v>
      </c>
      <c r="BR3" t="s">
        <v>3656</v>
      </c>
      <c r="BS3" s="42" t="s">
        <v>3659</v>
      </c>
      <c r="BT3" t="s">
        <v>3662</v>
      </c>
      <c r="BU3" s="42" t="s">
        <v>3665</v>
      </c>
      <c r="BV3" t="s">
        <v>838</v>
      </c>
      <c r="BW3" s="42" t="s">
        <v>881</v>
      </c>
      <c r="BX3" t="s">
        <v>3673</v>
      </c>
      <c r="BY3" s="42" t="s">
        <v>3681</v>
      </c>
      <c r="BZ3" t="s">
        <v>3689</v>
      </c>
      <c r="CA3" s="42" t="s">
        <v>3690</v>
      </c>
      <c r="CB3" t="s">
        <v>3692</v>
      </c>
      <c r="CC3" s="42" t="s">
        <v>4253</v>
      </c>
      <c r="CD3" t="s">
        <v>4812</v>
      </c>
      <c r="CE3" s="42" t="s">
        <v>4849</v>
      </c>
      <c r="CF3" t="s">
        <v>4887</v>
      </c>
      <c r="CG3" s="42" t="s">
        <v>4890</v>
      </c>
      <c r="CH3" t="s">
        <v>4893</v>
      </c>
      <c r="CI3" s="42" t="s">
        <v>4897</v>
      </c>
      <c r="CJ3" t="s">
        <v>4901</v>
      </c>
      <c r="CK3" s="42" t="s">
        <v>5210</v>
      </c>
      <c r="CL3" t="s">
        <v>1599</v>
      </c>
      <c r="CM3" s="42" t="s">
        <v>1618</v>
      </c>
      <c r="CN3" t="s">
        <v>5525</v>
      </c>
      <c r="CO3" s="42" t="s">
        <v>5527</v>
      </c>
      <c r="CP3" t="s">
        <v>5529</v>
      </c>
      <c r="CQ3" s="42" t="s">
        <v>5558</v>
      </c>
      <c r="CR3" t="s">
        <v>513</v>
      </c>
    </row>
    <row r="4" spans="1:96">
      <c r="A4" t="s">
        <v>732</v>
      </c>
      <c r="B4" s="42" t="s">
        <v>745</v>
      </c>
      <c r="C4" t="s">
        <v>758</v>
      </c>
      <c r="D4" s="42" t="s">
        <v>790</v>
      </c>
      <c r="E4" t="s">
        <v>822</v>
      </c>
      <c r="F4" s="42" t="s">
        <v>831</v>
      </c>
      <c r="G4" t="s">
        <v>840</v>
      </c>
      <c r="H4" s="42" t="s">
        <v>883</v>
      </c>
      <c r="I4" t="s">
        <v>926</v>
      </c>
      <c r="J4" s="42" t="s">
        <v>949</v>
      </c>
      <c r="K4" t="s">
        <v>974</v>
      </c>
      <c r="L4" s="42" t="s">
        <v>977</v>
      </c>
      <c r="M4" t="s">
        <v>980</v>
      </c>
      <c r="N4" s="42" t="s">
        <v>1007</v>
      </c>
      <c r="O4" t="s">
        <v>1034</v>
      </c>
      <c r="P4" s="42" t="s">
        <v>1281</v>
      </c>
      <c r="Q4" t="s">
        <v>1528</v>
      </c>
      <c r="R4" s="42" t="s">
        <v>1554</v>
      </c>
      <c r="S4" t="s">
        <v>1580</v>
      </c>
      <c r="T4" s="42" t="s">
        <v>1584</v>
      </c>
      <c r="U4" t="s">
        <v>974</v>
      </c>
      <c r="V4" s="42" t="s">
        <v>977</v>
      </c>
      <c r="W4" t="s">
        <v>1590</v>
      </c>
      <c r="X4" s="42" t="s">
        <v>1595</v>
      </c>
      <c r="Y4" t="s">
        <v>1600</v>
      </c>
      <c r="Z4" s="42" t="s">
        <v>1619</v>
      </c>
      <c r="AA4" t="s">
        <v>1638</v>
      </c>
      <c r="AB4" s="42" t="s">
        <v>1650</v>
      </c>
      <c r="AC4" t="s">
        <v>1661</v>
      </c>
      <c r="AD4" s="42" t="s">
        <v>1678</v>
      </c>
      <c r="AE4" t="s">
        <v>974</v>
      </c>
      <c r="AF4" s="42" t="s">
        <v>977</v>
      </c>
      <c r="AG4" t="s">
        <v>1702</v>
      </c>
      <c r="AH4" s="42" t="s">
        <v>1878</v>
      </c>
      <c r="AI4" t="s">
        <v>2054</v>
      </c>
      <c r="AJ4" s="42" t="s">
        <v>2062</v>
      </c>
      <c r="AK4" t="s">
        <v>2071</v>
      </c>
      <c r="AL4" s="42" t="s">
        <v>2085</v>
      </c>
      <c r="AM4" t="s">
        <v>974</v>
      </c>
      <c r="AN4" s="42" t="s">
        <v>977</v>
      </c>
      <c r="AO4" t="s">
        <v>2101</v>
      </c>
      <c r="AP4" s="42" t="s">
        <v>2125</v>
      </c>
      <c r="AW4" t="s">
        <v>974</v>
      </c>
      <c r="AX4" s="42" t="s">
        <v>977</v>
      </c>
      <c r="AY4" t="s">
        <v>974</v>
      </c>
      <c r="AZ4" s="42" t="s">
        <v>977</v>
      </c>
      <c r="BB4" t="s">
        <v>2161</v>
      </c>
      <c r="BE4" t="s">
        <v>2167</v>
      </c>
      <c r="BF4" t="s">
        <v>2184</v>
      </c>
      <c r="BG4" t="s">
        <v>2184</v>
      </c>
      <c r="BK4" t="s">
        <v>2218</v>
      </c>
      <c r="BL4" t="s">
        <v>3119</v>
      </c>
      <c r="BM4" t="s">
        <v>3122</v>
      </c>
      <c r="BN4" t="s">
        <v>3137</v>
      </c>
      <c r="BO4" t="s">
        <v>3637</v>
      </c>
      <c r="BP4" t="s">
        <v>3641</v>
      </c>
      <c r="BQ4" s="42" t="s">
        <v>3649</v>
      </c>
      <c r="BR4" t="s">
        <v>3657</v>
      </c>
      <c r="BS4" s="42" t="s">
        <v>3660</v>
      </c>
      <c r="BT4" t="s">
        <v>3663</v>
      </c>
      <c r="BU4" s="42" t="s">
        <v>3666</v>
      </c>
      <c r="BV4" t="s">
        <v>841</v>
      </c>
      <c r="BW4" s="42" t="s">
        <v>884</v>
      </c>
      <c r="BX4" t="s">
        <v>3674</v>
      </c>
      <c r="BY4" s="42" t="s">
        <v>3682</v>
      </c>
      <c r="BZ4" t="s">
        <v>2059</v>
      </c>
      <c r="CA4" s="42" t="s">
        <v>2068</v>
      </c>
      <c r="CB4" t="s">
        <v>3693</v>
      </c>
      <c r="CC4" s="42" t="s">
        <v>4254</v>
      </c>
      <c r="CD4" t="s">
        <v>4813</v>
      </c>
      <c r="CE4" s="42" t="s">
        <v>4850</v>
      </c>
      <c r="CF4" t="s">
        <v>4888</v>
      </c>
      <c r="CG4" s="42" t="s">
        <v>4891</v>
      </c>
      <c r="CH4" t="s">
        <v>4894</v>
      </c>
      <c r="CI4" s="42" t="s">
        <v>4898</v>
      </c>
      <c r="CJ4" t="s">
        <v>4902</v>
      </c>
      <c r="CK4" s="42" t="s">
        <v>5211</v>
      </c>
      <c r="CL4" t="s">
        <v>1600</v>
      </c>
      <c r="CM4" s="42" t="s">
        <v>1619</v>
      </c>
      <c r="CP4" t="s">
        <v>5530</v>
      </c>
      <c r="CQ4" s="42" t="s">
        <v>5559</v>
      </c>
      <c r="CR4" t="s">
        <v>5586</v>
      </c>
    </row>
    <row r="5" spans="1:96">
      <c r="A5" t="s">
        <v>733</v>
      </c>
      <c r="B5" s="42" t="s">
        <v>746</v>
      </c>
      <c r="C5" t="s">
        <v>759</v>
      </c>
      <c r="D5" s="42" t="s">
        <v>791</v>
      </c>
      <c r="E5" t="s">
        <v>823</v>
      </c>
      <c r="F5" s="42" t="s">
        <v>832</v>
      </c>
      <c r="G5" t="s">
        <v>841</v>
      </c>
      <c r="H5" s="42" t="s">
        <v>884</v>
      </c>
      <c r="I5" t="s">
        <v>927</v>
      </c>
      <c r="J5" s="42" t="s">
        <v>950</v>
      </c>
      <c r="K5" t="s">
        <v>787</v>
      </c>
      <c r="L5" s="42" t="s">
        <v>819</v>
      </c>
      <c r="M5" t="s">
        <v>981</v>
      </c>
      <c r="N5" s="42" t="s">
        <v>1008</v>
      </c>
      <c r="O5" t="s">
        <v>1035</v>
      </c>
      <c r="P5" s="42" t="s">
        <v>1282</v>
      </c>
      <c r="Q5" t="s">
        <v>1529</v>
      </c>
      <c r="R5" s="42" t="s">
        <v>1555</v>
      </c>
      <c r="S5" t="s">
        <v>1581</v>
      </c>
      <c r="T5" s="42" t="s">
        <v>1585</v>
      </c>
      <c r="U5" t="s">
        <v>787</v>
      </c>
      <c r="V5" s="42" t="s">
        <v>819</v>
      </c>
      <c r="W5" t="s">
        <v>1591</v>
      </c>
      <c r="X5" s="42" t="s">
        <v>1596</v>
      </c>
      <c r="Y5" t="s">
        <v>1601</v>
      </c>
      <c r="Z5" s="42" t="s">
        <v>1620</v>
      </c>
      <c r="AA5" t="s">
        <v>1639</v>
      </c>
      <c r="AB5" s="42" t="s">
        <v>1651</v>
      </c>
      <c r="AC5" t="s">
        <v>1662</v>
      </c>
      <c r="AD5" s="42" t="s">
        <v>1679</v>
      </c>
      <c r="AE5" t="s">
        <v>787</v>
      </c>
      <c r="AF5" s="42" t="s">
        <v>819</v>
      </c>
      <c r="AG5" t="s">
        <v>1703</v>
      </c>
      <c r="AH5" s="42" t="s">
        <v>1879</v>
      </c>
      <c r="AI5" t="s">
        <v>1643</v>
      </c>
      <c r="AJ5" s="42" t="s">
        <v>2063</v>
      </c>
      <c r="AK5" t="s">
        <v>2072</v>
      </c>
      <c r="AL5" s="42" t="s">
        <v>2086</v>
      </c>
      <c r="AO5" t="s">
        <v>2102</v>
      </c>
      <c r="AP5" s="42" t="s">
        <v>2126</v>
      </c>
      <c r="BE5" t="s">
        <v>2168</v>
      </c>
      <c r="BF5" t="s">
        <v>2185</v>
      </c>
      <c r="BG5" t="s">
        <v>2185</v>
      </c>
      <c r="BK5" t="s">
        <v>2219</v>
      </c>
      <c r="BM5" t="s">
        <v>3123</v>
      </c>
      <c r="BN5" t="s">
        <v>3138</v>
      </c>
      <c r="BO5" t="s">
        <v>3638</v>
      </c>
      <c r="BP5" t="s">
        <v>3642</v>
      </c>
      <c r="BQ5" s="42" t="s">
        <v>3650</v>
      </c>
      <c r="BR5" t="s">
        <v>974</v>
      </c>
      <c r="BS5" s="42" t="s">
        <v>977</v>
      </c>
      <c r="BT5" t="s">
        <v>974</v>
      </c>
      <c r="BU5" s="42" t="s">
        <v>977</v>
      </c>
      <c r="BV5" t="s">
        <v>842</v>
      </c>
      <c r="BW5" s="42" t="s">
        <v>885</v>
      </c>
      <c r="BX5" t="s">
        <v>3675</v>
      </c>
      <c r="BY5" s="42" t="s">
        <v>3683</v>
      </c>
      <c r="CB5" t="s">
        <v>3694</v>
      </c>
      <c r="CC5" s="42" t="s">
        <v>4255</v>
      </c>
      <c r="CD5" t="s">
        <v>4814</v>
      </c>
      <c r="CE5" s="42" t="s">
        <v>4851</v>
      </c>
      <c r="CF5" t="s">
        <v>974</v>
      </c>
      <c r="CG5" s="42" t="s">
        <v>977</v>
      </c>
      <c r="CH5" t="s">
        <v>4895</v>
      </c>
      <c r="CI5" s="42" t="s">
        <v>4899</v>
      </c>
      <c r="CJ5" t="s">
        <v>4903</v>
      </c>
      <c r="CK5" s="42" t="s">
        <v>5212</v>
      </c>
      <c r="CL5" t="s">
        <v>5518</v>
      </c>
      <c r="CM5" s="42" t="s">
        <v>5521</v>
      </c>
      <c r="CP5" t="s">
        <v>5531</v>
      </c>
      <c r="CQ5" s="42" t="s">
        <v>5560</v>
      </c>
    </row>
    <row r="6" spans="1:96">
      <c r="A6" t="s">
        <v>734</v>
      </c>
      <c r="B6" s="42" t="s">
        <v>747</v>
      </c>
      <c r="C6" t="s">
        <v>760</v>
      </c>
      <c r="D6" s="42" t="s">
        <v>792</v>
      </c>
      <c r="E6" t="s">
        <v>824</v>
      </c>
      <c r="F6" s="42" t="s">
        <v>833</v>
      </c>
      <c r="G6" t="s">
        <v>842</v>
      </c>
      <c r="H6" s="42" t="s">
        <v>885</v>
      </c>
      <c r="I6" t="s">
        <v>928</v>
      </c>
      <c r="J6" s="42" t="s">
        <v>951</v>
      </c>
      <c r="M6" t="s">
        <v>982</v>
      </c>
      <c r="N6" s="42" t="s">
        <v>1009</v>
      </c>
      <c r="O6" t="s">
        <v>1036</v>
      </c>
      <c r="P6" s="42" t="s">
        <v>1283</v>
      </c>
      <c r="Q6" t="s">
        <v>1530</v>
      </c>
      <c r="R6" s="42" t="s">
        <v>1556</v>
      </c>
      <c r="S6" t="s">
        <v>974</v>
      </c>
      <c r="T6" s="42" t="s">
        <v>977</v>
      </c>
      <c r="W6" t="s">
        <v>1592</v>
      </c>
      <c r="X6" s="42" t="s">
        <v>1597</v>
      </c>
      <c r="Y6" t="s">
        <v>1602</v>
      </c>
      <c r="Z6" s="42" t="s">
        <v>1621</v>
      </c>
      <c r="AA6" t="s">
        <v>1640</v>
      </c>
      <c r="AB6" s="42" t="s">
        <v>1652</v>
      </c>
      <c r="AC6" t="s">
        <v>1663</v>
      </c>
      <c r="AD6" s="42" t="s">
        <v>1680</v>
      </c>
      <c r="AG6" t="s">
        <v>1704</v>
      </c>
      <c r="AH6" s="42" t="s">
        <v>1880</v>
      </c>
      <c r="AI6" t="s">
        <v>2055</v>
      </c>
      <c r="AJ6" s="42" t="s">
        <v>2064</v>
      </c>
      <c r="AK6" t="s">
        <v>2073</v>
      </c>
      <c r="AL6" s="42" t="s">
        <v>2087</v>
      </c>
      <c r="AO6" t="s">
        <v>2103</v>
      </c>
      <c r="AP6" s="42" t="s">
        <v>2127</v>
      </c>
      <c r="BE6" t="s">
        <v>2169</v>
      </c>
      <c r="BF6" t="s">
        <v>2186</v>
      </c>
      <c r="BG6" t="s">
        <v>2186</v>
      </c>
      <c r="BK6" t="s">
        <v>2220</v>
      </c>
      <c r="BM6" t="s">
        <v>3124</v>
      </c>
      <c r="BN6" t="s">
        <v>3139</v>
      </c>
      <c r="BP6" t="s">
        <v>3643</v>
      </c>
      <c r="BQ6" s="42" t="s">
        <v>3651</v>
      </c>
      <c r="BR6" t="s">
        <v>787</v>
      </c>
      <c r="BS6" s="42" t="s">
        <v>819</v>
      </c>
      <c r="BT6" t="s">
        <v>787</v>
      </c>
      <c r="BU6" s="42" t="s">
        <v>819</v>
      </c>
      <c r="BV6" t="s">
        <v>843</v>
      </c>
      <c r="BW6" s="42" t="s">
        <v>886</v>
      </c>
      <c r="BX6" t="s">
        <v>3676</v>
      </c>
      <c r="BY6" s="42" t="s">
        <v>3684</v>
      </c>
      <c r="CB6" t="s">
        <v>3695</v>
      </c>
      <c r="CC6" s="42" t="s">
        <v>4256</v>
      </c>
      <c r="CD6" t="s">
        <v>4815</v>
      </c>
      <c r="CE6" s="42" t="s">
        <v>4852</v>
      </c>
      <c r="CF6" t="s">
        <v>787</v>
      </c>
      <c r="CG6" s="42" t="s">
        <v>819</v>
      </c>
      <c r="CH6" t="s">
        <v>974</v>
      </c>
      <c r="CI6" s="42" t="s">
        <v>977</v>
      </c>
      <c r="CJ6" t="s">
        <v>4904</v>
      </c>
      <c r="CK6" s="42" t="s">
        <v>5213</v>
      </c>
      <c r="CL6" t="s">
        <v>1601</v>
      </c>
      <c r="CM6" s="42" t="s">
        <v>1620</v>
      </c>
      <c r="CP6" t="s">
        <v>5532</v>
      </c>
      <c r="CQ6" s="42" t="s">
        <v>5561</v>
      </c>
    </row>
    <row r="7" spans="1:96">
      <c r="A7" t="s">
        <v>735</v>
      </c>
      <c r="B7" s="42" t="s">
        <v>748</v>
      </c>
      <c r="C7" t="s">
        <v>761</v>
      </c>
      <c r="D7" s="42" t="s">
        <v>793</v>
      </c>
      <c r="E7" t="s">
        <v>825</v>
      </c>
      <c r="F7" s="42" t="s">
        <v>834</v>
      </c>
      <c r="G7" t="s">
        <v>843</v>
      </c>
      <c r="H7" s="42" t="s">
        <v>886</v>
      </c>
      <c r="I7" t="s">
        <v>875</v>
      </c>
      <c r="J7" s="42" t="s">
        <v>952</v>
      </c>
      <c r="M7" t="s">
        <v>983</v>
      </c>
      <c r="N7" s="42" t="s">
        <v>1010</v>
      </c>
      <c r="O7" t="s">
        <v>1037</v>
      </c>
      <c r="P7" s="42" t="s">
        <v>1284</v>
      </c>
      <c r="Q7" t="s">
        <v>1531</v>
      </c>
      <c r="R7" s="42" t="s">
        <v>1557</v>
      </c>
      <c r="W7" t="s">
        <v>974</v>
      </c>
      <c r="X7" s="42" t="s">
        <v>977</v>
      </c>
      <c r="Y7" t="s">
        <v>1603</v>
      </c>
      <c r="Z7" s="42" t="s">
        <v>1622</v>
      </c>
      <c r="AA7" t="s">
        <v>1641</v>
      </c>
      <c r="AB7" s="42" t="s">
        <v>1653</v>
      </c>
      <c r="AC7" t="s">
        <v>56</v>
      </c>
      <c r="AD7" s="42" t="s">
        <v>1681</v>
      </c>
      <c r="AG7" t="s">
        <v>1705</v>
      </c>
      <c r="AH7" s="42" t="s">
        <v>1881</v>
      </c>
      <c r="AI7" t="s">
        <v>2056</v>
      </c>
      <c r="AJ7" s="42" t="s">
        <v>2065</v>
      </c>
      <c r="AK7" t="s">
        <v>2074</v>
      </c>
      <c r="AL7" s="42" t="s">
        <v>2088</v>
      </c>
      <c r="AO7" t="s">
        <v>2104</v>
      </c>
      <c r="AP7" s="42" t="s">
        <v>2128</v>
      </c>
      <c r="BE7" t="s">
        <v>2170</v>
      </c>
      <c r="BF7" t="s">
        <v>2187</v>
      </c>
      <c r="BG7" t="s">
        <v>2187</v>
      </c>
      <c r="BK7" t="s">
        <v>2221</v>
      </c>
      <c r="BM7" t="s">
        <v>3125</v>
      </c>
      <c r="BN7" t="s">
        <v>3140</v>
      </c>
      <c r="BP7" t="s">
        <v>3644</v>
      </c>
      <c r="BQ7" s="42" t="s">
        <v>3652</v>
      </c>
      <c r="BV7" t="s">
        <v>874</v>
      </c>
      <c r="BW7" s="42" t="s">
        <v>917</v>
      </c>
      <c r="BX7" t="s">
        <v>822</v>
      </c>
      <c r="BY7" s="42" t="s">
        <v>3685</v>
      </c>
      <c r="CB7" t="s">
        <v>3696</v>
      </c>
      <c r="CC7" s="42" t="s">
        <v>4257</v>
      </c>
      <c r="CD7" t="s">
        <v>4816</v>
      </c>
      <c r="CE7" s="42" t="s">
        <v>4853</v>
      </c>
      <c r="CH7" t="s">
        <v>787</v>
      </c>
      <c r="CI7" s="42" t="s">
        <v>819</v>
      </c>
      <c r="CJ7" t="s">
        <v>4905</v>
      </c>
      <c r="CK7" s="42" t="s">
        <v>5214</v>
      </c>
      <c r="CL7" t="s">
        <v>1602</v>
      </c>
      <c r="CM7" s="42" t="s">
        <v>1621</v>
      </c>
      <c r="CP7" t="s">
        <v>5533</v>
      </c>
      <c r="CQ7" s="42" t="s">
        <v>5562</v>
      </c>
    </row>
    <row r="8" spans="1:96">
      <c r="A8" t="s">
        <v>736</v>
      </c>
      <c r="B8" s="42" t="s">
        <v>749</v>
      </c>
      <c r="C8" t="s">
        <v>762</v>
      </c>
      <c r="D8" s="42" t="s">
        <v>794</v>
      </c>
      <c r="E8" t="s">
        <v>826</v>
      </c>
      <c r="F8" s="42" t="s">
        <v>835</v>
      </c>
      <c r="G8" t="s">
        <v>844</v>
      </c>
      <c r="H8" s="42" t="s">
        <v>887</v>
      </c>
      <c r="I8" t="s">
        <v>929</v>
      </c>
      <c r="J8" s="42" t="s">
        <v>953</v>
      </c>
      <c r="M8" t="s">
        <v>984</v>
      </c>
      <c r="N8" s="42" t="s">
        <v>1011</v>
      </c>
      <c r="O8" t="s">
        <v>1038</v>
      </c>
      <c r="P8" s="42" t="s">
        <v>1285</v>
      </c>
      <c r="Q8" t="s">
        <v>1532</v>
      </c>
      <c r="R8" s="42" t="s">
        <v>1558</v>
      </c>
      <c r="W8" t="s">
        <v>787</v>
      </c>
      <c r="X8" s="42" t="s">
        <v>819</v>
      </c>
      <c r="Y8" t="s">
        <v>1604</v>
      </c>
      <c r="Z8" s="42" t="s">
        <v>1623</v>
      </c>
      <c r="AA8" t="s">
        <v>1642</v>
      </c>
      <c r="AB8" s="42" t="s">
        <v>1654</v>
      </c>
      <c r="AC8" t="s">
        <v>57</v>
      </c>
      <c r="AD8" s="42" t="s">
        <v>1682</v>
      </c>
      <c r="AG8" t="s">
        <v>1706</v>
      </c>
      <c r="AH8" s="42" t="s">
        <v>1882</v>
      </c>
      <c r="AI8" t="s">
        <v>2057</v>
      </c>
      <c r="AJ8" s="42" t="s">
        <v>2066</v>
      </c>
      <c r="AK8" t="s">
        <v>2075</v>
      </c>
      <c r="AL8" s="42" t="s">
        <v>2089</v>
      </c>
      <c r="AO8" t="s">
        <v>2105</v>
      </c>
      <c r="AP8" s="42" t="s">
        <v>2129</v>
      </c>
      <c r="BE8" t="s">
        <v>2171</v>
      </c>
      <c r="BF8" t="s">
        <v>2188</v>
      </c>
      <c r="BG8" t="s">
        <v>2188</v>
      </c>
      <c r="BK8" t="s">
        <v>2222</v>
      </c>
      <c r="BM8" t="s">
        <v>3126</v>
      </c>
      <c r="BN8" t="s">
        <v>3141</v>
      </c>
      <c r="BP8" t="s">
        <v>3645</v>
      </c>
      <c r="BQ8" s="42" t="s">
        <v>3653</v>
      </c>
      <c r="BV8" t="s">
        <v>875</v>
      </c>
      <c r="BW8" s="42" t="s">
        <v>918</v>
      </c>
      <c r="BX8" t="s">
        <v>3677</v>
      </c>
      <c r="BY8" s="42" t="s">
        <v>3686</v>
      </c>
      <c r="CB8" t="s">
        <v>3697</v>
      </c>
      <c r="CC8" s="42" t="s">
        <v>4258</v>
      </c>
      <c r="CD8" t="s">
        <v>4817</v>
      </c>
      <c r="CE8" s="42" t="s">
        <v>4854</v>
      </c>
      <c r="CJ8" t="s">
        <v>4906</v>
      </c>
      <c r="CK8" s="42" t="s">
        <v>5215</v>
      </c>
      <c r="CL8" t="s">
        <v>1603</v>
      </c>
      <c r="CM8" s="42" t="s">
        <v>1622</v>
      </c>
      <c r="CP8" t="s">
        <v>5534</v>
      </c>
      <c r="CQ8" s="42" t="s">
        <v>5563</v>
      </c>
    </row>
    <row r="9" spans="1:96">
      <c r="A9" t="s">
        <v>737</v>
      </c>
      <c r="B9" s="42" t="s">
        <v>750</v>
      </c>
      <c r="C9" t="s">
        <v>763</v>
      </c>
      <c r="D9" s="42" t="s">
        <v>795</v>
      </c>
      <c r="E9" t="s">
        <v>827</v>
      </c>
      <c r="F9" s="42" t="s">
        <v>836</v>
      </c>
      <c r="G9" t="s">
        <v>845</v>
      </c>
      <c r="H9" s="42" t="s">
        <v>888</v>
      </c>
      <c r="I9" t="s">
        <v>847</v>
      </c>
      <c r="J9" s="42" t="s">
        <v>954</v>
      </c>
      <c r="M9" t="s">
        <v>985</v>
      </c>
      <c r="N9" s="42" t="s">
        <v>1012</v>
      </c>
      <c r="O9" t="s">
        <v>1039</v>
      </c>
      <c r="P9" s="42" t="s">
        <v>1286</v>
      </c>
      <c r="Q9" t="s">
        <v>1533</v>
      </c>
      <c r="R9" s="42" t="s">
        <v>1559</v>
      </c>
      <c r="Y9" t="s">
        <v>1605</v>
      </c>
      <c r="Z9" s="42" t="s">
        <v>1624</v>
      </c>
      <c r="AA9" t="s">
        <v>1643</v>
      </c>
      <c r="AB9" s="42" t="s">
        <v>1655</v>
      </c>
      <c r="AC9" t="s">
        <v>1664</v>
      </c>
      <c r="AD9" s="42" t="s">
        <v>1683</v>
      </c>
      <c r="AG9" t="s">
        <v>1707</v>
      </c>
      <c r="AH9" s="42" t="s">
        <v>1883</v>
      </c>
      <c r="AI9" t="s">
        <v>2058</v>
      </c>
      <c r="AJ9" s="42" t="s">
        <v>2067</v>
      </c>
      <c r="AK9" t="s">
        <v>2076</v>
      </c>
      <c r="AL9" s="42" t="s">
        <v>2090</v>
      </c>
      <c r="AO9" t="s">
        <v>2106</v>
      </c>
      <c r="AP9" s="42" t="s">
        <v>2130</v>
      </c>
      <c r="BE9" t="s">
        <v>2172</v>
      </c>
      <c r="BF9" t="s">
        <v>2189</v>
      </c>
      <c r="BG9" t="s">
        <v>2189</v>
      </c>
      <c r="BK9" t="s">
        <v>2223</v>
      </c>
      <c r="BM9" t="s">
        <v>3127</v>
      </c>
      <c r="BN9" t="s">
        <v>3142</v>
      </c>
      <c r="BP9" t="s">
        <v>3646</v>
      </c>
      <c r="BQ9" s="42" t="s">
        <v>3654</v>
      </c>
      <c r="BV9" t="s">
        <v>839</v>
      </c>
      <c r="BW9" s="42" t="s">
        <v>882</v>
      </c>
      <c r="BX9" t="s">
        <v>3678</v>
      </c>
      <c r="BY9" s="42" t="s">
        <v>3687</v>
      </c>
      <c r="CB9" t="s">
        <v>3698</v>
      </c>
      <c r="CC9" s="42" t="s">
        <v>4259</v>
      </c>
      <c r="CD9" t="s">
        <v>4818</v>
      </c>
      <c r="CE9" s="42" t="s">
        <v>4855</v>
      </c>
      <c r="CJ9" t="s">
        <v>4907</v>
      </c>
      <c r="CK9" s="42" t="s">
        <v>5216</v>
      </c>
      <c r="CL9" t="s">
        <v>5519</v>
      </c>
      <c r="CM9" s="42" t="s">
        <v>5522</v>
      </c>
      <c r="CP9" t="s">
        <v>5535</v>
      </c>
      <c r="CQ9" s="42" t="s">
        <v>5564</v>
      </c>
    </row>
    <row r="10" spans="1:96">
      <c r="A10" t="s">
        <v>738</v>
      </c>
      <c r="B10" s="42" t="s">
        <v>751</v>
      </c>
      <c r="C10" t="s">
        <v>764</v>
      </c>
      <c r="D10" s="42" t="s">
        <v>796</v>
      </c>
      <c r="E10" t="s">
        <v>828</v>
      </c>
      <c r="F10" s="42" t="s">
        <v>837</v>
      </c>
      <c r="G10" t="s">
        <v>846</v>
      </c>
      <c r="H10" s="42" t="s">
        <v>889</v>
      </c>
      <c r="I10" t="s">
        <v>930</v>
      </c>
      <c r="J10" s="42" t="s">
        <v>955</v>
      </c>
      <c r="M10" t="s">
        <v>986</v>
      </c>
      <c r="N10" s="42" t="s">
        <v>1013</v>
      </c>
      <c r="O10" t="s">
        <v>1040</v>
      </c>
      <c r="P10" s="42" t="s">
        <v>1287</v>
      </c>
      <c r="Q10" t="s">
        <v>1534</v>
      </c>
      <c r="R10" s="42" t="s">
        <v>1560</v>
      </c>
      <c r="Y10" t="s">
        <v>1606</v>
      </c>
      <c r="Z10" s="42" t="s">
        <v>1625</v>
      </c>
      <c r="AA10" t="s">
        <v>1644</v>
      </c>
      <c r="AB10" s="42" t="s">
        <v>1656</v>
      </c>
      <c r="AC10" t="s">
        <v>59</v>
      </c>
      <c r="AD10" s="42" t="s">
        <v>1684</v>
      </c>
      <c r="AG10" t="s">
        <v>1708</v>
      </c>
      <c r="AH10" s="42" t="s">
        <v>1884</v>
      </c>
      <c r="AI10" t="s">
        <v>2059</v>
      </c>
      <c r="AJ10" s="42" t="s">
        <v>2068</v>
      </c>
      <c r="AK10" t="s">
        <v>2077</v>
      </c>
      <c r="AL10" s="42" t="s">
        <v>2091</v>
      </c>
      <c r="AO10" t="s">
        <v>2107</v>
      </c>
      <c r="AP10" s="42" t="s">
        <v>2131</v>
      </c>
      <c r="BE10" t="s">
        <v>2173</v>
      </c>
      <c r="BF10" t="s">
        <v>2190</v>
      </c>
      <c r="BG10" t="s">
        <v>2190</v>
      </c>
      <c r="BK10" t="s">
        <v>2224</v>
      </c>
      <c r="BM10" t="s">
        <v>3128</v>
      </c>
      <c r="BN10" t="s">
        <v>3143</v>
      </c>
      <c r="BV10" t="s">
        <v>3667</v>
      </c>
      <c r="BW10" s="42" t="s">
        <v>3670</v>
      </c>
      <c r="BX10" t="s">
        <v>3679</v>
      </c>
      <c r="BY10" s="42" t="s">
        <v>3688</v>
      </c>
      <c r="CB10" t="s">
        <v>3699</v>
      </c>
      <c r="CC10" s="42" t="s">
        <v>4260</v>
      </c>
      <c r="CD10" t="s">
        <v>4819</v>
      </c>
      <c r="CE10" s="42" t="s">
        <v>4856</v>
      </c>
      <c r="CJ10" t="s">
        <v>4908</v>
      </c>
      <c r="CK10" s="42" t="s">
        <v>5217</v>
      </c>
      <c r="CL10" t="s">
        <v>5520</v>
      </c>
      <c r="CM10" s="42" t="s">
        <v>5523</v>
      </c>
      <c r="CP10" t="s">
        <v>5536</v>
      </c>
      <c r="CQ10" s="42" t="s">
        <v>5565</v>
      </c>
    </row>
    <row r="11" spans="1:96">
      <c r="A11" t="s">
        <v>739</v>
      </c>
      <c r="B11" s="42" t="s">
        <v>752</v>
      </c>
      <c r="C11" t="s">
        <v>765</v>
      </c>
      <c r="D11" s="42" t="s">
        <v>797</v>
      </c>
      <c r="E11" t="s">
        <v>787</v>
      </c>
      <c r="F11" s="42" t="s">
        <v>819</v>
      </c>
      <c r="G11" t="s">
        <v>847</v>
      </c>
      <c r="H11" s="42" t="s">
        <v>890</v>
      </c>
      <c r="I11" t="s">
        <v>931</v>
      </c>
      <c r="J11" s="42" t="s">
        <v>956</v>
      </c>
      <c r="M11" t="s">
        <v>987</v>
      </c>
      <c r="N11" s="42" t="s">
        <v>1014</v>
      </c>
      <c r="O11" t="s">
        <v>1041</v>
      </c>
      <c r="P11" s="42" t="s">
        <v>1288</v>
      </c>
      <c r="Q11" t="s">
        <v>1535</v>
      </c>
      <c r="R11" s="42" t="s">
        <v>1561</v>
      </c>
      <c r="Y11" t="s">
        <v>1607</v>
      </c>
      <c r="Z11" s="42" t="s">
        <v>1626</v>
      </c>
      <c r="AA11" t="s">
        <v>1645</v>
      </c>
      <c r="AB11" s="42" t="s">
        <v>1657</v>
      </c>
      <c r="AC11" t="s">
        <v>1665</v>
      </c>
      <c r="AD11" s="42" t="s">
        <v>1685</v>
      </c>
      <c r="AG11" t="s">
        <v>1709</v>
      </c>
      <c r="AH11" s="42" t="s">
        <v>1885</v>
      </c>
      <c r="AK11" t="s">
        <v>2078</v>
      </c>
      <c r="AL11" s="42" t="s">
        <v>2092</v>
      </c>
      <c r="AO11" t="s">
        <v>2108</v>
      </c>
      <c r="AP11" s="42" t="s">
        <v>2132</v>
      </c>
      <c r="BE11" t="s">
        <v>2174</v>
      </c>
      <c r="BF11" t="s">
        <v>2191</v>
      </c>
      <c r="BG11" t="s">
        <v>2191</v>
      </c>
      <c r="BK11" t="s">
        <v>2225</v>
      </c>
      <c r="BM11" t="s">
        <v>3129</v>
      </c>
      <c r="BN11" t="s">
        <v>3144</v>
      </c>
      <c r="BV11" t="s">
        <v>3668</v>
      </c>
      <c r="BW11" s="42" t="s">
        <v>3671</v>
      </c>
      <c r="BX11" t="s">
        <v>974</v>
      </c>
      <c r="BY11" s="42" t="s">
        <v>977</v>
      </c>
      <c r="CB11" t="s">
        <v>3700</v>
      </c>
      <c r="CC11" s="42" t="s">
        <v>4261</v>
      </c>
      <c r="CD11" t="s">
        <v>4820</v>
      </c>
      <c r="CE11" s="42" t="s">
        <v>4857</v>
      </c>
      <c r="CJ11" t="s">
        <v>4909</v>
      </c>
      <c r="CK11" s="42" t="s">
        <v>5218</v>
      </c>
      <c r="CL11" t="s">
        <v>1615</v>
      </c>
      <c r="CM11" s="42" t="s">
        <v>1634</v>
      </c>
      <c r="CP11" t="s">
        <v>5537</v>
      </c>
      <c r="CQ11" s="42" t="s">
        <v>5566</v>
      </c>
    </row>
    <row r="12" spans="1:96">
      <c r="A12" t="s">
        <v>740</v>
      </c>
      <c r="B12" s="42" t="s">
        <v>753</v>
      </c>
      <c r="C12" t="s">
        <v>766</v>
      </c>
      <c r="D12" s="42" t="s">
        <v>798</v>
      </c>
      <c r="G12" t="s">
        <v>848</v>
      </c>
      <c r="H12" s="42" t="s">
        <v>891</v>
      </c>
      <c r="I12" t="s">
        <v>932</v>
      </c>
      <c r="J12" s="42" t="s">
        <v>957</v>
      </c>
      <c r="M12" t="s">
        <v>988</v>
      </c>
      <c r="N12" s="42" t="s">
        <v>1015</v>
      </c>
      <c r="O12" t="s">
        <v>1042</v>
      </c>
      <c r="P12" s="42" t="s">
        <v>1289</v>
      </c>
      <c r="Q12" t="s">
        <v>1536</v>
      </c>
      <c r="R12" s="42" t="s">
        <v>1562</v>
      </c>
      <c r="Y12" t="s">
        <v>1608</v>
      </c>
      <c r="Z12" s="42" t="s">
        <v>1627</v>
      </c>
      <c r="AA12" t="s">
        <v>1646</v>
      </c>
      <c r="AB12" s="42" t="s">
        <v>1658</v>
      </c>
      <c r="AC12" t="s">
        <v>1666</v>
      </c>
      <c r="AD12" s="42" t="s">
        <v>1686</v>
      </c>
      <c r="AG12" t="s">
        <v>1710</v>
      </c>
      <c r="AH12" s="42" t="s">
        <v>1886</v>
      </c>
      <c r="AK12" t="s">
        <v>2079</v>
      </c>
      <c r="AL12" s="42" t="s">
        <v>2093</v>
      </c>
      <c r="AO12" t="s">
        <v>2109</v>
      </c>
      <c r="AP12" s="42" t="s">
        <v>2133</v>
      </c>
      <c r="BE12" t="s">
        <v>2175</v>
      </c>
      <c r="BF12" t="s">
        <v>2192</v>
      </c>
      <c r="BG12" t="s">
        <v>2192</v>
      </c>
      <c r="BK12" t="s">
        <v>2226</v>
      </c>
      <c r="BM12" t="s">
        <v>3130</v>
      </c>
      <c r="BN12" t="s">
        <v>3145</v>
      </c>
      <c r="BV12" t="s">
        <v>876</v>
      </c>
      <c r="BW12" s="42" t="s">
        <v>919</v>
      </c>
      <c r="CB12" t="s">
        <v>3701</v>
      </c>
      <c r="CC12" s="42" t="s">
        <v>4262</v>
      </c>
      <c r="CD12" t="s">
        <v>4821</v>
      </c>
      <c r="CE12" s="42" t="s">
        <v>4858</v>
      </c>
      <c r="CJ12" t="s">
        <v>4910</v>
      </c>
      <c r="CK12" s="42" t="s">
        <v>5219</v>
      </c>
      <c r="CL12" t="s">
        <v>1616</v>
      </c>
      <c r="CM12" s="42" t="s">
        <v>1635</v>
      </c>
      <c r="CP12" t="s">
        <v>5538</v>
      </c>
      <c r="CQ12" s="42" t="s">
        <v>5567</v>
      </c>
    </row>
    <row r="13" spans="1:96">
      <c r="A13" t="s">
        <v>741</v>
      </c>
      <c r="B13" s="42" t="s">
        <v>754</v>
      </c>
      <c r="C13" t="s">
        <v>767</v>
      </c>
      <c r="D13" s="42" t="s">
        <v>799</v>
      </c>
      <c r="G13" t="s">
        <v>849</v>
      </c>
      <c r="H13" s="42" t="s">
        <v>892</v>
      </c>
      <c r="I13" t="s">
        <v>933</v>
      </c>
      <c r="J13" s="42" t="s">
        <v>958</v>
      </c>
      <c r="M13" t="s">
        <v>989</v>
      </c>
      <c r="N13" s="42" t="s">
        <v>1016</v>
      </c>
      <c r="O13" t="s">
        <v>1043</v>
      </c>
      <c r="P13" s="42" t="s">
        <v>1290</v>
      </c>
      <c r="Q13" t="s">
        <v>1537</v>
      </c>
      <c r="R13" s="42" t="s">
        <v>1563</v>
      </c>
      <c r="Y13" t="s">
        <v>1609</v>
      </c>
      <c r="Z13" s="42" t="s">
        <v>1628</v>
      </c>
      <c r="AA13" t="s">
        <v>1647</v>
      </c>
      <c r="AB13" s="42" t="s">
        <v>1659</v>
      </c>
      <c r="AC13" t="s">
        <v>1667</v>
      </c>
      <c r="AD13" s="42" t="s">
        <v>1687</v>
      </c>
      <c r="AG13" t="s">
        <v>1711</v>
      </c>
      <c r="AH13" s="42" t="s">
        <v>1887</v>
      </c>
      <c r="AK13" t="s">
        <v>2080</v>
      </c>
      <c r="AL13" s="42" t="s">
        <v>2094</v>
      </c>
      <c r="AO13" t="s">
        <v>2110</v>
      </c>
      <c r="AP13" s="42" t="s">
        <v>2134</v>
      </c>
      <c r="BE13" t="s">
        <v>2176</v>
      </c>
      <c r="BF13" t="s">
        <v>2193</v>
      </c>
      <c r="BG13" t="s">
        <v>2193</v>
      </c>
      <c r="BK13" t="s">
        <v>2227</v>
      </c>
      <c r="BM13" t="s">
        <v>3131</v>
      </c>
      <c r="BN13" t="s">
        <v>3146</v>
      </c>
      <c r="BV13" t="s">
        <v>3669</v>
      </c>
      <c r="BW13" s="42" t="s">
        <v>3672</v>
      </c>
      <c r="CB13" t="s">
        <v>3702</v>
      </c>
      <c r="CC13" s="42" t="s">
        <v>4263</v>
      </c>
      <c r="CD13" t="s">
        <v>4822</v>
      </c>
      <c r="CE13" s="42" t="s">
        <v>4859</v>
      </c>
      <c r="CJ13" t="s">
        <v>4911</v>
      </c>
      <c r="CK13" s="42" t="s">
        <v>5220</v>
      </c>
      <c r="CP13" t="s">
        <v>5539</v>
      </c>
      <c r="CQ13" s="42" t="s">
        <v>5568</v>
      </c>
    </row>
    <row r="14" spans="1:96">
      <c r="A14" t="s">
        <v>742</v>
      </c>
      <c r="B14" s="42" t="s">
        <v>755</v>
      </c>
      <c r="C14" t="s">
        <v>768</v>
      </c>
      <c r="D14" s="42" t="s">
        <v>800</v>
      </c>
      <c r="G14" t="s">
        <v>850</v>
      </c>
      <c r="H14" s="42" t="s">
        <v>893</v>
      </c>
      <c r="I14" t="s">
        <v>934</v>
      </c>
      <c r="J14" s="42" t="s">
        <v>959</v>
      </c>
      <c r="M14" t="s">
        <v>990</v>
      </c>
      <c r="N14" s="42" t="s">
        <v>1017</v>
      </c>
      <c r="O14" t="s">
        <v>1044</v>
      </c>
      <c r="P14" s="42" t="s">
        <v>1291</v>
      </c>
      <c r="Q14" t="s">
        <v>1538</v>
      </c>
      <c r="R14" s="42" t="s">
        <v>1564</v>
      </c>
      <c r="Y14" t="s">
        <v>1610</v>
      </c>
      <c r="Z14" s="42" t="s">
        <v>1629</v>
      </c>
      <c r="AA14" t="s">
        <v>974</v>
      </c>
      <c r="AB14" s="42" t="s">
        <v>977</v>
      </c>
      <c r="AC14" t="s">
        <v>1668</v>
      </c>
      <c r="AD14" s="42" t="s">
        <v>1688</v>
      </c>
      <c r="AG14" t="s">
        <v>1712</v>
      </c>
      <c r="AH14" s="42" t="s">
        <v>1888</v>
      </c>
      <c r="AK14" t="s">
        <v>2081</v>
      </c>
      <c r="AL14" s="42" t="s">
        <v>2095</v>
      </c>
      <c r="AO14" t="s">
        <v>2111</v>
      </c>
      <c r="AP14" s="42" t="s">
        <v>2135</v>
      </c>
      <c r="BE14" t="s">
        <v>2177</v>
      </c>
      <c r="BF14" t="s">
        <v>2194</v>
      </c>
      <c r="BG14" t="s">
        <v>2194</v>
      </c>
      <c r="BK14" t="s">
        <v>2228</v>
      </c>
      <c r="BM14" t="s">
        <v>3132</v>
      </c>
      <c r="BN14" t="s">
        <v>3147</v>
      </c>
      <c r="BV14" t="s">
        <v>877</v>
      </c>
      <c r="BW14" s="42" t="s">
        <v>920</v>
      </c>
      <c r="CB14" t="s">
        <v>3703</v>
      </c>
      <c r="CC14" s="42" t="s">
        <v>4264</v>
      </c>
      <c r="CD14" t="s">
        <v>4823</v>
      </c>
      <c r="CE14" s="42" t="s">
        <v>4860</v>
      </c>
      <c r="CJ14" t="s">
        <v>4912</v>
      </c>
      <c r="CK14" s="42" t="s">
        <v>5221</v>
      </c>
      <c r="CP14" t="s">
        <v>5540</v>
      </c>
      <c r="CQ14" s="42" t="s">
        <v>5569</v>
      </c>
    </row>
    <row r="15" spans="1:96">
      <c r="C15" t="s">
        <v>769</v>
      </c>
      <c r="D15" s="42" t="s">
        <v>801</v>
      </c>
      <c r="G15" t="s">
        <v>851</v>
      </c>
      <c r="H15" s="42" t="s">
        <v>894</v>
      </c>
      <c r="I15" t="s">
        <v>935</v>
      </c>
      <c r="J15" s="42" t="s">
        <v>960</v>
      </c>
      <c r="M15" t="s">
        <v>991</v>
      </c>
      <c r="N15" s="42" t="s">
        <v>1018</v>
      </c>
      <c r="O15" t="s">
        <v>1045</v>
      </c>
      <c r="P15" s="42" t="s">
        <v>1292</v>
      </c>
      <c r="Q15" t="s">
        <v>1539</v>
      </c>
      <c r="R15" s="42" t="s">
        <v>1565</v>
      </c>
      <c r="Y15" t="s">
        <v>1611</v>
      </c>
      <c r="Z15" s="42" t="s">
        <v>1630</v>
      </c>
      <c r="AA15" t="s">
        <v>787</v>
      </c>
      <c r="AB15" s="42" t="s">
        <v>819</v>
      </c>
      <c r="AC15" t="s">
        <v>1669</v>
      </c>
      <c r="AD15" s="42" t="s">
        <v>1689</v>
      </c>
      <c r="AG15" t="s">
        <v>1713</v>
      </c>
      <c r="AH15" s="42" t="s">
        <v>1889</v>
      </c>
      <c r="AK15" t="s">
        <v>2082</v>
      </c>
      <c r="AL15" s="42" t="s">
        <v>2096</v>
      </c>
      <c r="AO15" t="s">
        <v>2112</v>
      </c>
      <c r="AP15" s="42" t="s">
        <v>2136</v>
      </c>
      <c r="BE15" t="s">
        <v>2178</v>
      </c>
      <c r="BF15" t="s">
        <v>2195</v>
      </c>
      <c r="BG15" t="s">
        <v>2195</v>
      </c>
      <c r="BK15" t="s">
        <v>2229</v>
      </c>
      <c r="BM15" t="s">
        <v>3133</v>
      </c>
      <c r="BN15" t="s">
        <v>3148</v>
      </c>
      <c r="BV15" t="s">
        <v>878</v>
      </c>
      <c r="BW15" s="42" t="s">
        <v>921</v>
      </c>
      <c r="CB15" t="s">
        <v>3704</v>
      </c>
      <c r="CC15" s="42" t="s">
        <v>4265</v>
      </c>
      <c r="CD15" t="s">
        <v>4824</v>
      </c>
      <c r="CE15" s="42" t="s">
        <v>4861</v>
      </c>
      <c r="CJ15" t="s">
        <v>4913</v>
      </c>
      <c r="CK15" s="42" t="s">
        <v>5222</v>
      </c>
      <c r="CP15" t="s">
        <v>5541</v>
      </c>
      <c r="CQ15" s="42" t="s">
        <v>5570</v>
      </c>
    </row>
    <row r="16" spans="1:96">
      <c r="C16" t="s">
        <v>770</v>
      </c>
      <c r="D16" s="42" t="s">
        <v>802</v>
      </c>
      <c r="G16" t="s">
        <v>852</v>
      </c>
      <c r="H16" s="42" t="s">
        <v>895</v>
      </c>
      <c r="I16" t="s">
        <v>936</v>
      </c>
      <c r="J16" s="42" t="s">
        <v>961</v>
      </c>
      <c r="M16" t="s">
        <v>992</v>
      </c>
      <c r="N16" s="42" t="s">
        <v>1019</v>
      </c>
      <c r="O16" t="s">
        <v>1046</v>
      </c>
      <c r="P16" s="42" t="s">
        <v>1293</v>
      </c>
      <c r="Q16" t="s">
        <v>1540</v>
      </c>
      <c r="R16" s="42" t="s">
        <v>1566</v>
      </c>
      <c r="Y16" t="s">
        <v>1612</v>
      </c>
      <c r="Z16" s="42" t="s">
        <v>1631</v>
      </c>
      <c r="AC16" t="s">
        <v>1670</v>
      </c>
      <c r="AD16" s="42" t="s">
        <v>1690</v>
      </c>
      <c r="AG16" t="s">
        <v>1714</v>
      </c>
      <c r="AH16" s="42" t="s">
        <v>1890</v>
      </c>
      <c r="AO16" t="s">
        <v>2113</v>
      </c>
      <c r="AP16" s="42" t="s">
        <v>2137</v>
      </c>
      <c r="BE16" t="s">
        <v>2179</v>
      </c>
      <c r="BF16" t="s">
        <v>2196</v>
      </c>
      <c r="BG16" t="s">
        <v>2196</v>
      </c>
      <c r="BK16" t="s">
        <v>2230</v>
      </c>
      <c r="BM16" t="s">
        <v>3134</v>
      </c>
      <c r="BN16" t="s">
        <v>3149</v>
      </c>
      <c r="BV16" t="s">
        <v>879</v>
      </c>
      <c r="BW16" s="42" t="s">
        <v>922</v>
      </c>
      <c r="CB16" t="s">
        <v>3705</v>
      </c>
      <c r="CC16" s="42" t="s">
        <v>4266</v>
      </c>
      <c r="CD16" t="s">
        <v>4825</v>
      </c>
      <c r="CE16" s="42" t="s">
        <v>4862</v>
      </c>
      <c r="CJ16" t="s">
        <v>4914</v>
      </c>
      <c r="CK16" s="42" t="s">
        <v>5223</v>
      </c>
      <c r="CP16" t="s">
        <v>5542</v>
      </c>
      <c r="CQ16" s="42" t="s">
        <v>5571</v>
      </c>
    </row>
    <row r="17" spans="3:95">
      <c r="C17" t="s">
        <v>771</v>
      </c>
      <c r="D17" s="42" t="s">
        <v>803</v>
      </c>
      <c r="G17" t="s">
        <v>853</v>
      </c>
      <c r="H17" s="42" t="s">
        <v>896</v>
      </c>
      <c r="I17" t="s">
        <v>937</v>
      </c>
      <c r="J17" s="42" t="s">
        <v>962</v>
      </c>
      <c r="M17" t="s">
        <v>993</v>
      </c>
      <c r="N17" s="42" t="s">
        <v>1020</v>
      </c>
      <c r="O17" t="s">
        <v>1047</v>
      </c>
      <c r="P17" s="42" t="s">
        <v>1294</v>
      </c>
      <c r="Q17" t="s">
        <v>1541</v>
      </c>
      <c r="R17" s="42" t="s">
        <v>1567</v>
      </c>
      <c r="Y17" t="s">
        <v>1613</v>
      </c>
      <c r="Z17" s="42" t="s">
        <v>1632</v>
      </c>
      <c r="AC17" t="s">
        <v>1671</v>
      </c>
      <c r="AD17" s="42" t="s">
        <v>1691</v>
      </c>
      <c r="AG17" t="s">
        <v>1715</v>
      </c>
      <c r="AH17" s="42" t="s">
        <v>1891</v>
      </c>
      <c r="AO17" t="s">
        <v>2114</v>
      </c>
      <c r="AP17" s="42" t="s">
        <v>2138</v>
      </c>
      <c r="BE17" t="s">
        <v>2180</v>
      </c>
      <c r="BF17" t="s">
        <v>2197</v>
      </c>
      <c r="BG17" t="s">
        <v>2197</v>
      </c>
      <c r="BK17" t="s">
        <v>2231</v>
      </c>
      <c r="BN17" t="s">
        <v>3150</v>
      </c>
      <c r="BV17" t="s">
        <v>880</v>
      </c>
      <c r="BW17" s="42" t="s">
        <v>923</v>
      </c>
      <c r="CB17" t="s">
        <v>3706</v>
      </c>
      <c r="CC17" s="42" t="s">
        <v>4267</v>
      </c>
      <c r="CD17" t="s">
        <v>4826</v>
      </c>
      <c r="CE17" s="42" t="s">
        <v>4863</v>
      </c>
      <c r="CJ17" t="s">
        <v>4915</v>
      </c>
      <c r="CK17" s="42" t="s">
        <v>5224</v>
      </c>
      <c r="CP17" t="s">
        <v>5543</v>
      </c>
      <c r="CQ17" s="42" t="s">
        <v>5572</v>
      </c>
    </row>
    <row r="18" spans="3:95">
      <c r="C18" t="s">
        <v>772</v>
      </c>
      <c r="D18" s="42" t="s">
        <v>804</v>
      </c>
      <c r="G18" t="s">
        <v>854</v>
      </c>
      <c r="H18" s="42" t="s">
        <v>897</v>
      </c>
      <c r="I18" t="s">
        <v>938</v>
      </c>
      <c r="J18" s="42" t="s">
        <v>963</v>
      </c>
      <c r="M18" t="s">
        <v>994</v>
      </c>
      <c r="N18" s="42" t="s">
        <v>1021</v>
      </c>
      <c r="O18" t="s">
        <v>1048</v>
      </c>
      <c r="P18" s="42" t="s">
        <v>1295</v>
      </c>
      <c r="Q18" t="s">
        <v>1542</v>
      </c>
      <c r="R18" s="42" t="s">
        <v>1568</v>
      </c>
      <c r="Y18" t="s">
        <v>1614</v>
      </c>
      <c r="Z18" s="42" t="s">
        <v>1633</v>
      </c>
      <c r="AC18" t="s">
        <v>1672</v>
      </c>
      <c r="AD18" s="42" t="s">
        <v>1692</v>
      </c>
      <c r="AG18" t="s">
        <v>1716</v>
      </c>
      <c r="AH18" s="42" t="s">
        <v>1892</v>
      </c>
      <c r="AO18" t="s">
        <v>2115</v>
      </c>
      <c r="AP18" s="42" t="s">
        <v>2139</v>
      </c>
      <c r="BE18" t="s">
        <v>2181</v>
      </c>
      <c r="BF18" t="s">
        <v>2198</v>
      </c>
      <c r="BG18" t="s">
        <v>2198</v>
      </c>
      <c r="BK18" t="s">
        <v>2232</v>
      </c>
      <c r="BN18" t="s">
        <v>3151</v>
      </c>
      <c r="CB18" t="s">
        <v>3707</v>
      </c>
      <c r="CC18" s="42" t="s">
        <v>4268</v>
      </c>
      <c r="CD18" t="s">
        <v>4827</v>
      </c>
      <c r="CE18" s="42" t="s">
        <v>4864</v>
      </c>
      <c r="CJ18" t="s">
        <v>4916</v>
      </c>
      <c r="CK18" s="42" t="s">
        <v>5225</v>
      </c>
      <c r="CP18" t="s">
        <v>5544</v>
      </c>
      <c r="CQ18" s="42" t="s">
        <v>5573</v>
      </c>
    </row>
    <row r="19" spans="3:95">
      <c r="C19" t="s">
        <v>773</v>
      </c>
      <c r="D19" s="42" t="s">
        <v>805</v>
      </c>
      <c r="G19" t="s">
        <v>855</v>
      </c>
      <c r="H19" s="42" t="s">
        <v>898</v>
      </c>
      <c r="I19" t="s">
        <v>939</v>
      </c>
      <c r="J19" s="42" t="s">
        <v>964</v>
      </c>
      <c r="M19" t="s">
        <v>995</v>
      </c>
      <c r="N19" s="42" t="s">
        <v>1022</v>
      </c>
      <c r="O19" t="s">
        <v>1049</v>
      </c>
      <c r="P19" s="42" t="s">
        <v>1296</v>
      </c>
      <c r="Q19" t="s">
        <v>1543</v>
      </c>
      <c r="R19" s="42" t="s">
        <v>1569</v>
      </c>
      <c r="Y19" t="s">
        <v>1615</v>
      </c>
      <c r="Z19" s="42" t="s">
        <v>1634</v>
      </c>
      <c r="AC19" t="s">
        <v>1673</v>
      </c>
      <c r="AD19" s="42" t="s">
        <v>1693</v>
      </c>
      <c r="AG19" t="s">
        <v>1717</v>
      </c>
      <c r="AH19" s="42" t="s">
        <v>1893</v>
      </c>
      <c r="AO19" t="s">
        <v>2116</v>
      </c>
      <c r="AP19" s="42" t="s">
        <v>2140</v>
      </c>
      <c r="BE19" t="s">
        <v>2182</v>
      </c>
      <c r="BF19" t="s">
        <v>2199</v>
      </c>
      <c r="BG19" t="s">
        <v>2199</v>
      </c>
      <c r="BK19" t="s">
        <v>2233</v>
      </c>
      <c r="BN19" t="s">
        <v>3152</v>
      </c>
      <c r="CB19" t="s">
        <v>3708</v>
      </c>
      <c r="CC19" s="42" t="s">
        <v>4269</v>
      </c>
      <c r="CD19" t="s">
        <v>4828</v>
      </c>
      <c r="CE19" s="42" t="s">
        <v>4865</v>
      </c>
      <c r="CJ19" t="s">
        <v>4917</v>
      </c>
      <c r="CK19" s="42" t="s">
        <v>5226</v>
      </c>
      <c r="CP19" t="s">
        <v>5545</v>
      </c>
      <c r="CQ19" s="42" t="s">
        <v>5574</v>
      </c>
    </row>
    <row r="20" spans="3:95">
      <c r="C20" t="s">
        <v>774</v>
      </c>
      <c r="D20" s="42" t="s">
        <v>806</v>
      </c>
      <c r="G20" t="s">
        <v>856</v>
      </c>
      <c r="H20" s="42" t="s">
        <v>899</v>
      </c>
      <c r="I20" t="s">
        <v>940</v>
      </c>
      <c r="J20" s="42" t="s">
        <v>965</v>
      </c>
      <c r="M20" t="s">
        <v>996</v>
      </c>
      <c r="N20" s="42" t="s">
        <v>1023</v>
      </c>
      <c r="O20" t="s">
        <v>1050</v>
      </c>
      <c r="P20" s="42" t="s">
        <v>1297</v>
      </c>
      <c r="Q20" t="s">
        <v>1544</v>
      </c>
      <c r="R20" s="42" t="s">
        <v>1570</v>
      </c>
      <c r="Y20" t="s">
        <v>1616</v>
      </c>
      <c r="Z20" s="42" t="s">
        <v>1635</v>
      </c>
      <c r="AC20" t="s">
        <v>1674</v>
      </c>
      <c r="AD20" s="42" t="s">
        <v>1694</v>
      </c>
      <c r="AG20" t="s">
        <v>1718</v>
      </c>
      <c r="AH20" s="42" t="s">
        <v>1894</v>
      </c>
      <c r="AO20" t="s">
        <v>2117</v>
      </c>
      <c r="AP20" s="42" t="s">
        <v>2141</v>
      </c>
      <c r="BF20" t="s">
        <v>2200</v>
      </c>
      <c r="BG20" t="s">
        <v>2200</v>
      </c>
      <c r="BK20" t="s">
        <v>2234</v>
      </c>
      <c r="BN20" t="s">
        <v>3153</v>
      </c>
      <c r="CB20" t="s">
        <v>3709</v>
      </c>
      <c r="CC20" s="42" t="s">
        <v>4270</v>
      </c>
      <c r="CD20" t="s">
        <v>4829</v>
      </c>
      <c r="CE20" s="42" t="s">
        <v>4866</v>
      </c>
      <c r="CJ20" t="s">
        <v>4918</v>
      </c>
      <c r="CK20" s="42" t="s">
        <v>5227</v>
      </c>
      <c r="CP20" t="s">
        <v>5546</v>
      </c>
      <c r="CQ20" s="42" t="s">
        <v>5575</v>
      </c>
    </row>
    <row r="21" spans="3:95">
      <c r="C21" t="s">
        <v>775</v>
      </c>
      <c r="D21" s="42" t="s">
        <v>807</v>
      </c>
      <c r="G21" t="s">
        <v>857</v>
      </c>
      <c r="H21" s="42" t="s">
        <v>900</v>
      </c>
      <c r="I21" t="s">
        <v>941</v>
      </c>
      <c r="J21" s="42" t="s">
        <v>966</v>
      </c>
      <c r="M21" t="s">
        <v>997</v>
      </c>
      <c r="N21" s="42" t="s">
        <v>1024</v>
      </c>
      <c r="O21" t="s">
        <v>1051</v>
      </c>
      <c r="P21" s="42" t="s">
        <v>1298</v>
      </c>
      <c r="Q21" t="s">
        <v>1545</v>
      </c>
      <c r="R21" s="42" t="s">
        <v>1571</v>
      </c>
      <c r="AC21" t="s">
        <v>1675</v>
      </c>
      <c r="AD21" s="42" t="s">
        <v>1695</v>
      </c>
      <c r="AG21" t="s">
        <v>1719</v>
      </c>
      <c r="AH21" s="42" t="s">
        <v>1895</v>
      </c>
      <c r="AO21" t="s">
        <v>2118</v>
      </c>
      <c r="AP21" s="42" t="s">
        <v>2142</v>
      </c>
      <c r="BF21" t="s">
        <v>2201</v>
      </c>
      <c r="BG21" t="s">
        <v>2201</v>
      </c>
      <c r="BK21" t="s">
        <v>2235</v>
      </c>
      <c r="BN21" t="s">
        <v>3154</v>
      </c>
      <c r="CB21" t="s">
        <v>3710</v>
      </c>
      <c r="CC21" s="42" t="s">
        <v>4271</v>
      </c>
      <c r="CD21" t="s">
        <v>4830</v>
      </c>
      <c r="CE21" s="42" t="s">
        <v>4867</v>
      </c>
      <c r="CJ21" t="s">
        <v>4919</v>
      </c>
      <c r="CK21" s="42" t="s">
        <v>5228</v>
      </c>
      <c r="CP21" t="s">
        <v>5547</v>
      </c>
      <c r="CQ21" s="42" t="s">
        <v>5576</v>
      </c>
    </row>
    <row r="22" spans="3:95">
      <c r="C22" t="s">
        <v>776</v>
      </c>
      <c r="D22" s="42" t="s">
        <v>808</v>
      </c>
      <c r="G22" t="s">
        <v>858</v>
      </c>
      <c r="H22" s="42" t="s">
        <v>901</v>
      </c>
      <c r="I22" t="s">
        <v>942</v>
      </c>
      <c r="J22" s="42" t="s">
        <v>967</v>
      </c>
      <c r="M22" t="s">
        <v>998</v>
      </c>
      <c r="N22" s="42" t="s">
        <v>1025</v>
      </c>
      <c r="O22" t="s">
        <v>1052</v>
      </c>
      <c r="P22" s="42" t="s">
        <v>1299</v>
      </c>
      <c r="Q22" t="s">
        <v>1546</v>
      </c>
      <c r="R22" s="42" t="s">
        <v>1572</v>
      </c>
      <c r="AG22" t="s">
        <v>1720</v>
      </c>
      <c r="AH22" s="42" t="s">
        <v>1896</v>
      </c>
      <c r="AO22" t="s">
        <v>2119</v>
      </c>
      <c r="AP22" s="42" t="s">
        <v>2143</v>
      </c>
      <c r="BF22" t="s">
        <v>2202</v>
      </c>
      <c r="BG22" t="s">
        <v>2202</v>
      </c>
      <c r="BK22" t="s">
        <v>2236</v>
      </c>
      <c r="BN22" t="s">
        <v>3155</v>
      </c>
      <c r="CB22" t="s">
        <v>3711</v>
      </c>
      <c r="CC22" s="42" t="s">
        <v>4272</v>
      </c>
      <c r="CD22" t="s">
        <v>4831</v>
      </c>
      <c r="CE22" s="42" t="s">
        <v>4868</v>
      </c>
      <c r="CJ22" t="s">
        <v>4920</v>
      </c>
      <c r="CK22" s="42" t="s">
        <v>5229</v>
      </c>
      <c r="CP22" t="s">
        <v>5548</v>
      </c>
      <c r="CQ22" s="42" t="s">
        <v>5577</v>
      </c>
    </row>
    <row r="23" spans="3:95">
      <c r="C23" t="s">
        <v>777</v>
      </c>
      <c r="D23" s="42" t="s">
        <v>809</v>
      </c>
      <c r="G23" t="s">
        <v>859</v>
      </c>
      <c r="H23" s="42" t="s">
        <v>902</v>
      </c>
      <c r="I23" t="s">
        <v>943</v>
      </c>
      <c r="J23" s="42" t="s">
        <v>968</v>
      </c>
      <c r="M23" t="s">
        <v>999</v>
      </c>
      <c r="N23" s="42" t="s">
        <v>1026</v>
      </c>
      <c r="O23" t="s">
        <v>1053</v>
      </c>
      <c r="P23" s="42" t="s">
        <v>1300</v>
      </c>
      <c r="Q23" t="s">
        <v>1547</v>
      </c>
      <c r="R23" s="42" t="s">
        <v>1573</v>
      </c>
      <c r="AG23" t="s">
        <v>1721</v>
      </c>
      <c r="AH23" s="42" t="s">
        <v>1897</v>
      </c>
      <c r="AO23" t="s">
        <v>2120</v>
      </c>
      <c r="AP23" s="42" t="s">
        <v>2144</v>
      </c>
      <c r="BF23" t="s">
        <v>148</v>
      </c>
      <c r="BG23" t="s">
        <v>148</v>
      </c>
      <c r="BK23" t="s">
        <v>2237</v>
      </c>
      <c r="BN23" t="s">
        <v>3156</v>
      </c>
      <c r="CB23" t="s">
        <v>3712</v>
      </c>
      <c r="CC23" s="42" t="s">
        <v>4273</v>
      </c>
      <c r="CD23" t="s">
        <v>4832</v>
      </c>
      <c r="CE23" s="42" t="s">
        <v>4869</v>
      </c>
      <c r="CJ23" t="s">
        <v>4921</v>
      </c>
      <c r="CK23" s="42" t="s">
        <v>5230</v>
      </c>
      <c r="CP23" t="s">
        <v>5549</v>
      </c>
      <c r="CQ23" s="42" t="s">
        <v>5578</v>
      </c>
    </row>
    <row r="24" spans="3:95">
      <c r="C24" t="s">
        <v>778</v>
      </c>
      <c r="D24" s="42" t="s">
        <v>810</v>
      </c>
      <c r="G24" t="s">
        <v>860</v>
      </c>
      <c r="H24" s="42" t="s">
        <v>903</v>
      </c>
      <c r="I24" t="s">
        <v>944</v>
      </c>
      <c r="J24" s="42" t="s">
        <v>969</v>
      </c>
      <c r="M24" t="s">
        <v>1000</v>
      </c>
      <c r="N24" s="42" t="s">
        <v>1027</v>
      </c>
      <c r="O24" t="s">
        <v>1054</v>
      </c>
      <c r="P24" s="42" t="s">
        <v>1301</v>
      </c>
      <c r="Q24" t="s">
        <v>1548</v>
      </c>
      <c r="R24" s="42" t="s">
        <v>1574</v>
      </c>
      <c r="AG24" t="s">
        <v>1722</v>
      </c>
      <c r="AH24" s="42" t="s">
        <v>1898</v>
      </c>
      <c r="AO24" t="s">
        <v>2121</v>
      </c>
      <c r="AP24" s="42" t="s">
        <v>2145</v>
      </c>
      <c r="BF24" t="s">
        <v>2203</v>
      </c>
      <c r="BG24" t="s">
        <v>2203</v>
      </c>
      <c r="BK24" t="s">
        <v>2238</v>
      </c>
      <c r="BN24" t="s">
        <v>3157</v>
      </c>
      <c r="CB24" t="s">
        <v>3713</v>
      </c>
      <c r="CC24" s="42" t="s">
        <v>4274</v>
      </c>
      <c r="CD24" t="s">
        <v>4833</v>
      </c>
      <c r="CE24" s="42" t="s">
        <v>4870</v>
      </c>
      <c r="CJ24" t="s">
        <v>4922</v>
      </c>
      <c r="CK24" s="42" t="s">
        <v>5231</v>
      </c>
      <c r="CP24" t="s">
        <v>5550</v>
      </c>
      <c r="CQ24" s="42" t="s">
        <v>5579</v>
      </c>
    </row>
    <row r="25" spans="3:95">
      <c r="C25" t="s">
        <v>779</v>
      </c>
      <c r="D25" s="42" t="s">
        <v>811</v>
      </c>
      <c r="G25" t="s">
        <v>861</v>
      </c>
      <c r="H25" s="42" t="s">
        <v>904</v>
      </c>
      <c r="I25" t="s">
        <v>945</v>
      </c>
      <c r="J25" s="42" t="s">
        <v>970</v>
      </c>
      <c r="M25" t="s">
        <v>1001</v>
      </c>
      <c r="N25" s="42" t="s">
        <v>1028</v>
      </c>
      <c r="O25" t="s">
        <v>1055</v>
      </c>
      <c r="P25" s="42" t="s">
        <v>1302</v>
      </c>
      <c r="Q25" t="s">
        <v>1549</v>
      </c>
      <c r="R25" s="42" t="s">
        <v>1575</v>
      </c>
      <c r="AG25" t="s">
        <v>1723</v>
      </c>
      <c r="AH25" s="42" t="s">
        <v>1899</v>
      </c>
      <c r="AO25" t="s">
        <v>2122</v>
      </c>
      <c r="AP25" s="42" t="s">
        <v>2146</v>
      </c>
      <c r="BF25" t="s">
        <v>2204</v>
      </c>
      <c r="BG25" t="s">
        <v>2204</v>
      </c>
      <c r="BK25" t="s">
        <v>2239</v>
      </c>
      <c r="BN25" t="s">
        <v>3158</v>
      </c>
      <c r="CB25" t="s">
        <v>3714</v>
      </c>
      <c r="CC25" s="42" t="s">
        <v>4275</v>
      </c>
      <c r="CD25" t="s">
        <v>4834</v>
      </c>
      <c r="CE25" s="42" t="s">
        <v>4871</v>
      </c>
      <c r="CJ25" t="s">
        <v>4923</v>
      </c>
      <c r="CK25" s="42" t="s">
        <v>5232</v>
      </c>
      <c r="CP25" t="s">
        <v>5551</v>
      </c>
      <c r="CQ25" s="42" t="s">
        <v>5580</v>
      </c>
    </row>
    <row r="26" spans="3:95">
      <c r="C26" t="s">
        <v>780</v>
      </c>
      <c r="D26" s="42" t="s">
        <v>812</v>
      </c>
      <c r="G26" t="s">
        <v>862</v>
      </c>
      <c r="H26" s="42" t="s">
        <v>905</v>
      </c>
      <c r="I26" t="s">
        <v>946</v>
      </c>
      <c r="J26" s="42" t="s">
        <v>971</v>
      </c>
      <c r="M26" t="s">
        <v>1002</v>
      </c>
      <c r="N26" s="42" t="s">
        <v>1029</v>
      </c>
      <c r="O26" t="s">
        <v>1056</v>
      </c>
      <c r="P26" s="42" t="s">
        <v>1303</v>
      </c>
      <c r="Q26" t="s">
        <v>1550</v>
      </c>
      <c r="R26" s="42" t="s">
        <v>1576</v>
      </c>
      <c r="AG26" t="s">
        <v>1724</v>
      </c>
      <c r="AH26" s="42" t="s">
        <v>1900</v>
      </c>
      <c r="AO26" t="s">
        <v>974</v>
      </c>
      <c r="AP26" s="42" t="s">
        <v>977</v>
      </c>
      <c r="BF26" t="s">
        <v>2205</v>
      </c>
      <c r="BG26" t="s">
        <v>2205</v>
      </c>
      <c r="BK26" t="s">
        <v>2240</v>
      </c>
      <c r="BN26" t="s">
        <v>3159</v>
      </c>
      <c r="CB26" t="s">
        <v>3715</v>
      </c>
      <c r="CC26" s="42" t="s">
        <v>4276</v>
      </c>
      <c r="CD26" t="s">
        <v>4835</v>
      </c>
      <c r="CE26" s="42" t="s">
        <v>4872</v>
      </c>
      <c r="CJ26" t="s">
        <v>4924</v>
      </c>
      <c r="CK26" s="42" t="s">
        <v>5233</v>
      </c>
      <c r="CP26" t="s">
        <v>5552</v>
      </c>
      <c r="CQ26" s="42" t="s">
        <v>5581</v>
      </c>
    </row>
    <row r="27" spans="3:95">
      <c r="C27" t="s">
        <v>781</v>
      </c>
      <c r="D27" s="42" t="s">
        <v>813</v>
      </c>
      <c r="G27" t="s">
        <v>863</v>
      </c>
      <c r="H27" s="42" t="s">
        <v>906</v>
      </c>
      <c r="I27" t="s">
        <v>787</v>
      </c>
      <c r="J27" s="42" t="s">
        <v>819</v>
      </c>
      <c r="M27" t="s">
        <v>1003</v>
      </c>
      <c r="N27" s="42" t="s">
        <v>1030</v>
      </c>
      <c r="O27" t="s">
        <v>1057</v>
      </c>
      <c r="P27" s="42" t="s">
        <v>1304</v>
      </c>
      <c r="Q27" t="s">
        <v>1551</v>
      </c>
      <c r="R27" s="42" t="s">
        <v>1577</v>
      </c>
      <c r="AG27" t="s">
        <v>1725</v>
      </c>
      <c r="AH27" s="42" t="s">
        <v>1901</v>
      </c>
      <c r="BF27" t="s">
        <v>2206</v>
      </c>
      <c r="BG27" t="s">
        <v>2206</v>
      </c>
      <c r="BK27" t="s">
        <v>2241</v>
      </c>
      <c r="BN27" t="s">
        <v>3160</v>
      </c>
      <c r="CB27" t="s">
        <v>3716</v>
      </c>
      <c r="CC27" s="42" t="s">
        <v>4277</v>
      </c>
      <c r="CD27" t="s">
        <v>4836</v>
      </c>
      <c r="CE27" s="42" t="s">
        <v>4873</v>
      </c>
      <c r="CJ27" t="s">
        <v>4925</v>
      </c>
      <c r="CK27" s="42" t="s">
        <v>5234</v>
      </c>
      <c r="CP27" t="s">
        <v>5553</v>
      </c>
      <c r="CQ27" s="42" t="s">
        <v>5582</v>
      </c>
    </row>
    <row r="28" spans="3:95">
      <c r="C28" t="s">
        <v>782</v>
      </c>
      <c r="D28" s="42" t="s">
        <v>814</v>
      </c>
      <c r="G28" t="s">
        <v>864</v>
      </c>
      <c r="H28" s="42" t="s">
        <v>907</v>
      </c>
      <c r="M28" t="s">
        <v>1004</v>
      </c>
      <c r="N28" s="42" t="s">
        <v>1031</v>
      </c>
      <c r="O28" t="s">
        <v>1058</v>
      </c>
      <c r="P28" s="42" t="s">
        <v>1305</v>
      </c>
      <c r="AG28" t="s">
        <v>1726</v>
      </c>
      <c r="AH28" s="42" t="s">
        <v>1902</v>
      </c>
      <c r="BF28" t="s">
        <v>2207</v>
      </c>
      <c r="BG28" t="s">
        <v>2207</v>
      </c>
      <c r="BK28" t="s">
        <v>2242</v>
      </c>
      <c r="BN28" t="s">
        <v>3161</v>
      </c>
      <c r="CB28" t="s">
        <v>3717</v>
      </c>
      <c r="CC28" s="42" t="s">
        <v>4278</v>
      </c>
      <c r="CD28" t="s">
        <v>4837</v>
      </c>
      <c r="CE28" s="42" t="s">
        <v>4874</v>
      </c>
      <c r="CJ28" t="s">
        <v>4926</v>
      </c>
      <c r="CK28" s="42" t="s">
        <v>5235</v>
      </c>
      <c r="CP28" t="s">
        <v>5554</v>
      </c>
      <c r="CQ28" s="42" t="s">
        <v>5583</v>
      </c>
    </row>
    <row r="29" spans="3:95">
      <c r="C29" t="s">
        <v>783</v>
      </c>
      <c r="D29" s="42" t="s">
        <v>815</v>
      </c>
      <c r="G29" t="s">
        <v>865</v>
      </c>
      <c r="H29" s="42" t="s">
        <v>908</v>
      </c>
      <c r="M29" t="s">
        <v>974</v>
      </c>
      <c r="N29" s="42" t="s">
        <v>977</v>
      </c>
      <c r="O29" t="s">
        <v>1059</v>
      </c>
      <c r="P29" s="42" t="s">
        <v>1306</v>
      </c>
      <c r="AG29" t="s">
        <v>1727</v>
      </c>
      <c r="AH29" s="42" t="s">
        <v>1903</v>
      </c>
      <c r="BF29" t="s">
        <v>2208</v>
      </c>
      <c r="BG29" t="s">
        <v>2208</v>
      </c>
      <c r="BK29" t="s">
        <v>2243</v>
      </c>
      <c r="BN29" t="s">
        <v>3162</v>
      </c>
      <c r="CB29" t="s">
        <v>3718</v>
      </c>
      <c r="CC29" s="42" t="s">
        <v>4279</v>
      </c>
      <c r="CD29" t="s">
        <v>4838</v>
      </c>
      <c r="CE29" s="42" t="s">
        <v>4875</v>
      </c>
      <c r="CJ29" t="s">
        <v>4927</v>
      </c>
      <c r="CK29" s="42" t="s">
        <v>5236</v>
      </c>
      <c r="CP29" t="s">
        <v>5555</v>
      </c>
      <c r="CQ29" s="42" t="s">
        <v>5584</v>
      </c>
    </row>
    <row r="30" spans="3:95">
      <c r="C30" t="s">
        <v>784</v>
      </c>
      <c r="D30" s="42" t="s">
        <v>816</v>
      </c>
      <c r="G30" t="s">
        <v>866</v>
      </c>
      <c r="H30" s="42" t="s">
        <v>909</v>
      </c>
      <c r="M30" t="s">
        <v>787</v>
      </c>
      <c r="N30" s="42" t="s">
        <v>819</v>
      </c>
      <c r="O30" t="s">
        <v>1060</v>
      </c>
      <c r="P30" s="42" t="s">
        <v>1307</v>
      </c>
      <c r="AG30" t="s">
        <v>1728</v>
      </c>
      <c r="AH30" s="42" t="s">
        <v>1904</v>
      </c>
      <c r="BF30" t="s">
        <v>2209</v>
      </c>
      <c r="BG30" t="s">
        <v>2209</v>
      </c>
      <c r="BK30" t="s">
        <v>2244</v>
      </c>
      <c r="BN30" t="s">
        <v>3163</v>
      </c>
      <c r="CB30" t="s">
        <v>3719</v>
      </c>
      <c r="CC30" s="42" t="s">
        <v>4280</v>
      </c>
      <c r="CD30" t="s">
        <v>4839</v>
      </c>
      <c r="CE30" s="42" t="s">
        <v>4876</v>
      </c>
      <c r="CJ30" t="s">
        <v>4928</v>
      </c>
      <c r="CK30" s="42" t="s">
        <v>5237</v>
      </c>
      <c r="CP30" t="s">
        <v>5556</v>
      </c>
      <c r="CQ30" s="42" t="s">
        <v>5585</v>
      </c>
    </row>
    <row r="31" spans="3:95">
      <c r="C31" t="s">
        <v>785</v>
      </c>
      <c r="D31" s="42" t="s">
        <v>817</v>
      </c>
      <c r="G31" t="s">
        <v>867</v>
      </c>
      <c r="H31" s="42" t="s">
        <v>910</v>
      </c>
      <c r="O31" t="s">
        <v>1061</v>
      </c>
      <c r="P31" s="42" t="s">
        <v>1308</v>
      </c>
      <c r="AG31" t="s">
        <v>1729</v>
      </c>
      <c r="AH31" s="42" t="s">
        <v>1905</v>
      </c>
      <c r="BF31" t="s">
        <v>2210</v>
      </c>
      <c r="BG31" t="s">
        <v>2210</v>
      </c>
      <c r="BK31" t="s">
        <v>2245</v>
      </c>
      <c r="BN31" t="s">
        <v>3164</v>
      </c>
      <c r="CB31" t="s">
        <v>3720</v>
      </c>
      <c r="CC31" s="42" t="s">
        <v>4281</v>
      </c>
      <c r="CD31" t="s">
        <v>4840</v>
      </c>
      <c r="CE31" s="42" t="s">
        <v>4877</v>
      </c>
      <c r="CJ31" t="s">
        <v>4929</v>
      </c>
      <c r="CK31" s="42" t="s">
        <v>5238</v>
      </c>
      <c r="CP31" t="s">
        <v>974</v>
      </c>
      <c r="CQ31" s="42" t="s">
        <v>977</v>
      </c>
    </row>
    <row r="32" spans="3:95">
      <c r="C32" t="s">
        <v>786</v>
      </c>
      <c r="D32" s="42" t="s">
        <v>818</v>
      </c>
      <c r="G32" t="s">
        <v>868</v>
      </c>
      <c r="H32" s="42" t="s">
        <v>911</v>
      </c>
      <c r="O32" t="s">
        <v>1062</v>
      </c>
      <c r="P32" s="42" t="s">
        <v>1309</v>
      </c>
      <c r="AG32" t="s">
        <v>1730</v>
      </c>
      <c r="AH32" s="42" t="s">
        <v>1906</v>
      </c>
      <c r="BF32" t="s">
        <v>2211</v>
      </c>
      <c r="BG32" t="s">
        <v>2211</v>
      </c>
      <c r="BK32" t="s">
        <v>2246</v>
      </c>
      <c r="BN32" t="s">
        <v>3165</v>
      </c>
      <c r="CB32" t="s">
        <v>3721</v>
      </c>
      <c r="CC32" s="42" t="s">
        <v>4282</v>
      </c>
      <c r="CD32" t="s">
        <v>4841</v>
      </c>
      <c r="CE32" s="42" t="s">
        <v>4878</v>
      </c>
      <c r="CJ32" t="s">
        <v>4930</v>
      </c>
      <c r="CK32" s="42" t="s">
        <v>5239</v>
      </c>
    </row>
    <row r="33" spans="3:89">
      <c r="C33" t="s">
        <v>787</v>
      </c>
      <c r="D33" s="42" t="s">
        <v>819</v>
      </c>
      <c r="G33" t="s">
        <v>869</v>
      </c>
      <c r="H33" s="42" t="s">
        <v>912</v>
      </c>
      <c r="O33" t="s">
        <v>1063</v>
      </c>
      <c r="P33" s="42" t="s">
        <v>1310</v>
      </c>
      <c r="AG33" t="s">
        <v>1731</v>
      </c>
      <c r="AH33" s="42" t="s">
        <v>1907</v>
      </c>
      <c r="BF33" t="s">
        <v>2212</v>
      </c>
      <c r="BG33" t="s">
        <v>2212</v>
      </c>
      <c r="BK33" t="s">
        <v>2247</v>
      </c>
      <c r="BN33" t="s">
        <v>3166</v>
      </c>
      <c r="CB33" t="s">
        <v>3722</v>
      </c>
      <c r="CC33" s="42" t="s">
        <v>4283</v>
      </c>
      <c r="CD33" t="s">
        <v>1670</v>
      </c>
      <c r="CE33" s="42" t="s">
        <v>4879</v>
      </c>
      <c r="CJ33" t="s">
        <v>4931</v>
      </c>
      <c r="CK33" s="42" t="s">
        <v>5240</v>
      </c>
    </row>
    <row r="34" spans="3:89">
      <c r="G34" t="s">
        <v>870</v>
      </c>
      <c r="H34" s="42" t="s">
        <v>913</v>
      </c>
      <c r="O34" t="s">
        <v>1064</v>
      </c>
      <c r="P34" s="42" t="s">
        <v>1311</v>
      </c>
      <c r="AG34" t="s">
        <v>1732</v>
      </c>
      <c r="AH34" s="42" t="s">
        <v>1908</v>
      </c>
      <c r="BF34" t="s">
        <v>2213</v>
      </c>
      <c r="BG34" t="s">
        <v>2213</v>
      </c>
      <c r="BK34" t="s">
        <v>2248</v>
      </c>
      <c r="BN34" t="s">
        <v>3167</v>
      </c>
      <c r="CB34" t="s">
        <v>3723</v>
      </c>
      <c r="CC34" s="42" t="s">
        <v>4284</v>
      </c>
      <c r="CD34" t="s">
        <v>4842</v>
      </c>
      <c r="CE34" s="42" t="s">
        <v>4880</v>
      </c>
      <c r="CJ34" t="s">
        <v>4932</v>
      </c>
      <c r="CK34" s="42" t="s">
        <v>5241</v>
      </c>
    </row>
    <row r="35" spans="3:89">
      <c r="G35" t="s">
        <v>871</v>
      </c>
      <c r="H35" s="42" t="s">
        <v>914</v>
      </c>
      <c r="O35" t="s">
        <v>1065</v>
      </c>
      <c r="P35" s="42" t="s">
        <v>1312</v>
      </c>
      <c r="AG35" t="s">
        <v>1733</v>
      </c>
      <c r="AH35" s="42" t="s">
        <v>1909</v>
      </c>
      <c r="BF35" t="s">
        <v>2214</v>
      </c>
      <c r="BG35" t="s">
        <v>2214</v>
      </c>
      <c r="BK35" t="s">
        <v>2249</v>
      </c>
      <c r="BN35" t="s">
        <v>3168</v>
      </c>
      <c r="CB35" t="s">
        <v>3724</v>
      </c>
      <c r="CC35" s="42" t="s">
        <v>4285</v>
      </c>
      <c r="CD35" t="s">
        <v>4843</v>
      </c>
      <c r="CE35" s="42" t="s">
        <v>4881</v>
      </c>
      <c r="CJ35" t="s">
        <v>4933</v>
      </c>
      <c r="CK35" s="42" t="s">
        <v>5242</v>
      </c>
    </row>
    <row r="36" spans="3:89">
      <c r="G36" t="s">
        <v>872</v>
      </c>
      <c r="H36" s="42" t="s">
        <v>915</v>
      </c>
      <c r="O36" t="s">
        <v>1066</v>
      </c>
      <c r="P36" s="42" t="s">
        <v>1313</v>
      </c>
      <c r="AG36" t="s">
        <v>1734</v>
      </c>
      <c r="AH36" s="42" t="s">
        <v>1910</v>
      </c>
      <c r="BF36" t="s">
        <v>2215</v>
      </c>
      <c r="BG36" t="s">
        <v>2215</v>
      </c>
      <c r="BK36" t="s">
        <v>2250</v>
      </c>
      <c r="BN36" t="s">
        <v>3169</v>
      </c>
      <c r="CB36" t="s">
        <v>3725</v>
      </c>
      <c r="CC36" s="42" t="s">
        <v>4286</v>
      </c>
      <c r="CD36" t="s">
        <v>4844</v>
      </c>
      <c r="CE36" s="42" t="s">
        <v>4882</v>
      </c>
      <c r="CJ36" t="s">
        <v>4934</v>
      </c>
      <c r="CK36" s="42" t="s">
        <v>5243</v>
      </c>
    </row>
    <row r="37" spans="3:89">
      <c r="G37" t="s">
        <v>873</v>
      </c>
      <c r="H37" s="42" t="s">
        <v>916</v>
      </c>
      <c r="O37" t="s">
        <v>1067</v>
      </c>
      <c r="P37" s="42" t="s">
        <v>1314</v>
      </c>
      <c r="AG37" t="s">
        <v>1735</v>
      </c>
      <c r="AH37" s="42" t="s">
        <v>1911</v>
      </c>
      <c r="BK37" t="s">
        <v>2251</v>
      </c>
      <c r="BN37" t="s">
        <v>3170</v>
      </c>
      <c r="CB37" t="s">
        <v>3726</v>
      </c>
      <c r="CC37" s="42" t="s">
        <v>4287</v>
      </c>
      <c r="CD37" t="s">
        <v>4845</v>
      </c>
      <c r="CE37" s="42" t="s">
        <v>4883</v>
      </c>
      <c r="CJ37" t="s">
        <v>4935</v>
      </c>
      <c r="CK37" s="42" t="s">
        <v>5244</v>
      </c>
    </row>
    <row r="38" spans="3:89">
      <c r="G38" t="s">
        <v>874</v>
      </c>
      <c r="H38" s="42" t="s">
        <v>917</v>
      </c>
      <c r="O38" t="s">
        <v>1068</v>
      </c>
      <c r="P38" s="42" t="s">
        <v>1315</v>
      </c>
      <c r="AG38" t="s">
        <v>1736</v>
      </c>
      <c r="AH38" s="42" t="s">
        <v>1912</v>
      </c>
      <c r="BK38" t="s">
        <v>2252</v>
      </c>
      <c r="BN38" t="s">
        <v>3171</v>
      </c>
      <c r="CB38" t="s">
        <v>3727</v>
      </c>
      <c r="CC38" s="42" t="s">
        <v>4288</v>
      </c>
      <c r="CD38" t="s">
        <v>4846</v>
      </c>
      <c r="CE38" s="42" t="s">
        <v>4884</v>
      </c>
      <c r="CJ38" t="s">
        <v>4936</v>
      </c>
      <c r="CK38" s="42" t="s">
        <v>5245</v>
      </c>
    </row>
    <row r="39" spans="3:89">
      <c r="G39" t="s">
        <v>875</v>
      </c>
      <c r="H39" s="42" t="s">
        <v>918</v>
      </c>
      <c r="O39" t="s">
        <v>1069</v>
      </c>
      <c r="P39" s="42" t="s">
        <v>1316</v>
      </c>
      <c r="AG39" t="s">
        <v>1737</v>
      </c>
      <c r="AH39" s="42" t="s">
        <v>1913</v>
      </c>
      <c r="BK39" t="s">
        <v>2253</v>
      </c>
      <c r="BN39" t="s">
        <v>3172</v>
      </c>
      <c r="CB39" t="s">
        <v>3728</v>
      </c>
      <c r="CC39" s="42" t="s">
        <v>4289</v>
      </c>
      <c r="CD39" t="s">
        <v>4847</v>
      </c>
      <c r="CE39" s="42" t="s">
        <v>4885</v>
      </c>
      <c r="CJ39" t="s">
        <v>4937</v>
      </c>
      <c r="CK39" s="42" t="s">
        <v>5246</v>
      </c>
    </row>
    <row r="40" spans="3:89">
      <c r="G40" t="s">
        <v>876</v>
      </c>
      <c r="H40" s="42" t="s">
        <v>919</v>
      </c>
      <c r="O40" t="s">
        <v>1070</v>
      </c>
      <c r="P40" s="42" t="s">
        <v>1317</v>
      </c>
      <c r="AG40" t="s">
        <v>1738</v>
      </c>
      <c r="AH40" s="42" t="s">
        <v>1914</v>
      </c>
      <c r="BK40" t="s">
        <v>2254</v>
      </c>
      <c r="BN40" t="s">
        <v>3173</v>
      </c>
      <c r="CB40" t="s">
        <v>3729</v>
      </c>
      <c r="CC40" s="42" t="s">
        <v>4290</v>
      </c>
      <c r="CD40" t="s">
        <v>974</v>
      </c>
      <c r="CE40" s="42" t="s">
        <v>977</v>
      </c>
      <c r="CJ40" t="s">
        <v>4938</v>
      </c>
      <c r="CK40" s="42" t="s">
        <v>5247</v>
      </c>
    </row>
    <row r="41" spans="3:89">
      <c r="G41" t="s">
        <v>877</v>
      </c>
      <c r="H41" s="42" t="s">
        <v>920</v>
      </c>
      <c r="O41" t="s">
        <v>1071</v>
      </c>
      <c r="P41" s="42" t="s">
        <v>1318</v>
      </c>
      <c r="AG41" t="s">
        <v>1739</v>
      </c>
      <c r="AH41" s="42" t="s">
        <v>1915</v>
      </c>
      <c r="BK41" t="s">
        <v>2255</v>
      </c>
      <c r="BN41" t="s">
        <v>3174</v>
      </c>
      <c r="CB41" t="s">
        <v>3730</v>
      </c>
      <c r="CC41" s="42" t="s">
        <v>4291</v>
      </c>
      <c r="CJ41" t="s">
        <v>4939</v>
      </c>
      <c r="CK41" s="42" t="s">
        <v>5248</v>
      </c>
    </row>
    <row r="42" spans="3:89">
      <c r="G42" t="s">
        <v>878</v>
      </c>
      <c r="H42" s="42" t="s">
        <v>921</v>
      </c>
      <c r="O42" t="s">
        <v>1072</v>
      </c>
      <c r="P42" s="42" t="s">
        <v>1319</v>
      </c>
      <c r="AG42" t="s">
        <v>1740</v>
      </c>
      <c r="AH42" s="42" t="s">
        <v>1916</v>
      </c>
      <c r="BK42" t="s">
        <v>2256</v>
      </c>
      <c r="BN42" t="s">
        <v>3175</v>
      </c>
      <c r="CB42" t="s">
        <v>3731</v>
      </c>
      <c r="CC42" s="42" t="s">
        <v>4292</v>
      </c>
      <c r="CJ42" t="s">
        <v>4940</v>
      </c>
      <c r="CK42" s="42" t="s">
        <v>5249</v>
      </c>
    </row>
    <row r="43" spans="3:89">
      <c r="G43" t="s">
        <v>879</v>
      </c>
      <c r="H43" s="42" t="s">
        <v>922</v>
      </c>
      <c r="O43" t="s">
        <v>1073</v>
      </c>
      <c r="P43" s="42" t="s">
        <v>1320</v>
      </c>
      <c r="AG43" t="s">
        <v>1741</v>
      </c>
      <c r="AH43" s="42" t="s">
        <v>1917</v>
      </c>
      <c r="BK43" t="s">
        <v>2257</v>
      </c>
      <c r="BN43" t="s">
        <v>3176</v>
      </c>
      <c r="CB43" t="s">
        <v>3732</v>
      </c>
      <c r="CC43" s="42" t="s">
        <v>4293</v>
      </c>
      <c r="CJ43" t="s">
        <v>4941</v>
      </c>
      <c r="CK43" s="42" t="s">
        <v>5250</v>
      </c>
    </row>
    <row r="44" spans="3:89">
      <c r="G44" t="s">
        <v>880</v>
      </c>
      <c r="H44" s="42" t="s">
        <v>923</v>
      </c>
      <c r="O44" t="s">
        <v>1074</v>
      </c>
      <c r="P44" s="42" t="s">
        <v>1321</v>
      </c>
      <c r="AG44" t="s">
        <v>1742</v>
      </c>
      <c r="AH44" s="42" t="s">
        <v>1918</v>
      </c>
      <c r="BK44" t="s">
        <v>2258</v>
      </c>
      <c r="BN44" t="s">
        <v>3177</v>
      </c>
      <c r="CB44" t="s">
        <v>3733</v>
      </c>
      <c r="CC44" s="42" t="s">
        <v>4294</v>
      </c>
      <c r="CJ44" t="s">
        <v>4942</v>
      </c>
      <c r="CK44" s="42" t="s">
        <v>5251</v>
      </c>
    </row>
    <row r="45" spans="3:89">
      <c r="O45" t="s">
        <v>1075</v>
      </c>
      <c r="P45" s="42" t="s">
        <v>1322</v>
      </c>
      <c r="AG45" t="s">
        <v>1743</v>
      </c>
      <c r="AH45" s="42" t="s">
        <v>1919</v>
      </c>
      <c r="BK45" t="s">
        <v>2259</v>
      </c>
      <c r="BN45" t="s">
        <v>3178</v>
      </c>
      <c r="CB45" t="s">
        <v>3734</v>
      </c>
      <c r="CC45" s="42" t="s">
        <v>4295</v>
      </c>
      <c r="CJ45" t="s">
        <v>4943</v>
      </c>
      <c r="CK45" s="42" t="s">
        <v>5252</v>
      </c>
    </row>
    <row r="46" spans="3:89">
      <c r="O46" t="s">
        <v>1076</v>
      </c>
      <c r="P46" s="42" t="s">
        <v>1323</v>
      </c>
      <c r="AG46" t="s">
        <v>1744</v>
      </c>
      <c r="AH46" s="42" t="s">
        <v>1920</v>
      </c>
      <c r="BK46" t="s">
        <v>2260</v>
      </c>
      <c r="BN46" t="s">
        <v>3179</v>
      </c>
      <c r="CB46" t="s">
        <v>3735</v>
      </c>
      <c r="CC46" s="42" t="s">
        <v>4296</v>
      </c>
      <c r="CJ46" t="s">
        <v>4944</v>
      </c>
      <c r="CK46" s="42" t="s">
        <v>5253</v>
      </c>
    </row>
    <row r="47" spans="3:89">
      <c r="O47" t="s">
        <v>1077</v>
      </c>
      <c r="P47" s="42" t="s">
        <v>1324</v>
      </c>
      <c r="AG47" t="s">
        <v>1745</v>
      </c>
      <c r="AH47" s="42" t="s">
        <v>1921</v>
      </c>
      <c r="BK47" t="s">
        <v>2261</v>
      </c>
      <c r="BN47" t="s">
        <v>3180</v>
      </c>
      <c r="CB47" t="s">
        <v>3736</v>
      </c>
      <c r="CC47" s="42" t="s">
        <v>4297</v>
      </c>
      <c r="CJ47" t="s">
        <v>4945</v>
      </c>
      <c r="CK47" s="42" t="s">
        <v>5254</v>
      </c>
    </row>
    <row r="48" spans="3:89">
      <c r="O48" t="s">
        <v>1078</v>
      </c>
      <c r="P48" s="42" t="s">
        <v>1325</v>
      </c>
      <c r="AG48" t="s">
        <v>1746</v>
      </c>
      <c r="AH48" s="42" t="s">
        <v>1922</v>
      </c>
      <c r="BK48" t="s">
        <v>2262</v>
      </c>
      <c r="BN48" t="s">
        <v>3181</v>
      </c>
      <c r="CB48" t="s">
        <v>3737</v>
      </c>
      <c r="CC48" s="42" t="s">
        <v>4298</v>
      </c>
      <c r="CJ48" t="s">
        <v>4946</v>
      </c>
      <c r="CK48" s="42" t="s">
        <v>5255</v>
      </c>
    </row>
    <row r="49" spans="15:89">
      <c r="O49" t="s">
        <v>1079</v>
      </c>
      <c r="P49" s="42" t="s">
        <v>1326</v>
      </c>
      <c r="AG49" t="s">
        <v>1747</v>
      </c>
      <c r="AH49" s="42" t="s">
        <v>1923</v>
      </c>
      <c r="BK49" t="s">
        <v>2263</v>
      </c>
      <c r="BN49" t="s">
        <v>3182</v>
      </c>
      <c r="CB49" t="s">
        <v>3738</v>
      </c>
      <c r="CC49" s="42" t="s">
        <v>4299</v>
      </c>
      <c r="CJ49" t="s">
        <v>4947</v>
      </c>
      <c r="CK49" s="42" t="s">
        <v>5256</v>
      </c>
    </row>
    <row r="50" spans="15:89">
      <c r="O50" t="s">
        <v>1080</v>
      </c>
      <c r="P50" s="42" t="s">
        <v>1327</v>
      </c>
      <c r="AG50" t="s">
        <v>1748</v>
      </c>
      <c r="AH50" s="42" t="s">
        <v>1924</v>
      </c>
      <c r="BK50" t="s">
        <v>2264</v>
      </c>
      <c r="BN50" t="s">
        <v>3183</v>
      </c>
      <c r="CB50" t="s">
        <v>3739</v>
      </c>
      <c r="CC50" s="42" t="s">
        <v>4300</v>
      </c>
      <c r="CJ50" t="s">
        <v>4948</v>
      </c>
      <c r="CK50" s="42" t="s">
        <v>5257</v>
      </c>
    </row>
    <row r="51" spans="15:89">
      <c r="O51" t="s">
        <v>1081</v>
      </c>
      <c r="P51" s="42" t="s">
        <v>1328</v>
      </c>
      <c r="AG51" t="s">
        <v>1749</v>
      </c>
      <c r="AH51" s="42" t="s">
        <v>1925</v>
      </c>
      <c r="BK51" t="s">
        <v>2265</v>
      </c>
      <c r="BN51" t="s">
        <v>3184</v>
      </c>
      <c r="CB51" t="s">
        <v>3740</v>
      </c>
      <c r="CC51" s="42" t="s">
        <v>4301</v>
      </c>
      <c r="CJ51" t="s">
        <v>4949</v>
      </c>
      <c r="CK51" s="42" t="s">
        <v>5258</v>
      </c>
    </row>
    <row r="52" spans="15:89">
      <c r="O52" t="s">
        <v>1082</v>
      </c>
      <c r="P52" s="42" t="s">
        <v>1329</v>
      </c>
      <c r="AG52" t="s">
        <v>1750</v>
      </c>
      <c r="AH52" s="42" t="s">
        <v>1926</v>
      </c>
      <c r="BK52" t="s">
        <v>2266</v>
      </c>
      <c r="BN52" t="s">
        <v>3185</v>
      </c>
      <c r="CB52" t="s">
        <v>3741</v>
      </c>
      <c r="CC52" s="42" t="s">
        <v>4302</v>
      </c>
      <c r="CJ52" t="s">
        <v>4950</v>
      </c>
      <c r="CK52" s="42" t="s">
        <v>5259</v>
      </c>
    </row>
    <row r="53" spans="15:89">
      <c r="O53" t="s">
        <v>1083</v>
      </c>
      <c r="P53" s="42" t="s">
        <v>1330</v>
      </c>
      <c r="AG53" t="s">
        <v>1751</v>
      </c>
      <c r="AH53" s="42" t="s">
        <v>1927</v>
      </c>
      <c r="BK53" t="s">
        <v>2267</v>
      </c>
      <c r="BN53" t="s">
        <v>3186</v>
      </c>
      <c r="CB53" t="s">
        <v>3742</v>
      </c>
      <c r="CC53" s="42" t="s">
        <v>4303</v>
      </c>
      <c r="CJ53" t="s">
        <v>4951</v>
      </c>
      <c r="CK53" s="42" t="s">
        <v>5260</v>
      </c>
    </row>
    <row r="54" spans="15:89">
      <c r="O54" t="s">
        <v>1084</v>
      </c>
      <c r="P54" s="42" t="s">
        <v>1331</v>
      </c>
      <c r="AG54" t="s">
        <v>1752</v>
      </c>
      <c r="AH54" s="42" t="s">
        <v>1928</v>
      </c>
      <c r="BK54" t="s">
        <v>2268</v>
      </c>
      <c r="BN54" t="s">
        <v>3187</v>
      </c>
      <c r="CB54" t="s">
        <v>3743</v>
      </c>
      <c r="CC54" s="42" t="s">
        <v>4304</v>
      </c>
      <c r="CJ54" t="s">
        <v>4952</v>
      </c>
      <c r="CK54" s="42" t="s">
        <v>5261</v>
      </c>
    </row>
    <row r="55" spans="15:89">
      <c r="O55" t="s">
        <v>1085</v>
      </c>
      <c r="P55" s="42" t="s">
        <v>1332</v>
      </c>
      <c r="AG55" t="s">
        <v>1753</v>
      </c>
      <c r="AH55" s="42" t="s">
        <v>1929</v>
      </c>
      <c r="BK55" t="s">
        <v>2269</v>
      </c>
      <c r="BN55" t="s">
        <v>3188</v>
      </c>
      <c r="CB55" t="s">
        <v>3744</v>
      </c>
      <c r="CC55" s="42" t="s">
        <v>4305</v>
      </c>
      <c r="CJ55" t="s">
        <v>4953</v>
      </c>
      <c r="CK55" s="42" t="s">
        <v>5262</v>
      </c>
    </row>
    <row r="56" spans="15:89">
      <c r="O56" t="s">
        <v>1086</v>
      </c>
      <c r="P56" s="42" t="s">
        <v>1333</v>
      </c>
      <c r="AG56" t="s">
        <v>1754</v>
      </c>
      <c r="AH56" s="42" t="s">
        <v>1930</v>
      </c>
      <c r="BK56" t="s">
        <v>2270</v>
      </c>
      <c r="BN56" t="s">
        <v>3189</v>
      </c>
      <c r="CB56" t="s">
        <v>3745</v>
      </c>
      <c r="CC56" s="42" t="s">
        <v>4306</v>
      </c>
      <c r="CJ56" t="s">
        <v>4954</v>
      </c>
      <c r="CK56" s="42" t="s">
        <v>5263</v>
      </c>
    </row>
    <row r="57" spans="15:89">
      <c r="O57" t="s">
        <v>1087</v>
      </c>
      <c r="P57" s="42" t="s">
        <v>1334</v>
      </c>
      <c r="AG57" t="s">
        <v>1755</v>
      </c>
      <c r="AH57" s="42" t="s">
        <v>1931</v>
      </c>
      <c r="BK57" t="s">
        <v>2271</v>
      </c>
      <c r="BN57" t="s">
        <v>3190</v>
      </c>
      <c r="CB57" t="s">
        <v>3746</v>
      </c>
      <c r="CC57" s="42" t="s">
        <v>4307</v>
      </c>
      <c r="CJ57" t="s">
        <v>4955</v>
      </c>
      <c r="CK57" s="42" t="s">
        <v>5264</v>
      </c>
    </row>
    <row r="58" spans="15:89">
      <c r="O58" t="s">
        <v>1088</v>
      </c>
      <c r="P58" s="42" t="s">
        <v>1335</v>
      </c>
      <c r="AG58" t="s">
        <v>1756</v>
      </c>
      <c r="AH58" s="42" t="s">
        <v>1932</v>
      </c>
      <c r="BK58" t="s">
        <v>2272</v>
      </c>
      <c r="BN58" t="s">
        <v>3191</v>
      </c>
      <c r="CB58" t="s">
        <v>3747</v>
      </c>
      <c r="CC58" s="42" t="s">
        <v>4308</v>
      </c>
      <c r="CJ58" t="s">
        <v>4956</v>
      </c>
      <c r="CK58" s="42" t="s">
        <v>5265</v>
      </c>
    </row>
    <row r="59" spans="15:89">
      <c r="O59" t="s">
        <v>1089</v>
      </c>
      <c r="P59" s="42" t="s">
        <v>1336</v>
      </c>
      <c r="AG59" t="s">
        <v>1757</v>
      </c>
      <c r="AH59" s="42" t="s">
        <v>1933</v>
      </c>
      <c r="BK59" t="s">
        <v>2273</v>
      </c>
      <c r="BN59" t="s">
        <v>3192</v>
      </c>
      <c r="CB59" t="s">
        <v>3748</v>
      </c>
      <c r="CC59" s="42" t="s">
        <v>4309</v>
      </c>
      <c r="CJ59" t="s">
        <v>4957</v>
      </c>
      <c r="CK59" s="42" t="s">
        <v>5266</v>
      </c>
    </row>
    <row r="60" spans="15:89">
      <c r="O60" t="s">
        <v>1090</v>
      </c>
      <c r="P60" s="42" t="s">
        <v>1337</v>
      </c>
      <c r="AG60" t="s">
        <v>1758</v>
      </c>
      <c r="AH60" s="42" t="s">
        <v>1934</v>
      </c>
      <c r="BK60" t="s">
        <v>2274</v>
      </c>
      <c r="BN60" t="s">
        <v>3193</v>
      </c>
      <c r="CB60" t="s">
        <v>3749</v>
      </c>
      <c r="CC60" s="42" t="s">
        <v>4310</v>
      </c>
      <c r="CJ60" t="s">
        <v>4958</v>
      </c>
      <c r="CK60" s="42" t="s">
        <v>5267</v>
      </c>
    </row>
    <row r="61" spans="15:89">
      <c r="O61" t="s">
        <v>1091</v>
      </c>
      <c r="P61" s="42" t="s">
        <v>1338</v>
      </c>
      <c r="AG61" t="s">
        <v>1759</v>
      </c>
      <c r="AH61" s="42" t="s">
        <v>1935</v>
      </c>
      <c r="BK61" t="s">
        <v>2275</v>
      </c>
      <c r="BN61" t="s">
        <v>3194</v>
      </c>
      <c r="CB61" t="s">
        <v>3750</v>
      </c>
      <c r="CC61" s="42" t="s">
        <v>4311</v>
      </c>
      <c r="CJ61" t="s">
        <v>4959</v>
      </c>
      <c r="CK61" s="42" t="s">
        <v>5268</v>
      </c>
    </row>
    <row r="62" spans="15:89">
      <c r="O62" t="s">
        <v>1092</v>
      </c>
      <c r="P62" s="42" t="s">
        <v>1339</v>
      </c>
      <c r="AG62" t="s">
        <v>1760</v>
      </c>
      <c r="AH62" s="42" t="s">
        <v>1936</v>
      </c>
      <c r="BK62" t="s">
        <v>2276</v>
      </c>
      <c r="BN62" t="s">
        <v>3195</v>
      </c>
      <c r="CB62" t="s">
        <v>3751</v>
      </c>
      <c r="CC62" s="42" t="s">
        <v>4312</v>
      </c>
      <c r="CJ62" t="s">
        <v>4960</v>
      </c>
      <c r="CK62" s="42" t="s">
        <v>5269</v>
      </c>
    </row>
    <row r="63" spans="15:89">
      <c r="O63" t="s">
        <v>1093</v>
      </c>
      <c r="P63" s="42" t="s">
        <v>1340</v>
      </c>
      <c r="AG63" t="s">
        <v>1761</v>
      </c>
      <c r="AH63" s="42" t="s">
        <v>1937</v>
      </c>
      <c r="BK63" t="s">
        <v>2277</v>
      </c>
      <c r="BN63" t="s">
        <v>3196</v>
      </c>
      <c r="CB63" t="s">
        <v>3752</v>
      </c>
      <c r="CC63" s="42" t="s">
        <v>4313</v>
      </c>
      <c r="CJ63" t="s">
        <v>4961</v>
      </c>
      <c r="CK63" s="42" t="s">
        <v>5270</v>
      </c>
    </row>
    <row r="64" spans="15:89">
      <c r="O64" t="s">
        <v>1094</v>
      </c>
      <c r="P64" s="42" t="s">
        <v>1341</v>
      </c>
      <c r="AG64" t="s">
        <v>1762</v>
      </c>
      <c r="AH64" s="42" t="s">
        <v>1938</v>
      </c>
      <c r="BK64" t="s">
        <v>2278</v>
      </c>
      <c r="BN64" t="s">
        <v>3197</v>
      </c>
      <c r="CB64" t="s">
        <v>3753</v>
      </c>
      <c r="CC64" s="42" t="s">
        <v>4314</v>
      </c>
      <c r="CJ64" t="s">
        <v>4962</v>
      </c>
      <c r="CK64" s="42" t="s">
        <v>5271</v>
      </c>
    </row>
    <row r="65" spans="15:89">
      <c r="O65" t="s">
        <v>1095</v>
      </c>
      <c r="P65" s="42" t="s">
        <v>1342</v>
      </c>
      <c r="AG65" t="s">
        <v>1763</v>
      </c>
      <c r="AH65" s="42" t="s">
        <v>1939</v>
      </c>
      <c r="BK65" t="s">
        <v>2279</v>
      </c>
      <c r="BN65" t="s">
        <v>3198</v>
      </c>
      <c r="CB65" t="s">
        <v>3754</v>
      </c>
      <c r="CC65" s="42" t="s">
        <v>4315</v>
      </c>
      <c r="CJ65" t="s">
        <v>4963</v>
      </c>
      <c r="CK65" s="42" t="s">
        <v>5272</v>
      </c>
    </row>
    <row r="66" spans="15:89">
      <c r="O66" t="s">
        <v>1096</v>
      </c>
      <c r="P66" s="42" t="s">
        <v>1343</v>
      </c>
      <c r="AG66" t="s">
        <v>1764</v>
      </c>
      <c r="AH66" s="42" t="s">
        <v>1940</v>
      </c>
      <c r="BK66" t="s">
        <v>2280</v>
      </c>
      <c r="BN66" t="s">
        <v>3199</v>
      </c>
      <c r="CB66" t="s">
        <v>3755</v>
      </c>
      <c r="CC66" s="42" t="s">
        <v>4316</v>
      </c>
      <c r="CJ66" t="s">
        <v>4964</v>
      </c>
      <c r="CK66" s="42" t="s">
        <v>5273</v>
      </c>
    </row>
    <row r="67" spans="15:89">
      <c r="O67" t="s">
        <v>1097</v>
      </c>
      <c r="P67" s="42" t="s">
        <v>1344</v>
      </c>
      <c r="AG67" t="s">
        <v>1765</v>
      </c>
      <c r="AH67" s="42" t="s">
        <v>1941</v>
      </c>
      <c r="BK67" t="s">
        <v>2281</v>
      </c>
      <c r="BN67" t="s">
        <v>3200</v>
      </c>
      <c r="CB67" t="s">
        <v>3756</v>
      </c>
      <c r="CC67" s="42" t="s">
        <v>4317</v>
      </c>
      <c r="CJ67" t="s">
        <v>4965</v>
      </c>
      <c r="CK67" s="42" t="s">
        <v>5274</v>
      </c>
    </row>
    <row r="68" spans="15:89">
      <c r="O68" t="s">
        <v>1098</v>
      </c>
      <c r="P68" s="42" t="s">
        <v>1345</v>
      </c>
      <c r="AG68" t="s">
        <v>1766</v>
      </c>
      <c r="AH68" s="42" t="s">
        <v>1942</v>
      </c>
      <c r="BK68" t="s">
        <v>2282</v>
      </c>
      <c r="BN68" t="s">
        <v>3201</v>
      </c>
      <c r="CB68" t="s">
        <v>3757</v>
      </c>
      <c r="CC68" s="42" t="s">
        <v>4318</v>
      </c>
      <c r="CJ68" t="s">
        <v>4966</v>
      </c>
      <c r="CK68" s="42" t="s">
        <v>5275</v>
      </c>
    </row>
    <row r="69" spans="15:89">
      <c r="O69" t="s">
        <v>1099</v>
      </c>
      <c r="P69" s="42" t="s">
        <v>1346</v>
      </c>
      <c r="AG69" t="s">
        <v>1767</v>
      </c>
      <c r="AH69" s="42" t="s">
        <v>1943</v>
      </c>
      <c r="BK69" t="s">
        <v>2283</v>
      </c>
      <c r="BN69" t="s">
        <v>3202</v>
      </c>
      <c r="CB69" t="s">
        <v>3758</v>
      </c>
      <c r="CC69" s="42" t="s">
        <v>4319</v>
      </c>
      <c r="CJ69" t="s">
        <v>4967</v>
      </c>
      <c r="CK69" s="42" t="s">
        <v>5276</v>
      </c>
    </row>
    <row r="70" spans="15:89">
      <c r="O70" t="s">
        <v>1100</v>
      </c>
      <c r="P70" s="42" t="s">
        <v>1347</v>
      </c>
      <c r="AG70" t="s">
        <v>1768</v>
      </c>
      <c r="AH70" s="42" t="s">
        <v>1944</v>
      </c>
      <c r="BK70" t="s">
        <v>2284</v>
      </c>
      <c r="BN70" t="s">
        <v>3203</v>
      </c>
      <c r="CB70" t="s">
        <v>3759</v>
      </c>
      <c r="CC70" s="42" t="s">
        <v>4320</v>
      </c>
      <c r="CJ70" t="s">
        <v>4968</v>
      </c>
      <c r="CK70" s="42" t="s">
        <v>5277</v>
      </c>
    </row>
    <row r="71" spans="15:89">
      <c r="O71" t="s">
        <v>1101</v>
      </c>
      <c r="P71" s="42" t="s">
        <v>1348</v>
      </c>
      <c r="AG71" t="s">
        <v>1769</v>
      </c>
      <c r="AH71" s="42" t="s">
        <v>1945</v>
      </c>
      <c r="BK71" t="s">
        <v>2285</v>
      </c>
      <c r="BN71" t="s">
        <v>3204</v>
      </c>
      <c r="CB71" t="s">
        <v>3760</v>
      </c>
      <c r="CC71" s="42" t="s">
        <v>4321</v>
      </c>
      <c r="CJ71" t="s">
        <v>4969</v>
      </c>
      <c r="CK71" s="42" t="s">
        <v>5278</v>
      </c>
    </row>
    <row r="72" spans="15:89">
      <c r="O72" t="s">
        <v>1102</v>
      </c>
      <c r="P72" s="42" t="s">
        <v>1349</v>
      </c>
      <c r="AG72" t="s">
        <v>1770</v>
      </c>
      <c r="AH72" s="42" t="s">
        <v>1946</v>
      </c>
      <c r="BK72" t="s">
        <v>2286</v>
      </c>
      <c r="BN72" t="s">
        <v>3205</v>
      </c>
      <c r="CB72" t="s">
        <v>3761</v>
      </c>
      <c r="CC72" s="42" t="s">
        <v>4322</v>
      </c>
      <c r="CJ72" t="s">
        <v>4970</v>
      </c>
      <c r="CK72" s="42" t="s">
        <v>5279</v>
      </c>
    </row>
    <row r="73" spans="15:89">
      <c r="O73" t="s">
        <v>1103</v>
      </c>
      <c r="P73" s="42" t="s">
        <v>1350</v>
      </c>
      <c r="AG73" t="s">
        <v>1771</v>
      </c>
      <c r="AH73" s="42" t="s">
        <v>1947</v>
      </c>
      <c r="BK73" t="s">
        <v>2287</v>
      </c>
      <c r="BN73" t="s">
        <v>3206</v>
      </c>
      <c r="CB73" t="s">
        <v>3762</v>
      </c>
      <c r="CC73" s="42" t="s">
        <v>4323</v>
      </c>
      <c r="CJ73" t="s">
        <v>4971</v>
      </c>
      <c r="CK73" s="42" t="s">
        <v>5280</v>
      </c>
    </row>
    <row r="74" spans="15:89">
      <c r="O74" t="s">
        <v>1104</v>
      </c>
      <c r="P74" s="42" t="s">
        <v>1351</v>
      </c>
      <c r="AG74" t="s">
        <v>1772</v>
      </c>
      <c r="AH74" s="42" t="s">
        <v>1948</v>
      </c>
      <c r="BK74" t="s">
        <v>2288</v>
      </c>
      <c r="BN74" t="s">
        <v>3207</v>
      </c>
      <c r="CB74" t="s">
        <v>3763</v>
      </c>
      <c r="CC74" s="42" t="s">
        <v>4324</v>
      </c>
      <c r="CJ74" t="s">
        <v>4972</v>
      </c>
      <c r="CK74" s="42" t="s">
        <v>5281</v>
      </c>
    </row>
    <row r="75" spans="15:89">
      <c r="O75" t="s">
        <v>1105</v>
      </c>
      <c r="P75" s="42" t="s">
        <v>1352</v>
      </c>
      <c r="AG75" t="s">
        <v>1773</v>
      </c>
      <c r="AH75" s="42" t="s">
        <v>1949</v>
      </c>
      <c r="BK75" t="s">
        <v>2289</v>
      </c>
      <c r="BN75" t="s">
        <v>3208</v>
      </c>
      <c r="CB75" t="s">
        <v>3764</v>
      </c>
      <c r="CC75" s="42" t="s">
        <v>4325</v>
      </c>
      <c r="CJ75" t="s">
        <v>4973</v>
      </c>
      <c r="CK75" s="42" t="s">
        <v>5282</v>
      </c>
    </row>
    <row r="76" spans="15:89">
      <c r="O76" t="s">
        <v>1106</v>
      </c>
      <c r="P76" s="42" t="s">
        <v>1353</v>
      </c>
      <c r="AG76" t="s">
        <v>1774</v>
      </c>
      <c r="AH76" s="42" t="s">
        <v>1950</v>
      </c>
      <c r="BK76" t="s">
        <v>2290</v>
      </c>
      <c r="BN76" t="s">
        <v>3209</v>
      </c>
      <c r="CB76" t="s">
        <v>3765</v>
      </c>
      <c r="CC76" s="42" t="s">
        <v>4326</v>
      </c>
      <c r="CJ76" t="s">
        <v>4974</v>
      </c>
      <c r="CK76" s="42" t="s">
        <v>5283</v>
      </c>
    </row>
    <row r="77" spans="15:89">
      <c r="O77" t="s">
        <v>1107</v>
      </c>
      <c r="P77" s="42" t="s">
        <v>1354</v>
      </c>
      <c r="AG77" t="s">
        <v>1775</v>
      </c>
      <c r="AH77" s="42" t="s">
        <v>1951</v>
      </c>
      <c r="BK77" t="s">
        <v>2291</v>
      </c>
      <c r="BN77" t="s">
        <v>3210</v>
      </c>
      <c r="CB77" t="s">
        <v>3766</v>
      </c>
      <c r="CC77" s="42" t="s">
        <v>4327</v>
      </c>
      <c r="CJ77" t="s">
        <v>4975</v>
      </c>
      <c r="CK77" s="42" t="s">
        <v>5284</v>
      </c>
    </row>
    <row r="78" spans="15:89">
      <c r="O78" t="s">
        <v>1108</v>
      </c>
      <c r="P78" s="42" t="s">
        <v>1355</v>
      </c>
      <c r="AG78" t="s">
        <v>1776</v>
      </c>
      <c r="AH78" s="42" t="s">
        <v>1952</v>
      </c>
      <c r="BK78" t="s">
        <v>2292</v>
      </c>
      <c r="BN78" t="s">
        <v>3211</v>
      </c>
      <c r="CB78" t="s">
        <v>3767</v>
      </c>
      <c r="CC78" s="42" t="s">
        <v>4328</v>
      </c>
      <c r="CJ78" t="s">
        <v>4976</v>
      </c>
      <c r="CK78" s="42" t="s">
        <v>5285</v>
      </c>
    </row>
    <row r="79" spans="15:89">
      <c r="O79" t="s">
        <v>1109</v>
      </c>
      <c r="P79" s="42" t="s">
        <v>1356</v>
      </c>
      <c r="AG79" t="s">
        <v>1777</v>
      </c>
      <c r="AH79" s="42" t="s">
        <v>1953</v>
      </c>
      <c r="BK79" t="s">
        <v>2293</v>
      </c>
      <c r="BN79" t="s">
        <v>3212</v>
      </c>
      <c r="CB79" t="s">
        <v>3768</v>
      </c>
      <c r="CC79" s="42" t="s">
        <v>4329</v>
      </c>
      <c r="CJ79" t="s">
        <v>4977</v>
      </c>
      <c r="CK79" s="42" t="s">
        <v>5286</v>
      </c>
    </row>
    <row r="80" spans="15:89">
      <c r="O80" t="s">
        <v>1110</v>
      </c>
      <c r="P80" s="42" t="s">
        <v>1357</v>
      </c>
      <c r="AG80" t="s">
        <v>1778</v>
      </c>
      <c r="AH80" s="42" t="s">
        <v>1954</v>
      </c>
      <c r="BK80" t="s">
        <v>2294</v>
      </c>
      <c r="BN80" t="s">
        <v>3213</v>
      </c>
      <c r="CB80" t="s">
        <v>3769</v>
      </c>
      <c r="CC80" s="42" t="s">
        <v>4330</v>
      </c>
      <c r="CJ80" t="s">
        <v>4978</v>
      </c>
      <c r="CK80" s="42" t="s">
        <v>5287</v>
      </c>
    </row>
    <row r="81" spans="15:89">
      <c r="O81" t="s">
        <v>1111</v>
      </c>
      <c r="P81" s="42" t="s">
        <v>1358</v>
      </c>
      <c r="AG81" t="s">
        <v>1779</v>
      </c>
      <c r="AH81" s="42" t="s">
        <v>1955</v>
      </c>
      <c r="BK81" t="s">
        <v>2295</v>
      </c>
      <c r="BN81" t="s">
        <v>3214</v>
      </c>
      <c r="CB81" t="s">
        <v>3770</v>
      </c>
      <c r="CC81" s="42" t="s">
        <v>4331</v>
      </c>
      <c r="CJ81" t="s">
        <v>4979</v>
      </c>
      <c r="CK81" s="42" t="s">
        <v>5288</v>
      </c>
    </row>
    <row r="82" spans="15:89">
      <c r="O82" t="s">
        <v>1112</v>
      </c>
      <c r="P82" s="42" t="s">
        <v>1359</v>
      </c>
      <c r="AG82" t="s">
        <v>1780</v>
      </c>
      <c r="AH82" s="42" t="s">
        <v>1956</v>
      </c>
      <c r="BK82" t="s">
        <v>2296</v>
      </c>
      <c r="BN82" t="s">
        <v>3215</v>
      </c>
      <c r="CB82" t="s">
        <v>3771</v>
      </c>
      <c r="CC82" s="42" t="s">
        <v>4332</v>
      </c>
      <c r="CJ82" t="s">
        <v>4980</v>
      </c>
      <c r="CK82" s="42" t="s">
        <v>5289</v>
      </c>
    </row>
    <row r="83" spans="15:89">
      <c r="O83" t="s">
        <v>1113</v>
      </c>
      <c r="P83" s="42" t="s">
        <v>1360</v>
      </c>
      <c r="AG83" t="s">
        <v>1781</v>
      </c>
      <c r="AH83" s="42" t="s">
        <v>1957</v>
      </c>
      <c r="BK83" t="s">
        <v>2297</v>
      </c>
      <c r="BN83" t="s">
        <v>3216</v>
      </c>
      <c r="CB83" t="s">
        <v>3772</v>
      </c>
      <c r="CC83" s="42" t="s">
        <v>4333</v>
      </c>
      <c r="CJ83" t="s">
        <v>4981</v>
      </c>
      <c r="CK83" s="42" t="s">
        <v>5290</v>
      </c>
    </row>
    <row r="84" spans="15:89">
      <c r="O84" t="s">
        <v>1114</v>
      </c>
      <c r="P84" s="42" t="s">
        <v>1361</v>
      </c>
      <c r="AG84" t="s">
        <v>1782</v>
      </c>
      <c r="AH84" s="42" t="s">
        <v>1958</v>
      </c>
      <c r="BK84" t="s">
        <v>2298</v>
      </c>
      <c r="BN84" t="s">
        <v>3217</v>
      </c>
      <c r="CB84" t="s">
        <v>3773</v>
      </c>
      <c r="CC84" s="42" t="s">
        <v>4334</v>
      </c>
      <c r="CJ84" t="s">
        <v>4982</v>
      </c>
      <c r="CK84" s="42" t="s">
        <v>5291</v>
      </c>
    </row>
    <row r="85" spans="15:89">
      <c r="O85" t="s">
        <v>1115</v>
      </c>
      <c r="P85" s="42" t="s">
        <v>1362</v>
      </c>
      <c r="AG85" t="s">
        <v>1783</v>
      </c>
      <c r="AH85" s="42" t="s">
        <v>1959</v>
      </c>
      <c r="BK85" t="s">
        <v>2299</v>
      </c>
      <c r="BN85" t="s">
        <v>3218</v>
      </c>
      <c r="CB85" t="s">
        <v>3774</v>
      </c>
      <c r="CC85" s="42" t="s">
        <v>4335</v>
      </c>
      <c r="CJ85" t="s">
        <v>4983</v>
      </c>
      <c r="CK85" s="42" t="s">
        <v>5292</v>
      </c>
    </row>
    <row r="86" spans="15:89">
      <c r="O86" t="s">
        <v>1116</v>
      </c>
      <c r="P86" s="42" t="s">
        <v>1363</v>
      </c>
      <c r="AG86" t="s">
        <v>1784</v>
      </c>
      <c r="AH86" s="42" t="s">
        <v>1960</v>
      </c>
      <c r="BK86" t="s">
        <v>2300</v>
      </c>
      <c r="BN86" t="s">
        <v>3219</v>
      </c>
      <c r="CB86" t="s">
        <v>3775</v>
      </c>
      <c r="CC86" s="42" t="s">
        <v>4336</v>
      </c>
      <c r="CJ86" t="s">
        <v>4984</v>
      </c>
      <c r="CK86" s="42" t="s">
        <v>5293</v>
      </c>
    </row>
    <row r="87" spans="15:89">
      <c r="O87" t="s">
        <v>1117</v>
      </c>
      <c r="P87" s="42" t="s">
        <v>1364</v>
      </c>
      <c r="AG87" t="s">
        <v>1785</v>
      </c>
      <c r="AH87" s="42" t="s">
        <v>1961</v>
      </c>
      <c r="BK87" t="s">
        <v>2301</v>
      </c>
      <c r="BN87" t="s">
        <v>3220</v>
      </c>
      <c r="CB87" t="s">
        <v>3776</v>
      </c>
      <c r="CC87" s="42" t="s">
        <v>4337</v>
      </c>
      <c r="CJ87" t="s">
        <v>4985</v>
      </c>
      <c r="CK87" s="42" t="s">
        <v>5294</v>
      </c>
    </row>
    <row r="88" spans="15:89">
      <c r="O88" t="s">
        <v>1118</v>
      </c>
      <c r="P88" s="42" t="s">
        <v>1365</v>
      </c>
      <c r="AG88" t="s">
        <v>1786</v>
      </c>
      <c r="AH88" s="42" t="s">
        <v>1962</v>
      </c>
      <c r="BK88" t="s">
        <v>2302</v>
      </c>
      <c r="BN88" t="s">
        <v>3221</v>
      </c>
      <c r="CB88" t="s">
        <v>3777</v>
      </c>
      <c r="CC88" s="42" t="s">
        <v>4338</v>
      </c>
      <c r="CJ88" t="s">
        <v>4986</v>
      </c>
      <c r="CK88" s="42" t="s">
        <v>5295</v>
      </c>
    </row>
    <row r="89" spans="15:89">
      <c r="O89" t="s">
        <v>1119</v>
      </c>
      <c r="P89" s="42" t="s">
        <v>1366</v>
      </c>
      <c r="AG89" t="s">
        <v>1787</v>
      </c>
      <c r="AH89" s="42" t="s">
        <v>1963</v>
      </c>
      <c r="BK89" t="s">
        <v>2303</v>
      </c>
      <c r="BN89" t="s">
        <v>3222</v>
      </c>
      <c r="CB89" t="s">
        <v>3778</v>
      </c>
      <c r="CC89" s="42" t="s">
        <v>4339</v>
      </c>
      <c r="CJ89" t="s">
        <v>4987</v>
      </c>
      <c r="CK89" s="42" t="s">
        <v>5296</v>
      </c>
    </row>
    <row r="90" spans="15:89">
      <c r="O90" t="s">
        <v>1120</v>
      </c>
      <c r="P90" s="42" t="s">
        <v>1367</v>
      </c>
      <c r="AG90" t="s">
        <v>1788</v>
      </c>
      <c r="AH90" s="42" t="s">
        <v>1964</v>
      </c>
      <c r="BK90" t="s">
        <v>2304</v>
      </c>
      <c r="BN90" t="s">
        <v>3223</v>
      </c>
      <c r="CB90" t="s">
        <v>3779</v>
      </c>
      <c r="CC90" s="42" t="s">
        <v>4340</v>
      </c>
      <c r="CJ90" t="s">
        <v>4988</v>
      </c>
      <c r="CK90" s="42" t="s">
        <v>5297</v>
      </c>
    </row>
    <row r="91" spans="15:89">
      <c r="O91" t="s">
        <v>1121</v>
      </c>
      <c r="P91" s="42" t="s">
        <v>1368</v>
      </c>
      <c r="AG91" t="s">
        <v>1789</v>
      </c>
      <c r="AH91" s="42" t="s">
        <v>1965</v>
      </c>
      <c r="BK91" t="s">
        <v>2305</v>
      </c>
      <c r="BN91" t="s">
        <v>3224</v>
      </c>
      <c r="CB91" t="s">
        <v>3780</v>
      </c>
      <c r="CC91" s="42" t="s">
        <v>4341</v>
      </c>
      <c r="CJ91" t="s">
        <v>4989</v>
      </c>
      <c r="CK91" s="42" t="s">
        <v>5298</v>
      </c>
    </row>
    <row r="92" spans="15:89">
      <c r="O92" t="s">
        <v>1122</v>
      </c>
      <c r="P92" s="42" t="s">
        <v>1369</v>
      </c>
      <c r="AG92" t="s">
        <v>1790</v>
      </c>
      <c r="AH92" s="42" t="s">
        <v>1966</v>
      </c>
      <c r="BK92" t="s">
        <v>2306</v>
      </c>
      <c r="BN92" t="s">
        <v>3225</v>
      </c>
      <c r="CB92" t="s">
        <v>3781</v>
      </c>
      <c r="CC92" s="42" t="s">
        <v>4342</v>
      </c>
      <c r="CJ92" t="s">
        <v>4990</v>
      </c>
      <c r="CK92" s="42" t="s">
        <v>5299</v>
      </c>
    </row>
    <row r="93" spans="15:89">
      <c r="O93" t="s">
        <v>1123</v>
      </c>
      <c r="P93" s="42" t="s">
        <v>1370</v>
      </c>
      <c r="AG93" t="s">
        <v>1791</v>
      </c>
      <c r="AH93" s="42" t="s">
        <v>1967</v>
      </c>
      <c r="BK93" t="s">
        <v>2307</v>
      </c>
      <c r="BN93" t="s">
        <v>3226</v>
      </c>
      <c r="CB93" t="s">
        <v>3782</v>
      </c>
      <c r="CC93" s="42" t="s">
        <v>4343</v>
      </c>
      <c r="CJ93" t="s">
        <v>4991</v>
      </c>
      <c r="CK93" s="42" t="s">
        <v>5300</v>
      </c>
    </row>
    <row r="94" spans="15:89">
      <c r="O94" t="s">
        <v>1124</v>
      </c>
      <c r="P94" s="42" t="s">
        <v>1371</v>
      </c>
      <c r="AG94" t="s">
        <v>1792</v>
      </c>
      <c r="AH94" s="42" t="s">
        <v>1968</v>
      </c>
      <c r="BK94" t="s">
        <v>2308</v>
      </c>
      <c r="BN94" t="s">
        <v>3227</v>
      </c>
      <c r="CB94" t="s">
        <v>3783</v>
      </c>
      <c r="CC94" s="42" t="s">
        <v>4344</v>
      </c>
      <c r="CJ94" t="s">
        <v>4992</v>
      </c>
      <c r="CK94" s="42" t="s">
        <v>5301</v>
      </c>
    </row>
    <row r="95" spans="15:89">
      <c r="O95" t="s">
        <v>1125</v>
      </c>
      <c r="P95" s="42" t="s">
        <v>1372</v>
      </c>
      <c r="AG95" t="s">
        <v>1793</v>
      </c>
      <c r="AH95" s="42" t="s">
        <v>1969</v>
      </c>
      <c r="BK95" t="s">
        <v>2309</v>
      </c>
      <c r="BN95" t="s">
        <v>3228</v>
      </c>
      <c r="CB95" t="s">
        <v>3784</v>
      </c>
      <c r="CC95" s="42" t="s">
        <v>4345</v>
      </c>
      <c r="CJ95" t="s">
        <v>4993</v>
      </c>
      <c r="CK95" s="42" t="s">
        <v>5302</v>
      </c>
    </row>
    <row r="96" spans="15:89">
      <c r="O96" t="s">
        <v>1126</v>
      </c>
      <c r="P96" s="42" t="s">
        <v>1373</v>
      </c>
      <c r="AG96" t="s">
        <v>1794</v>
      </c>
      <c r="AH96" s="42" t="s">
        <v>1970</v>
      </c>
      <c r="BK96" t="s">
        <v>2310</v>
      </c>
      <c r="BN96" t="s">
        <v>3229</v>
      </c>
      <c r="CB96" t="s">
        <v>3785</v>
      </c>
      <c r="CC96" s="42" t="s">
        <v>4346</v>
      </c>
      <c r="CJ96" t="s">
        <v>4994</v>
      </c>
      <c r="CK96" s="42" t="s">
        <v>5303</v>
      </c>
    </row>
    <row r="97" spans="15:89">
      <c r="O97" t="s">
        <v>1127</v>
      </c>
      <c r="P97" s="42" t="s">
        <v>1374</v>
      </c>
      <c r="AG97" t="s">
        <v>1795</v>
      </c>
      <c r="AH97" s="42" t="s">
        <v>1971</v>
      </c>
      <c r="BK97" t="s">
        <v>2311</v>
      </c>
      <c r="BN97" t="s">
        <v>3230</v>
      </c>
      <c r="CB97" t="s">
        <v>3786</v>
      </c>
      <c r="CC97" s="42" t="s">
        <v>4347</v>
      </c>
      <c r="CJ97" t="s">
        <v>4995</v>
      </c>
      <c r="CK97" s="42" t="s">
        <v>5304</v>
      </c>
    </row>
    <row r="98" spans="15:89">
      <c r="O98" t="s">
        <v>1128</v>
      </c>
      <c r="P98" s="42" t="s">
        <v>1375</v>
      </c>
      <c r="AG98" t="s">
        <v>1796</v>
      </c>
      <c r="AH98" s="42" t="s">
        <v>1972</v>
      </c>
      <c r="BK98" t="s">
        <v>2312</v>
      </c>
      <c r="BN98" t="s">
        <v>3231</v>
      </c>
      <c r="CB98" t="s">
        <v>3787</v>
      </c>
      <c r="CC98" s="42" t="s">
        <v>4348</v>
      </c>
      <c r="CJ98" t="s">
        <v>4996</v>
      </c>
      <c r="CK98" s="42" t="s">
        <v>5305</v>
      </c>
    </row>
    <row r="99" spans="15:89">
      <c r="O99" t="s">
        <v>1129</v>
      </c>
      <c r="P99" s="42" t="s">
        <v>1376</v>
      </c>
      <c r="AG99" t="s">
        <v>1797</v>
      </c>
      <c r="AH99" s="42" t="s">
        <v>1973</v>
      </c>
      <c r="BK99" t="s">
        <v>2313</v>
      </c>
      <c r="BN99" t="s">
        <v>3232</v>
      </c>
      <c r="CB99" t="s">
        <v>3788</v>
      </c>
      <c r="CC99" s="42" t="s">
        <v>4349</v>
      </c>
      <c r="CJ99" t="s">
        <v>4997</v>
      </c>
      <c r="CK99" s="42" t="s">
        <v>5306</v>
      </c>
    </row>
    <row r="100" spans="15:89">
      <c r="O100" t="s">
        <v>1130</v>
      </c>
      <c r="P100" s="42" t="s">
        <v>1377</v>
      </c>
      <c r="AG100" t="s">
        <v>1798</v>
      </c>
      <c r="AH100" s="42" t="s">
        <v>1974</v>
      </c>
      <c r="BK100" t="s">
        <v>2314</v>
      </c>
      <c r="BN100" t="s">
        <v>3233</v>
      </c>
      <c r="CB100" t="s">
        <v>3789</v>
      </c>
      <c r="CC100" s="42" t="s">
        <v>4350</v>
      </c>
      <c r="CJ100" t="s">
        <v>4998</v>
      </c>
      <c r="CK100" s="42" t="s">
        <v>5307</v>
      </c>
    </row>
    <row r="101" spans="15:89">
      <c r="O101" t="s">
        <v>1131</v>
      </c>
      <c r="P101" s="42" t="s">
        <v>1378</v>
      </c>
      <c r="AG101" t="s">
        <v>1799</v>
      </c>
      <c r="AH101" s="42" t="s">
        <v>1975</v>
      </c>
      <c r="BK101" t="s">
        <v>2315</v>
      </c>
      <c r="BN101" t="s">
        <v>3234</v>
      </c>
      <c r="CB101" t="s">
        <v>3790</v>
      </c>
      <c r="CC101" s="42" t="s">
        <v>4351</v>
      </c>
      <c r="CJ101" t="s">
        <v>4999</v>
      </c>
      <c r="CK101" s="42" t="s">
        <v>5308</v>
      </c>
    </row>
    <row r="102" spans="15:89">
      <c r="O102" t="s">
        <v>1132</v>
      </c>
      <c r="P102" s="42" t="s">
        <v>1379</v>
      </c>
      <c r="AG102" t="s">
        <v>1800</v>
      </c>
      <c r="AH102" s="42" t="s">
        <v>1976</v>
      </c>
      <c r="BK102" t="s">
        <v>2316</v>
      </c>
      <c r="BN102" t="s">
        <v>3235</v>
      </c>
      <c r="CB102" t="s">
        <v>3791</v>
      </c>
      <c r="CC102" s="42" t="s">
        <v>4352</v>
      </c>
      <c r="CJ102" t="s">
        <v>5000</v>
      </c>
      <c r="CK102" s="42" t="s">
        <v>5309</v>
      </c>
    </row>
    <row r="103" spans="15:89">
      <c r="O103" t="s">
        <v>1133</v>
      </c>
      <c r="P103" s="42" t="s">
        <v>1380</v>
      </c>
      <c r="AG103" t="s">
        <v>1801</v>
      </c>
      <c r="AH103" s="42" t="s">
        <v>1977</v>
      </c>
      <c r="BK103" t="s">
        <v>2317</v>
      </c>
      <c r="BN103" t="s">
        <v>3236</v>
      </c>
      <c r="CB103" t="s">
        <v>3792</v>
      </c>
      <c r="CC103" s="42" t="s">
        <v>4353</v>
      </c>
      <c r="CJ103" t="s">
        <v>5001</v>
      </c>
      <c r="CK103" s="42" t="s">
        <v>5310</v>
      </c>
    </row>
    <row r="104" spans="15:89">
      <c r="O104" t="s">
        <v>1134</v>
      </c>
      <c r="P104" s="42" t="s">
        <v>1381</v>
      </c>
      <c r="AG104" t="s">
        <v>1802</v>
      </c>
      <c r="AH104" s="42" t="s">
        <v>1978</v>
      </c>
      <c r="BK104" t="s">
        <v>2318</v>
      </c>
      <c r="BN104" t="s">
        <v>3237</v>
      </c>
      <c r="CB104" t="s">
        <v>3793</v>
      </c>
      <c r="CC104" s="42" t="s">
        <v>4354</v>
      </c>
      <c r="CJ104" t="s">
        <v>5002</v>
      </c>
      <c r="CK104" s="42" t="s">
        <v>5311</v>
      </c>
    </row>
    <row r="105" spans="15:89">
      <c r="O105" t="s">
        <v>1135</v>
      </c>
      <c r="P105" s="42" t="s">
        <v>1382</v>
      </c>
      <c r="AG105" t="s">
        <v>1803</v>
      </c>
      <c r="AH105" s="42" t="s">
        <v>1979</v>
      </c>
      <c r="BK105" t="s">
        <v>2319</v>
      </c>
      <c r="BN105" t="s">
        <v>3238</v>
      </c>
      <c r="CB105" t="s">
        <v>3794</v>
      </c>
      <c r="CC105" s="42" t="s">
        <v>4355</v>
      </c>
      <c r="CJ105" t="s">
        <v>5003</v>
      </c>
      <c r="CK105" s="42" t="s">
        <v>5312</v>
      </c>
    </row>
    <row r="106" spans="15:89">
      <c r="O106" t="s">
        <v>1136</v>
      </c>
      <c r="P106" s="42" t="s">
        <v>1383</v>
      </c>
      <c r="AG106" t="s">
        <v>1804</v>
      </c>
      <c r="AH106" s="42" t="s">
        <v>1980</v>
      </c>
      <c r="BK106" t="s">
        <v>2320</v>
      </c>
      <c r="BN106" t="s">
        <v>3239</v>
      </c>
      <c r="CB106" t="s">
        <v>3795</v>
      </c>
      <c r="CC106" s="42" t="s">
        <v>4356</v>
      </c>
      <c r="CJ106" t="s">
        <v>5004</v>
      </c>
      <c r="CK106" s="42" t="s">
        <v>5313</v>
      </c>
    </row>
    <row r="107" spans="15:89">
      <c r="O107" t="s">
        <v>1137</v>
      </c>
      <c r="P107" s="42" t="s">
        <v>1384</v>
      </c>
      <c r="AG107" t="s">
        <v>1805</v>
      </c>
      <c r="AH107" s="42" t="s">
        <v>1981</v>
      </c>
      <c r="BK107" t="s">
        <v>2321</v>
      </c>
      <c r="BN107" t="s">
        <v>3240</v>
      </c>
      <c r="CB107" t="s">
        <v>3796</v>
      </c>
      <c r="CC107" s="42" t="s">
        <v>4357</v>
      </c>
      <c r="CJ107" t="s">
        <v>5005</v>
      </c>
      <c r="CK107" s="42" t="s">
        <v>5314</v>
      </c>
    </row>
    <row r="108" spans="15:89">
      <c r="O108" t="s">
        <v>1138</v>
      </c>
      <c r="P108" s="42" t="s">
        <v>1385</v>
      </c>
      <c r="AG108" t="s">
        <v>1806</v>
      </c>
      <c r="AH108" s="42" t="s">
        <v>1982</v>
      </c>
      <c r="BK108" t="s">
        <v>2322</v>
      </c>
      <c r="BN108" t="s">
        <v>3241</v>
      </c>
      <c r="CB108" t="s">
        <v>3797</v>
      </c>
      <c r="CC108" s="42" t="s">
        <v>4358</v>
      </c>
      <c r="CJ108" t="s">
        <v>5006</v>
      </c>
      <c r="CK108" s="42" t="s">
        <v>5315</v>
      </c>
    </row>
    <row r="109" spans="15:89">
      <c r="O109" t="s">
        <v>1139</v>
      </c>
      <c r="P109" s="42" t="s">
        <v>1386</v>
      </c>
      <c r="AG109" t="s">
        <v>1807</v>
      </c>
      <c r="AH109" s="42" t="s">
        <v>1983</v>
      </c>
      <c r="BK109" t="s">
        <v>2323</v>
      </c>
      <c r="BN109" t="s">
        <v>3242</v>
      </c>
      <c r="CB109" t="s">
        <v>3798</v>
      </c>
      <c r="CC109" s="42" t="s">
        <v>4359</v>
      </c>
      <c r="CJ109" t="s">
        <v>5007</v>
      </c>
      <c r="CK109" s="42" t="s">
        <v>5316</v>
      </c>
    </row>
    <row r="110" spans="15:89">
      <c r="O110" t="s">
        <v>1140</v>
      </c>
      <c r="P110" s="42" t="s">
        <v>1387</v>
      </c>
      <c r="AG110" t="s">
        <v>1808</v>
      </c>
      <c r="AH110" s="42" t="s">
        <v>1984</v>
      </c>
      <c r="BK110" t="s">
        <v>2324</v>
      </c>
      <c r="BN110" t="s">
        <v>3243</v>
      </c>
      <c r="CB110" t="s">
        <v>3799</v>
      </c>
      <c r="CC110" s="42" t="s">
        <v>4360</v>
      </c>
      <c r="CJ110" t="s">
        <v>5008</v>
      </c>
      <c r="CK110" s="42" t="s">
        <v>5317</v>
      </c>
    </row>
    <row r="111" spans="15:89">
      <c r="O111" t="s">
        <v>1141</v>
      </c>
      <c r="P111" s="42" t="s">
        <v>1388</v>
      </c>
      <c r="AG111" t="s">
        <v>1809</v>
      </c>
      <c r="AH111" s="42" t="s">
        <v>1985</v>
      </c>
      <c r="BK111" t="s">
        <v>2325</v>
      </c>
      <c r="BN111" t="s">
        <v>3244</v>
      </c>
      <c r="CB111" t="s">
        <v>3800</v>
      </c>
      <c r="CC111" s="42" t="s">
        <v>4361</v>
      </c>
      <c r="CJ111" t="s">
        <v>5009</v>
      </c>
      <c r="CK111" s="42" t="s">
        <v>5318</v>
      </c>
    </row>
    <row r="112" spans="15:89">
      <c r="O112" t="s">
        <v>1142</v>
      </c>
      <c r="P112" s="42" t="s">
        <v>1389</v>
      </c>
      <c r="AG112" t="s">
        <v>1810</v>
      </c>
      <c r="AH112" s="42" t="s">
        <v>1986</v>
      </c>
      <c r="BK112" t="s">
        <v>2326</v>
      </c>
      <c r="BN112" t="s">
        <v>3245</v>
      </c>
      <c r="CB112" t="s">
        <v>3801</v>
      </c>
      <c r="CC112" s="42" t="s">
        <v>4362</v>
      </c>
      <c r="CJ112" t="s">
        <v>5010</v>
      </c>
      <c r="CK112" s="42" t="s">
        <v>5319</v>
      </c>
    </row>
    <row r="113" spans="15:89">
      <c r="O113" t="s">
        <v>1143</v>
      </c>
      <c r="P113" s="42" t="s">
        <v>1390</v>
      </c>
      <c r="AG113" t="s">
        <v>1811</v>
      </c>
      <c r="AH113" s="42" t="s">
        <v>1987</v>
      </c>
      <c r="BK113" t="s">
        <v>2327</v>
      </c>
      <c r="BN113" t="s">
        <v>3246</v>
      </c>
      <c r="CB113" t="s">
        <v>3802</v>
      </c>
      <c r="CC113" s="42" t="s">
        <v>4363</v>
      </c>
      <c r="CJ113" t="s">
        <v>5011</v>
      </c>
      <c r="CK113" s="42" t="s">
        <v>5320</v>
      </c>
    </row>
    <row r="114" spans="15:89">
      <c r="O114" t="s">
        <v>1144</v>
      </c>
      <c r="P114" s="42" t="s">
        <v>1391</v>
      </c>
      <c r="AG114" t="s">
        <v>1812</v>
      </c>
      <c r="AH114" s="42" t="s">
        <v>1988</v>
      </c>
      <c r="BK114" t="s">
        <v>2328</v>
      </c>
      <c r="BN114" t="s">
        <v>3247</v>
      </c>
      <c r="CB114" t="s">
        <v>3803</v>
      </c>
      <c r="CC114" s="42" t="s">
        <v>4364</v>
      </c>
      <c r="CJ114" t="s">
        <v>5012</v>
      </c>
      <c r="CK114" s="42" t="s">
        <v>5321</v>
      </c>
    </row>
    <row r="115" spans="15:89">
      <c r="O115" t="s">
        <v>1145</v>
      </c>
      <c r="P115" s="42" t="s">
        <v>1392</v>
      </c>
      <c r="AG115" t="s">
        <v>1813</v>
      </c>
      <c r="AH115" s="42" t="s">
        <v>1989</v>
      </c>
      <c r="BK115" t="s">
        <v>2329</v>
      </c>
      <c r="BN115" t="s">
        <v>3248</v>
      </c>
      <c r="CB115" t="s">
        <v>3804</v>
      </c>
      <c r="CC115" s="42" t="s">
        <v>4365</v>
      </c>
      <c r="CJ115" t="s">
        <v>5013</v>
      </c>
      <c r="CK115" s="42" t="s">
        <v>5322</v>
      </c>
    </row>
    <row r="116" spans="15:89">
      <c r="O116" t="s">
        <v>1146</v>
      </c>
      <c r="P116" s="42" t="s">
        <v>1393</v>
      </c>
      <c r="AG116" t="s">
        <v>1814</v>
      </c>
      <c r="AH116" s="42" t="s">
        <v>1990</v>
      </c>
      <c r="BK116" t="s">
        <v>2330</v>
      </c>
      <c r="BN116" t="s">
        <v>3249</v>
      </c>
      <c r="CB116" t="s">
        <v>3805</v>
      </c>
      <c r="CC116" s="42" t="s">
        <v>4366</v>
      </c>
      <c r="CJ116" t="s">
        <v>5014</v>
      </c>
      <c r="CK116" s="42" t="s">
        <v>5323</v>
      </c>
    </row>
    <row r="117" spans="15:89">
      <c r="O117" t="s">
        <v>1147</v>
      </c>
      <c r="P117" s="42" t="s">
        <v>1394</v>
      </c>
      <c r="AG117" t="s">
        <v>1815</v>
      </c>
      <c r="AH117" s="42" t="s">
        <v>1991</v>
      </c>
      <c r="BK117" t="s">
        <v>2331</v>
      </c>
      <c r="BN117" t="s">
        <v>3250</v>
      </c>
      <c r="CB117" t="s">
        <v>3806</v>
      </c>
      <c r="CC117" s="42" t="s">
        <v>4367</v>
      </c>
      <c r="CJ117" t="s">
        <v>5015</v>
      </c>
      <c r="CK117" s="42" t="s">
        <v>5324</v>
      </c>
    </row>
    <row r="118" spans="15:89">
      <c r="O118" t="s">
        <v>1148</v>
      </c>
      <c r="P118" s="42" t="s">
        <v>1395</v>
      </c>
      <c r="AG118" t="s">
        <v>1816</v>
      </c>
      <c r="AH118" s="42" t="s">
        <v>1992</v>
      </c>
      <c r="BK118" t="s">
        <v>2332</v>
      </c>
      <c r="BN118" t="s">
        <v>3251</v>
      </c>
      <c r="CB118" t="s">
        <v>3807</v>
      </c>
      <c r="CC118" s="42" t="s">
        <v>4368</v>
      </c>
      <c r="CJ118" t="s">
        <v>5016</v>
      </c>
      <c r="CK118" s="42" t="s">
        <v>5325</v>
      </c>
    </row>
    <row r="119" spans="15:89">
      <c r="O119" t="s">
        <v>1149</v>
      </c>
      <c r="P119" s="42" t="s">
        <v>1396</v>
      </c>
      <c r="AG119" t="s">
        <v>1817</v>
      </c>
      <c r="AH119" s="42" t="s">
        <v>1993</v>
      </c>
      <c r="BK119" t="s">
        <v>2333</v>
      </c>
      <c r="BN119" t="s">
        <v>3252</v>
      </c>
      <c r="CB119" t="s">
        <v>3808</v>
      </c>
      <c r="CC119" s="42" t="s">
        <v>4369</v>
      </c>
      <c r="CJ119" t="s">
        <v>5017</v>
      </c>
      <c r="CK119" s="42" t="s">
        <v>5326</v>
      </c>
    </row>
    <row r="120" spans="15:89">
      <c r="O120" t="s">
        <v>1150</v>
      </c>
      <c r="P120" s="42" t="s">
        <v>1397</v>
      </c>
      <c r="AG120" t="s">
        <v>1818</v>
      </c>
      <c r="AH120" s="42" t="s">
        <v>1994</v>
      </c>
      <c r="BK120" t="s">
        <v>2334</v>
      </c>
      <c r="BN120" t="s">
        <v>3253</v>
      </c>
      <c r="CB120" t="s">
        <v>3809</v>
      </c>
      <c r="CC120" s="42" t="s">
        <v>4370</v>
      </c>
      <c r="CJ120" t="s">
        <v>5018</v>
      </c>
      <c r="CK120" s="42" t="s">
        <v>5327</v>
      </c>
    </row>
    <row r="121" spans="15:89">
      <c r="O121" t="s">
        <v>1151</v>
      </c>
      <c r="P121" s="42" t="s">
        <v>1398</v>
      </c>
      <c r="AG121" t="s">
        <v>1819</v>
      </c>
      <c r="AH121" s="42" t="s">
        <v>1995</v>
      </c>
      <c r="BK121" t="s">
        <v>2335</v>
      </c>
      <c r="BN121" t="s">
        <v>3254</v>
      </c>
      <c r="CB121" t="s">
        <v>3810</v>
      </c>
      <c r="CC121" s="42" t="s">
        <v>4371</v>
      </c>
      <c r="CJ121" t="s">
        <v>5019</v>
      </c>
      <c r="CK121" s="42" t="s">
        <v>5328</v>
      </c>
    </row>
    <row r="122" spans="15:89">
      <c r="O122" t="s">
        <v>1152</v>
      </c>
      <c r="P122" s="42" t="s">
        <v>1399</v>
      </c>
      <c r="AG122" t="s">
        <v>1820</v>
      </c>
      <c r="AH122" s="42" t="s">
        <v>1996</v>
      </c>
      <c r="BK122" t="s">
        <v>2336</v>
      </c>
      <c r="BN122" t="s">
        <v>3255</v>
      </c>
      <c r="CB122" t="s">
        <v>3811</v>
      </c>
      <c r="CC122" s="42" t="s">
        <v>4372</v>
      </c>
      <c r="CJ122" t="s">
        <v>5020</v>
      </c>
      <c r="CK122" s="42" t="s">
        <v>5329</v>
      </c>
    </row>
    <row r="123" spans="15:89">
      <c r="O123" t="s">
        <v>1153</v>
      </c>
      <c r="P123" s="42" t="s">
        <v>1400</v>
      </c>
      <c r="AG123" t="s">
        <v>1821</v>
      </c>
      <c r="AH123" s="42" t="s">
        <v>1997</v>
      </c>
      <c r="BK123" t="s">
        <v>2337</v>
      </c>
      <c r="BN123" t="s">
        <v>3256</v>
      </c>
      <c r="CB123" t="s">
        <v>3812</v>
      </c>
      <c r="CC123" s="42" t="s">
        <v>4373</v>
      </c>
      <c r="CJ123" t="s">
        <v>5021</v>
      </c>
      <c r="CK123" s="42" t="s">
        <v>5330</v>
      </c>
    </row>
    <row r="124" spans="15:89">
      <c r="O124" t="s">
        <v>1154</v>
      </c>
      <c r="P124" s="42" t="s">
        <v>1401</v>
      </c>
      <c r="AG124" t="s">
        <v>1822</v>
      </c>
      <c r="AH124" s="42" t="s">
        <v>1998</v>
      </c>
      <c r="BK124" t="s">
        <v>2338</v>
      </c>
      <c r="BN124" t="s">
        <v>3257</v>
      </c>
      <c r="CB124" t="s">
        <v>3813</v>
      </c>
      <c r="CC124" s="42" t="s">
        <v>4374</v>
      </c>
      <c r="CJ124" t="s">
        <v>5022</v>
      </c>
      <c r="CK124" s="42" t="s">
        <v>5331</v>
      </c>
    </row>
    <row r="125" spans="15:89">
      <c r="O125" t="s">
        <v>1155</v>
      </c>
      <c r="P125" s="42" t="s">
        <v>1402</v>
      </c>
      <c r="AG125" t="s">
        <v>1823</v>
      </c>
      <c r="AH125" s="42" t="s">
        <v>1999</v>
      </c>
      <c r="BK125" t="s">
        <v>2339</v>
      </c>
      <c r="BN125" t="s">
        <v>3258</v>
      </c>
      <c r="CB125" t="s">
        <v>3814</v>
      </c>
      <c r="CC125" s="42" t="s">
        <v>4375</v>
      </c>
      <c r="CJ125" t="s">
        <v>5023</v>
      </c>
      <c r="CK125" s="42" t="s">
        <v>5332</v>
      </c>
    </row>
    <row r="126" spans="15:89">
      <c r="O126" t="s">
        <v>1156</v>
      </c>
      <c r="P126" s="42" t="s">
        <v>1403</v>
      </c>
      <c r="AG126" t="s">
        <v>1824</v>
      </c>
      <c r="AH126" s="42" t="s">
        <v>2000</v>
      </c>
      <c r="BK126" t="s">
        <v>2340</v>
      </c>
      <c r="BN126" t="s">
        <v>3259</v>
      </c>
      <c r="CB126" t="s">
        <v>3815</v>
      </c>
      <c r="CC126" s="42" t="s">
        <v>4376</v>
      </c>
      <c r="CJ126" t="s">
        <v>5024</v>
      </c>
      <c r="CK126" s="42" t="s">
        <v>5333</v>
      </c>
    </row>
    <row r="127" spans="15:89">
      <c r="O127" t="s">
        <v>1157</v>
      </c>
      <c r="P127" s="42" t="s">
        <v>1404</v>
      </c>
      <c r="AG127" t="s">
        <v>1825</v>
      </c>
      <c r="AH127" s="42" t="s">
        <v>2001</v>
      </c>
      <c r="BK127" t="s">
        <v>2341</v>
      </c>
      <c r="BN127" t="s">
        <v>3260</v>
      </c>
      <c r="CB127" t="s">
        <v>3816</v>
      </c>
      <c r="CC127" s="42" t="s">
        <v>4377</v>
      </c>
      <c r="CJ127" t="s">
        <v>5025</v>
      </c>
      <c r="CK127" s="42" t="s">
        <v>5334</v>
      </c>
    </row>
    <row r="128" spans="15:89">
      <c r="O128" t="s">
        <v>1158</v>
      </c>
      <c r="P128" s="42" t="s">
        <v>1405</v>
      </c>
      <c r="AG128" t="s">
        <v>1826</v>
      </c>
      <c r="AH128" s="42" t="s">
        <v>2002</v>
      </c>
      <c r="BK128" t="s">
        <v>2342</v>
      </c>
      <c r="BN128" t="s">
        <v>3261</v>
      </c>
      <c r="CB128" t="s">
        <v>3817</v>
      </c>
      <c r="CC128" s="42" t="s">
        <v>4378</v>
      </c>
      <c r="CJ128" t="s">
        <v>5026</v>
      </c>
      <c r="CK128" s="42" t="s">
        <v>5335</v>
      </c>
    </row>
    <row r="129" spans="15:89">
      <c r="O129" t="s">
        <v>1159</v>
      </c>
      <c r="P129" s="42" t="s">
        <v>1406</v>
      </c>
      <c r="AG129" t="s">
        <v>1827</v>
      </c>
      <c r="AH129" s="42" t="s">
        <v>2003</v>
      </c>
      <c r="BK129" t="s">
        <v>2343</v>
      </c>
      <c r="BN129" t="s">
        <v>3262</v>
      </c>
      <c r="CB129" t="s">
        <v>3818</v>
      </c>
      <c r="CC129" s="42" t="s">
        <v>4379</v>
      </c>
      <c r="CJ129" t="s">
        <v>5027</v>
      </c>
      <c r="CK129" s="42" t="s">
        <v>5336</v>
      </c>
    </row>
    <row r="130" spans="15:89">
      <c r="O130" t="s">
        <v>1160</v>
      </c>
      <c r="P130" s="42" t="s">
        <v>1407</v>
      </c>
      <c r="AG130" t="s">
        <v>1828</v>
      </c>
      <c r="AH130" s="42" t="s">
        <v>2004</v>
      </c>
      <c r="BK130" t="s">
        <v>2344</v>
      </c>
      <c r="BN130" t="s">
        <v>3263</v>
      </c>
      <c r="CB130" t="s">
        <v>3819</v>
      </c>
      <c r="CC130" s="42" t="s">
        <v>4380</v>
      </c>
      <c r="CJ130" t="s">
        <v>5028</v>
      </c>
      <c r="CK130" s="42" t="s">
        <v>5337</v>
      </c>
    </row>
    <row r="131" spans="15:89">
      <c r="O131" t="s">
        <v>1161</v>
      </c>
      <c r="P131" s="42" t="s">
        <v>1408</v>
      </c>
      <c r="AG131" t="s">
        <v>1829</v>
      </c>
      <c r="AH131" s="42" t="s">
        <v>2005</v>
      </c>
      <c r="BK131" t="s">
        <v>2345</v>
      </c>
      <c r="BN131" t="s">
        <v>3264</v>
      </c>
      <c r="CB131" t="s">
        <v>3820</v>
      </c>
      <c r="CC131" s="42" t="s">
        <v>4381</v>
      </c>
      <c r="CJ131" t="s">
        <v>5029</v>
      </c>
      <c r="CK131" s="42" t="s">
        <v>5338</v>
      </c>
    </row>
    <row r="132" spans="15:89">
      <c r="O132" t="s">
        <v>1162</v>
      </c>
      <c r="P132" s="42" t="s">
        <v>1409</v>
      </c>
      <c r="AG132" t="s">
        <v>1830</v>
      </c>
      <c r="AH132" s="42" t="s">
        <v>2006</v>
      </c>
      <c r="BK132" t="s">
        <v>2346</v>
      </c>
      <c r="BN132" t="s">
        <v>3265</v>
      </c>
      <c r="CB132" t="s">
        <v>3821</v>
      </c>
      <c r="CC132" s="42" t="s">
        <v>4382</v>
      </c>
      <c r="CJ132" t="s">
        <v>5030</v>
      </c>
      <c r="CK132" s="42" t="s">
        <v>5339</v>
      </c>
    </row>
    <row r="133" spans="15:89">
      <c r="O133" t="s">
        <v>1163</v>
      </c>
      <c r="P133" s="42" t="s">
        <v>1410</v>
      </c>
      <c r="AG133" t="s">
        <v>1831</v>
      </c>
      <c r="AH133" s="42" t="s">
        <v>2007</v>
      </c>
      <c r="BK133" t="s">
        <v>2347</v>
      </c>
      <c r="BN133" t="s">
        <v>3266</v>
      </c>
      <c r="CB133" t="s">
        <v>3822</v>
      </c>
      <c r="CC133" s="42" t="s">
        <v>4383</v>
      </c>
      <c r="CJ133" t="s">
        <v>5031</v>
      </c>
      <c r="CK133" s="42" t="s">
        <v>5340</v>
      </c>
    </row>
    <row r="134" spans="15:89">
      <c r="O134" t="s">
        <v>1164</v>
      </c>
      <c r="P134" s="42" t="s">
        <v>1411</v>
      </c>
      <c r="AG134" t="s">
        <v>1832</v>
      </c>
      <c r="AH134" s="42" t="s">
        <v>2008</v>
      </c>
      <c r="BK134" t="s">
        <v>2348</v>
      </c>
      <c r="BN134" t="s">
        <v>3267</v>
      </c>
      <c r="CB134" t="s">
        <v>3823</v>
      </c>
      <c r="CC134" s="42" t="s">
        <v>4384</v>
      </c>
      <c r="CJ134" t="s">
        <v>5032</v>
      </c>
      <c r="CK134" s="42" t="s">
        <v>5341</v>
      </c>
    </row>
    <row r="135" spans="15:89">
      <c r="O135" t="s">
        <v>1165</v>
      </c>
      <c r="P135" s="42" t="s">
        <v>1412</v>
      </c>
      <c r="AG135" t="s">
        <v>1833</v>
      </c>
      <c r="AH135" s="42" t="s">
        <v>2009</v>
      </c>
      <c r="BK135" t="s">
        <v>2349</v>
      </c>
      <c r="BN135" t="s">
        <v>3268</v>
      </c>
      <c r="CB135" t="s">
        <v>3824</v>
      </c>
      <c r="CC135" s="42" t="s">
        <v>4385</v>
      </c>
      <c r="CJ135" t="s">
        <v>5033</v>
      </c>
      <c r="CK135" s="42" t="s">
        <v>5342</v>
      </c>
    </row>
    <row r="136" spans="15:89">
      <c r="O136" t="s">
        <v>1166</v>
      </c>
      <c r="P136" s="42" t="s">
        <v>1413</v>
      </c>
      <c r="AG136" t="s">
        <v>1834</v>
      </c>
      <c r="AH136" s="42" t="s">
        <v>2010</v>
      </c>
      <c r="BK136" t="s">
        <v>2350</v>
      </c>
      <c r="BN136" t="s">
        <v>3269</v>
      </c>
      <c r="CB136" t="s">
        <v>3825</v>
      </c>
      <c r="CC136" s="42" t="s">
        <v>4386</v>
      </c>
      <c r="CJ136" t="s">
        <v>5034</v>
      </c>
      <c r="CK136" s="42" t="s">
        <v>5343</v>
      </c>
    </row>
    <row r="137" spans="15:89">
      <c r="O137" t="s">
        <v>1167</v>
      </c>
      <c r="P137" s="42" t="s">
        <v>1414</v>
      </c>
      <c r="AG137" t="s">
        <v>1835</v>
      </c>
      <c r="AH137" s="42" t="s">
        <v>2011</v>
      </c>
      <c r="BK137" t="s">
        <v>2351</v>
      </c>
      <c r="BN137" t="s">
        <v>3270</v>
      </c>
      <c r="CB137" t="s">
        <v>3826</v>
      </c>
      <c r="CC137" s="42" t="s">
        <v>4387</v>
      </c>
      <c r="CJ137" t="s">
        <v>5035</v>
      </c>
      <c r="CK137" s="42" t="s">
        <v>5344</v>
      </c>
    </row>
    <row r="138" spans="15:89">
      <c r="O138" t="s">
        <v>1168</v>
      </c>
      <c r="P138" s="42" t="s">
        <v>1415</v>
      </c>
      <c r="AG138" t="s">
        <v>1836</v>
      </c>
      <c r="AH138" s="42" t="s">
        <v>2012</v>
      </c>
      <c r="BK138" t="s">
        <v>2352</v>
      </c>
      <c r="BN138" t="s">
        <v>3271</v>
      </c>
      <c r="CB138" t="s">
        <v>3827</v>
      </c>
      <c r="CC138" s="42" t="s">
        <v>4388</v>
      </c>
      <c r="CJ138" t="s">
        <v>5036</v>
      </c>
      <c r="CK138" s="42" t="s">
        <v>5345</v>
      </c>
    </row>
    <row r="139" spans="15:89">
      <c r="O139" t="s">
        <v>1169</v>
      </c>
      <c r="P139" s="42" t="s">
        <v>1416</v>
      </c>
      <c r="AG139" t="s">
        <v>1837</v>
      </c>
      <c r="AH139" s="42" t="s">
        <v>2013</v>
      </c>
      <c r="BK139" t="s">
        <v>2353</v>
      </c>
      <c r="BN139" t="s">
        <v>3272</v>
      </c>
      <c r="CB139" t="s">
        <v>3828</v>
      </c>
      <c r="CC139" s="42" t="s">
        <v>4389</v>
      </c>
      <c r="CJ139" t="s">
        <v>5037</v>
      </c>
      <c r="CK139" s="42" t="s">
        <v>5346</v>
      </c>
    </row>
    <row r="140" spans="15:89">
      <c r="O140" t="s">
        <v>1170</v>
      </c>
      <c r="P140" s="42" t="s">
        <v>1417</v>
      </c>
      <c r="AG140" t="s">
        <v>1838</v>
      </c>
      <c r="AH140" s="42" t="s">
        <v>2014</v>
      </c>
      <c r="BK140" t="s">
        <v>2354</v>
      </c>
      <c r="BN140" t="s">
        <v>3273</v>
      </c>
      <c r="CB140" t="s">
        <v>3829</v>
      </c>
      <c r="CC140" s="42" t="s">
        <v>4390</v>
      </c>
      <c r="CJ140" t="s">
        <v>5038</v>
      </c>
      <c r="CK140" s="42" t="s">
        <v>5347</v>
      </c>
    </row>
    <row r="141" spans="15:89">
      <c r="O141" t="s">
        <v>1171</v>
      </c>
      <c r="P141" s="42" t="s">
        <v>1418</v>
      </c>
      <c r="AG141" t="s">
        <v>1839</v>
      </c>
      <c r="AH141" s="42" t="s">
        <v>2015</v>
      </c>
      <c r="BK141" t="s">
        <v>2355</v>
      </c>
      <c r="BN141" t="s">
        <v>3274</v>
      </c>
      <c r="CB141" t="s">
        <v>3830</v>
      </c>
      <c r="CC141" s="42" t="s">
        <v>4391</v>
      </c>
      <c r="CJ141" t="s">
        <v>5039</v>
      </c>
      <c r="CK141" s="42" t="s">
        <v>5348</v>
      </c>
    </row>
    <row r="142" spans="15:89">
      <c r="O142" t="s">
        <v>1172</v>
      </c>
      <c r="P142" s="42" t="s">
        <v>1419</v>
      </c>
      <c r="AG142" t="s">
        <v>1840</v>
      </c>
      <c r="AH142" s="42" t="s">
        <v>2016</v>
      </c>
      <c r="BK142" t="s">
        <v>2356</v>
      </c>
      <c r="BN142" t="s">
        <v>3275</v>
      </c>
      <c r="CB142" t="s">
        <v>3831</v>
      </c>
      <c r="CC142" s="42" t="s">
        <v>4392</v>
      </c>
      <c r="CJ142" t="s">
        <v>5040</v>
      </c>
      <c r="CK142" s="42" t="s">
        <v>5349</v>
      </c>
    </row>
    <row r="143" spans="15:89">
      <c r="O143" t="s">
        <v>1173</v>
      </c>
      <c r="P143" s="42" t="s">
        <v>1420</v>
      </c>
      <c r="AG143" t="s">
        <v>1841</v>
      </c>
      <c r="AH143" s="42" t="s">
        <v>2017</v>
      </c>
      <c r="BK143" t="s">
        <v>2357</v>
      </c>
      <c r="BN143" t="s">
        <v>3276</v>
      </c>
      <c r="CB143" t="s">
        <v>3832</v>
      </c>
      <c r="CC143" s="42" t="s">
        <v>4393</v>
      </c>
      <c r="CJ143" t="s">
        <v>5041</v>
      </c>
      <c r="CK143" s="42" t="s">
        <v>5350</v>
      </c>
    </row>
    <row r="144" spans="15:89">
      <c r="O144" t="s">
        <v>1174</v>
      </c>
      <c r="P144" s="42" t="s">
        <v>1421</v>
      </c>
      <c r="AG144" t="s">
        <v>1842</v>
      </c>
      <c r="AH144" s="42" t="s">
        <v>2018</v>
      </c>
      <c r="BK144" t="s">
        <v>2358</v>
      </c>
      <c r="BN144" t="s">
        <v>3277</v>
      </c>
      <c r="CB144" t="s">
        <v>3833</v>
      </c>
      <c r="CC144" s="42" t="s">
        <v>4394</v>
      </c>
      <c r="CJ144" t="s">
        <v>5042</v>
      </c>
      <c r="CK144" s="42" t="s">
        <v>5351</v>
      </c>
    </row>
    <row r="145" spans="15:89">
      <c r="O145" t="s">
        <v>1175</v>
      </c>
      <c r="P145" s="42" t="s">
        <v>1422</v>
      </c>
      <c r="AG145" t="s">
        <v>1843</v>
      </c>
      <c r="AH145" s="42" t="s">
        <v>2019</v>
      </c>
      <c r="BK145" t="s">
        <v>2359</v>
      </c>
      <c r="BN145" t="s">
        <v>3278</v>
      </c>
      <c r="CB145" t="s">
        <v>3834</v>
      </c>
      <c r="CC145" s="42" t="s">
        <v>4395</v>
      </c>
      <c r="CJ145" t="s">
        <v>5043</v>
      </c>
      <c r="CK145" s="42" t="s">
        <v>5352</v>
      </c>
    </row>
    <row r="146" spans="15:89">
      <c r="O146" t="s">
        <v>1176</v>
      </c>
      <c r="P146" s="42" t="s">
        <v>1423</v>
      </c>
      <c r="AG146" t="s">
        <v>1844</v>
      </c>
      <c r="AH146" s="42" t="s">
        <v>2020</v>
      </c>
      <c r="BK146" t="s">
        <v>2360</v>
      </c>
      <c r="BN146" t="s">
        <v>3279</v>
      </c>
      <c r="CB146" t="s">
        <v>3835</v>
      </c>
      <c r="CC146" s="42" t="s">
        <v>4396</v>
      </c>
      <c r="CJ146" t="s">
        <v>5044</v>
      </c>
      <c r="CK146" s="42" t="s">
        <v>5353</v>
      </c>
    </row>
    <row r="147" spans="15:89">
      <c r="O147" t="s">
        <v>1177</v>
      </c>
      <c r="P147" s="42" t="s">
        <v>1424</v>
      </c>
      <c r="AG147" t="s">
        <v>1845</v>
      </c>
      <c r="AH147" s="42" t="s">
        <v>2021</v>
      </c>
      <c r="BK147" t="s">
        <v>2361</v>
      </c>
      <c r="BN147" t="s">
        <v>3280</v>
      </c>
      <c r="CB147" t="s">
        <v>3836</v>
      </c>
      <c r="CC147" s="42" t="s">
        <v>4397</v>
      </c>
      <c r="CJ147" t="s">
        <v>5045</v>
      </c>
      <c r="CK147" s="42" t="s">
        <v>5354</v>
      </c>
    </row>
    <row r="148" spans="15:89">
      <c r="O148" t="s">
        <v>1178</v>
      </c>
      <c r="P148" s="42" t="s">
        <v>1425</v>
      </c>
      <c r="AG148" t="s">
        <v>1846</v>
      </c>
      <c r="AH148" s="42" t="s">
        <v>2022</v>
      </c>
      <c r="BK148" t="s">
        <v>2362</v>
      </c>
      <c r="BN148" t="s">
        <v>3281</v>
      </c>
      <c r="CB148" t="s">
        <v>3837</v>
      </c>
      <c r="CC148" s="42" t="s">
        <v>4398</v>
      </c>
      <c r="CJ148" t="s">
        <v>5046</v>
      </c>
      <c r="CK148" s="42" t="s">
        <v>5355</v>
      </c>
    </row>
    <row r="149" spans="15:89">
      <c r="O149" t="s">
        <v>1179</v>
      </c>
      <c r="P149" s="42" t="s">
        <v>1426</v>
      </c>
      <c r="AG149" t="s">
        <v>1847</v>
      </c>
      <c r="AH149" s="42" t="s">
        <v>2023</v>
      </c>
      <c r="BK149" t="s">
        <v>2363</v>
      </c>
      <c r="BN149" t="s">
        <v>3282</v>
      </c>
      <c r="CB149" t="s">
        <v>3838</v>
      </c>
      <c r="CC149" s="42" t="s">
        <v>4399</v>
      </c>
      <c r="CJ149" t="s">
        <v>5047</v>
      </c>
      <c r="CK149" s="42" t="s">
        <v>5356</v>
      </c>
    </row>
    <row r="150" spans="15:89">
      <c r="O150" t="s">
        <v>1180</v>
      </c>
      <c r="P150" s="42" t="s">
        <v>1427</v>
      </c>
      <c r="AG150" t="s">
        <v>1848</v>
      </c>
      <c r="AH150" s="42" t="s">
        <v>2024</v>
      </c>
      <c r="BK150" t="s">
        <v>2364</v>
      </c>
      <c r="BN150" t="s">
        <v>3283</v>
      </c>
      <c r="CB150" t="s">
        <v>3839</v>
      </c>
      <c r="CC150" s="42" t="s">
        <v>4400</v>
      </c>
      <c r="CJ150" t="s">
        <v>5048</v>
      </c>
      <c r="CK150" s="42" t="s">
        <v>5357</v>
      </c>
    </row>
    <row r="151" spans="15:89">
      <c r="O151" t="s">
        <v>1181</v>
      </c>
      <c r="P151" s="42" t="s">
        <v>1428</v>
      </c>
      <c r="AG151" t="s">
        <v>1849</v>
      </c>
      <c r="AH151" s="42" t="s">
        <v>2025</v>
      </c>
      <c r="BK151" t="s">
        <v>2365</v>
      </c>
      <c r="BN151" t="s">
        <v>3284</v>
      </c>
      <c r="CB151" t="s">
        <v>3840</v>
      </c>
      <c r="CC151" s="42" t="s">
        <v>4401</v>
      </c>
      <c r="CJ151" t="s">
        <v>5049</v>
      </c>
      <c r="CK151" s="42" t="s">
        <v>5358</v>
      </c>
    </row>
    <row r="152" spans="15:89">
      <c r="O152" t="s">
        <v>1182</v>
      </c>
      <c r="P152" s="42" t="s">
        <v>1429</v>
      </c>
      <c r="AG152" t="s">
        <v>1850</v>
      </c>
      <c r="AH152" s="42" t="s">
        <v>2026</v>
      </c>
      <c r="BK152" t="s">
        <v>2366</v>
      </c>
      <c r="BN152" t="s">
        <v>3285</v>
      </c>
      <c r="CB152" t="s">
        <v>3841</v>
      </c>
      <c r="CC152" s="42" t="s">
        <v>4402</v>
      </c>
      <c r="CJ152" t="s">
        <v>5050</v>
      </c>
      <c r="CK152" s="42" t="s">
        <v>5359</v>
      </c>
    </row>
    <row r="153" spans="15:89">
      <c r="O153" t="s">
        <v>1183</v>
      </c>
      <c r="P153" s="42" t="s">
        <v>1430</v>
      </c>
      <c r="AG153" t="s">
        <v>1851</v>
      </c>
      <c r="AH153" s="42" t="s">
        <v>2027</v>
      </c>
      <c r="BK153" t="s">
        <v>2367</v>
      </c>
      <c r="BN153" t="s">
        <v>3286</v>
      </c>
      <c r="CB153" t="s">
        <v>3842</v>
      </c>
      <c r="CC153" s="42" t="s">
        <v>4403</v>
      </c>
      <c r="CJ153" t="s">
        <v>5051</v>
      </c>
      <c r="CK153" s="42" t="s">
        <v>5360</v>
      </c>
    </row>
    <row r="154" spans="15:89">
      <c r="O154" t="s">
        <v>1184</v>
      </c>
      <c r="P154" s="42" t="s">
        <v>1431</v>
      </c>
      <c r="AG154" t="s">
        <v>1852</v>
      </c>
      <c r="AH154" s="42" t="s">
        <v>2028</v>
      </c>
      <c r="BK154" t="s">
        <v>2368</v>
      </c>
      <c r="BN154" t="s">
        <v>3287</v>
      </c>
      <c r="CB154" t="s">
        <v>3843</v>
      </c>
      <c r="CC154" s="42" t="s">
        <v>4404</v>
      </c>
      <c r="CJ154" t="s">
        <v>5052</v>
      </c>
      <c r="CK154" s="42" t="s">
        <v>5361</v>
      </c>
    </row>
    <row r="155" spans="15:89">
      <c r="O155" t="s">
        <v>1185</v>
      </c>
      <c r="P155" s="42" t="s">
        <v>1432</v>
      </c>
      <c r="AG155" t="s">
        <v>1853</v>
      </c>
      <c r="AH155" s="42" t="s">
        <v>2029</v>
      </c>
      <c r="BK155" t="s">
        <v>2369</v>
      </c>
      <c r="BN155" t="s">
        <v>3288</v>
      </c>
      <c r="CB155" t="s">
        <v>3844</v>
      </c>
      <c r="CC155" s="42" t="s">
        <v>4405</v>
      </c>
      <c r="CJ155" t="s">
        <v>5053</v>
      </c>
      <c r="CK155" s="42" t="s">
        <v>5362</v>
      </c>
    </row>
    <row r="156" spans="15:89">
      <c r="O156" t="s">
        <v>1186</v>
      </c>
      <c r="P156" s="42" t="s">
        <v>1433</v>
      </c>
      <c r="AG156" t="s">
        <v>1854</v>
      </c>
      <c r="AH156" s="42" t="s">
        <v>2030</v>
      </c>
      <c r="BK156" t="s">
        <v>2370</v>
      </c>
      <c r="BN156" t="s">
        <v>3289</v>
      </c>
      <c r="CB156" t="s">
        <v>3845</v>
      </c>
      <c r="CC156" s="42" t="s">
        <v>4406</v>
      </c>
      <c r="CJ156" t="s">
        <v>5054</v>
      </c>
      <c r="CK156" s="42" t="s">
        <v>5363</v>
      </c>
    </row>
    <row r="157" spans="15:89">
      <c r="O157" t="s">
        <v>1187</v>
      </c>
      <c r="P157" s="42" t="s">
        <v>1434</v>
      </c>
      <c r="AG157" t="s">
        <v>1855</v>
      </c>
      <c r="AH157" s="42" t="s">
        <v>2031</v>
      </c>
      <c r="BK157" t="s">
        <v>2371</v>
      </c>
      <c r="BN157" t="s">
        <v>3290</v>
      </c>
      <c r="CB157" t="s">
        <v>3846</v>
      </c>
      <c r="CC157" s="42" t="s">
        <v>4407</v>
      </c>
      <c r="CJ157" t="s">
        <v>5055</v>
      </c>
      <c r="CK157" s="42" t="s">
        <v>5364</v>
      </c>
    </row>
    <row r="158" spans="15:89">
      <c r="O158" t="s">
        <v>1188</v>
      </c>
      <c r="P158" s="42" t="s">
        <v>1435</v>
      </c>
      <c r="AG158" t="s">
        <v>1856</v>
      </c>
      <c r="AH158" s="42" t="s">
        <v>2032</v>
      </c>
      <c r="BK158" t="s">
        <v>2372</v>
      </c>
      <c r="BN158" t="s">
        <v>3291</v>
      </c>
      <c r="CB158" t="s">
        <v>3847</v>
      </c>
      <c r="CC158" s="42" t="s">
        <v>4408</v>
      </c>
      <c r="CJ158" t="s">
        <v>5056</v>
      </c>
      <c r="CK158" s="42" t="s">
        <v>5365</v>
      </c>
    </row>
    <row r="159" spans="15:89">
      <c r="O159" t="s">
        <v>1189</v>
      </c>
      <c r="P159" s="42" t="s">
        <v>1436</v>
      </c>
      <c r="AG159" t="s">
        <v>1857</v>
      </c>
      <c r="AH159" s="42" t="s">
        <v>2033</v>
      </c>
      <c r="BK159" t="s">
        <v>2373</v>
      </c>
      <c r="BN159" t="s">
        <v>3292</v>
      </c>
      <c r="CB159" t="s">
        <v>3848</v>
      </c>
      <c r="CC159" s="42" t="s">
        <v>4409</v>
      </c>
      <c r="CJ159" t="s">
        <v>5057</v>
      </c>
      <c r="CK159" s="42" t="s">
        <v>5366</v>
      </c>
    </row>
    <row r="160" spans="15:89">
      <c r="O160" t="s">
        <v>1190</v>
      </c>
      <c r="P160" s="42" t="s">
        <v>1437</v>
      </c>
      <c r="AG160" t="s">
        <v>1858</v>
      </c>
      <c r="AH160" s="42" t="s">
        <v>2034</v>
      </c>
      <c r="BK160" t="s">
        <v>2374</v>
      </c>
      <c r="BN160" t="s">
        <v>3293</v>
      </c>
      <c r="CB160" t="s">
        <v>3849</v>
      </c>
      <c r="CC160" s="42" t="s">
        <v>4410</v>
      </c>
      <c r="CJ160" t="s">
        <v>5058</v>
      </c>
      <c r="CK160" s="42" t="s">
        <v>5367</v>
      </c>
    </row>
    <row r="161" spans="15:89">
      <c r="O161" t="s">
        <v>1191</v>
      </c>
      <c r="P161" s="42" t="s">
        <v>1438</v>
      </c>
      <c r="AG161" t="s">
        <v>1859</v>
      </c>
      <c r="AH161" s="42" t="s">
        <v>2035</v>
      </c>
      <c r="BK161" t="s">
        <v>2375</v>
      </c>
      <c r="BN161" t="s">
        <v>3294</v>
      </c>
      <c r="CB161" t="s">
        <v>3850</v>
      </c>
      <c r="CC161" s="42" t="s">
        <v>4411</v>
      </c>
      <c r="CJ161" t="s">
        <v>5059</v>
      </c>
      <c r="CK161" s="42" t="s">
        <v>5368</v>
      </c>
    </row>
    <row r="162" spans="15:89">
      <c r="O162" t="s">
        <v>1192</v>
      </c>
      <c r="P162" s="42" t="s">
        <v>1439</v>
      </c>
      <c r="AG162" t="s">
        <v>1860</v>
      </c>
      <c r="AH162" s="42" t="s">
        <v>2036</v>
      </c>
      <c r="BK162" t="s">
        <v>2376</v>
      </c>
      <c r="BN162" t="s">
        <v>3295</v>
      </c>
      <c r="CB162" t="s">
        <v>3851</v>
      </c>
      <c r="CC162" s="42" t="s">
        <v>4412</v>
      </c>
      <c r="CJ162" t="s">
        <v>5060</v>
      </c>
      <c r="CK162" s="42" t="s">
        <v>5369</v>
      </c>
    </row>
    <row r="163" spans="15:89">
      <c r="O163" t="s">
        <v>1193</v>
      </c>
      <c r="P163" s="42" t="s">
        <v>1440</v>
      </c>
      <c r="AG163" t="s">
        <v>1861</v>
      </c>
      <c r="AH163" s="42" t="s">
        <v>2037</v>
      </c>
      <c r="BK163" t="s">
        <v>2377</v>
      </c>
      <c r="BN163" t="s">
        <v>3296</v>
      </c>
      <c r="CB163" t="s">
        <v>3852</v>
      </c>
      <c r="CC163" s="42" t="s">
        <v>4413</v>
      </c>
      <c r="CJ163" t="s">
        <v>5061</v>
      </c>
      <c r="CK163" s="42" t="s">
        <v>5370</v>
      </c>
    </row>
    <row r="164" spans="15:89">
      <c r="O164" t="s">
        <v>1194</v>
      </c>
      <c r="P164" s="42" t="s">
        <v>1441</v>
      </c>
      <c r="AG164" t="s">
        <v>1862</v>
      </c>
      <c r="AH164" s="42" t="s">
        <v>2038</v>
      </c>
      <c r="BK164" t="s">
        <v>2378</v>
      </c>
      <c r="BN164" t="s">
        <v>3297</v>
      </c>
      <c r="CB164" t="s">
        <v>3853</v>
      </c>
      <c r="CC164" s="42" t="s">
        <v>4414</v>
      </c>
      <c r="CJ164" t="s">
        <v>5062</v>
      </c>
      <c r="CK164" s="42" t="s">
        <v>5371</v>
      </c>
    </row>
    <row r="165" spans="15:89">
      <c r="O165" t="s">
        <v>1195</v>
      </c>
      <c r="P165" s="42" t="s">
        <v>1442</v>
      </c>
      <c r="AG165" t="s">
        <v>1863</v>
      </c>
      <c r="AH165" s="42" t="s">
        <v>2039</v>
      </c>
      <c r="BK165" t="s">
        <v>2379</v>
      </c>
      <c r="BN165" t="s">
        <v>3298</v>
      </c>
      <c r="CB165" t="s">
        <v>3854</v>
      </c>
      <c r="CC165" s="42" t="s">
        <v>4415</v>
      </c>
      <c r="CJ165" t="s">
        <v>5063</v>
      </c>
      <c r="CK165" s="42" t="s">
        <v>5372</v>
      </c>
    </row>
    <row r="166" spans="15:89">
      <c r="O166" t="s">
        <v>1196</v>
      </c>
      <c r="P166" s="42" t="s">
        <v>1443</v>
      </c>
      <c r="AG166" t="s">
        <v>1864</v>
      </c>
      <c r="AH166" s="42" t="s">
        <v>2040</v>
      </c>
      <c r="BK166" t="s">
        <v>2380</v>
      </c>
      <c r="BN166" t="s">
        <v>3299</v>
      </c>
      <c r="CB166" t="s">
        <v>3855</v>
      </c>
      <c r="CC166" s="42" t="s">
        <v>4416</v>
      </c>
      <c r="CJ166" t="s">
        <v>5064</v>
      </c>
      <c r="CK166" s="42" t="s">
        <v>5373</v>
      </c>
    </row>
    <row r="167" spans="15:89">
      <c r="O167" t="s">
        <v>1197</v>
      </c>
      <c r="P167" s="42" t="s">
        <v>1444</v>
      </c>
      <c r="AG167" t="s">
        <v>1865</v>
      </c>
      <c r="AH167" s="42" t="s">
        <v>2041</v>
      </c>
      <c r="BK167" t="s">
        <v>2381</v>
      </c>
      <c r="BN167" t="s">
        <v>3300</v>
      </c>
      <c r="CB167" t="s">
        <v>3856</v>
      </c>
      <c r="CC167" s="42" t="s">
        <v>4417</v>
      </c>
      <c r="CJ167" t="s">
        <v>5065</v>
      </c>
      <c r="CK167" s="42" t="s">
        <v>5374</v>
      </c>
    </row>
    <row r="168" spans="15:89">
      <c r="O168" t="s">
        <v>1198</v>
      </c>
      <c r="P168" s="42" t="s">
        <v>1445</v>
      </c>
      <c r="AG168" t="s">
        <v>1866</v>
      </c>
      <c r="AH168" s="42" t="s">
        <v>2042</v>
      </c>
      <c r="BK168" t="s">
        <v>2382</v>
      </c>
      <c r="BN168" t="s">
        <v>3301</v>
      </c>
      <c r="CB168" t="s">
        <v>3857</v>
      </c>
      <c r="CC168" s="42" t="s">
        <v>4418</v>
      </c>
      <c r="CJ168" t="s">
        <v>5066</v>
      </c>
      <c r="CK168" s="42" t="s">
        <v>5375</v>
      </c>
    </row>
    <row r="169" spans="15:89">
      <c r="O169" t="s">
        <v>1199</v>
      </c>
      <c r="P169" s="42" t="s">
        <v>1446</v>
      </c>
      <c r="AG169" t="s">
        <v>1867</v>
      </c>
      <c r="AH169" s="42" t="s">
        <v>2043</v>
      </c>
      <c r="BK169" t="s">
        <v>2383</v>
      </c>
      <c r="BN169" t="s">
        <v>3302</v>
      </c>
      <c r="CB169" t="s">
        <v>3858</v>
      </c>
      <c r="CC169" s="42" t="s">
        <v>4419</v>
      </c>
      <c r="CJ169" t="s">
        <v>5067</v>
      </c>
      <c r="CK169" s="42" t="s">
        <v>5376</v>
      </c>
    </row>
    <row r="170" spans="15:89">
      <c r="O170" t="s">
        <v>1200</v>
      </c>
      <c r="P170" s="42" t="s">
        <v>1447</v>
      </c>
      <c r="AG170" t="s">
        <v>1868</v>
      </c>
      <c r="AH170" s="42" t="s">
        <v>2044</v>
      </c>
      <c r="BK170" t="s">
        <v>2384</v>
      </c>
      <c r="BN170" t="s">
        <v>3303</v>
      </c>
      <c r="CB170" t="s">
        <v>3859</v>
      </c>
      <c r="CC170" s="42" t="s">
        <v>4420</v>
      </c>
      <c r="CJ170" t="s">
        <v>5068</v>
      </c>
      <c r="CK170" s="42" t="s">
        <v>5377</v>
      </c>
    </row>
    <row r="171" spans="15:89">
      <c r="O171" t="s">
        <v>1201</v>
      </c>
      <c r="P171" s="42" t="s">
        <v>1448</v>
      </c>
      <c r="AG171" t="s">
        <v>1869</v>
      </c>
      <c r="AH171" s="42" t="s">
        <v>2045</v>
      </c>
      <c r="BK171" t="s">
        <v>2385</v>
      </c>
      <c r="BN171" t="s">
        <v>3304</v>
      </c>
      <c r="CB171" t="s">
        <v>3860</v>
      </c>
      <c r="CC171" s="42" t="s">
        <v>4421</v>
      </c>
      <c r="CJ171" t="s">
        <v>5069</v>
      </c>
      <c r="CK171" s="42" t="s">
        <v>5378</v>
      </c>
    </row>
    <row r="172" spans="15:89">
      <c r="O172" t="s">
        <v>1202</v>
      </c>
      <c r="P172" s="42" t="s">
        <v>1449</v>
      </c>
      <c r="AG172" t="s">
        <v>1870</v>
      </c>
      <c r="AH172" s="42" t="s">
        <v>2046</v>
      </c>
      <c r="BK172" t="s">
        <v>2386</v>
      </c>
      <c r="BN172" t="s">
        <v>3305</v>
      </c>
      <c r="CB172" t="s">
        <v>3861</v>
      </c>
      <c r="CC172" s="42" t="s">
        <v>4422</v>
      </c>
      <c r="CJ172" t="s">
        <v>5070</v>
      </c>
      <c r="CK172" s="42" t="s">
        <v>5379</v>
      </c>
    </row>
    <row r="173" spans="15:89">
      <c r="O173" t="s">
        <v>1203</v>
      </c>
      <c r="P173" s="42" t="s">
        <v>1450</v>
      </c>
      <c r="AG173" t="s">
        <v>1871</v>
      </c>
      <c r="AH173" s="42" t="s">
        <v>2047</v>
      </c>
      <c r="BK173" t="s">
        <v>2387</v>
      </c>
      <c r="BN173" t="s">
        <v>3306</v>
      </c>
      <c r="CB173" t="s">
        <v>3862</v>
      </c>
      <c r="CC173" s="42" t="s">
        <v>4423</v>
      </c>
      <c r="CJ173" t="s">
        <v>5071</v>
      </c>
      <c r="CK173" s="42" t="s">
        <v>5380</v>
      </c>
    </row>
    <row r="174" spans="15:89">
      <c r="O174" t="s">
        <v>1204</v>
      </c>
      <c r="P174" s="42" t="s">
        <v>1451</v>
      </c>
      <c r="AG174" t="s">
        <v>1872</v>
      </c>
      <c r="AH174" s="42" t="s">
        <v>2048</v>
      </c>
      <c r="BK174" t="s">
        <v>2388</v>
      </c>
      <c r="BN174" t="s">
        <v>3307</v>
      </c>
      <c r="CB174" t="s">
        <v>3863</v>
      </c>
      <c r="CC174" s="42" t="s">
        <v>4424</v>
      </c>
      <c r="CJ174" t="s">
        <v>5072</v>
      </c>
      <c r="CK174" s="42" t="s">
        <v>5381</v>
      </c>
    </row>
    <row r="175" spans="15:89">
      <c r="O175" t="s">
        <v>1205</v>
      </c>
      <c r="P175" s="42" t="s">
        <v>1452</v>
      </c>
      <c r="AG175" t="s">
        <v>1873</v>
      </c>
      <c r="AH175" s="42" t="s">
        <v>2049</v>
      </c>
      <c r="BK175" t="s">
        <v>2389</v>
      </c>
      <c r="BN175" t="s">
        <v>3308</v>
      </c>
      <c r="CB175" t="s">
        <v>3864</v>
      </c>
      <c r="CC175" s="42" t="s">
        <v>4425</v>
      </c>
      <c r="CJ175" t="s">
        <v>5073</v>
      </c>
      <c r="CK175" s="42" t="s">
        <v>5382</v>
      </c>
    </row>
    <row r="176" spans="15:89">
      <c r="O176" t="s">
        <v>1206</v>
      </c>
      <c r="P176" s="42" t="s">
        <v>1453</v>
      </c>
      <c r="AG176" t="s">
        <v>1874</v>
      </c>
      <c r="AH176" s="42" t="s">
        <v>2050</v>
      </c>
      <c r="BK176" t="s">
        <v>2390</v>
      </c>
      <c r="BN176" t="s">
        <v>3309</v>
      </c>
      <c r="CB176" t="s">
        <v>3865</v>
      </c>
      <c r="CC176" s="42" t="s">
        <v>4426</v>
      </c>
      <c r="CJ176" t="s">
        <v>5074</v>
      </c>
      <c r="CK176" s="42" t="s">
        <v>5383</v>
      </c>
    </row>
    <row r="177" spans="15:89">
      <c r="O177" t="s">
        <v>1207</v>
      </c>
      <c r="P177" s="42" t="s">
        <v>1454</v>
      </c>
      <c r="AG177" t="s">
        <v>1875</v>
      </c>
      <c r="AH177" s="42" t="s">
        <v>2051</v>
      </c>
      <c r="BK177" t="s">
        <v>2391</v>
      </c>
      <c r="BN177" t="s">
        <v>3310</v>
      </c>
      <c r="CB177" t="s">
        <v>3866</v>
      </c>
      <c r="CC177" s="42" t="s">
        <v>4427</v>
      </c>
      <c r="CJ177" t="s">
        <v>5075</v>
      </c>
      <c r="CK177" s="42" t="s">
        <v>5384</v>
      </c>
    </row>
    <row r="178" spans="15:89">
      <c r="O178" t="s">
        <v>1208</v>
      </c>
      <c r="P178" s="42" t="s">
        <v>1455</v>
      </c>
      <c r="AG178" t="s">
        <v>974</v>
      </c>
      <c r="AH178" s="42" t="s">
        <v>977</v>
      </c>
      <c r="BK178" t="s">
        <v>2392</v>
      </c>
      <c r="BN178" t="s">
        <v>3311</v>
      </c>
      <c r="CB178" t="s">
        <v>3867</v>
      </c>
      <c r="CC178" s="42" t="s">
        <v>4428</v>
      </c>
      <c r="CJ178" t="s">
        <v>5076</v>
      </c>
      <c r="CK178" s="42" t="s">
        <v>5385</v>
      </c>
    </row>
    <row r="179" spans="15:89">
      <c r="O179" t="s">
        <v>1209</v>
      </c>
      <c r="P179" s="42" t="s">
        <v>1456</v>
      </c>
      <c r="AG179" t="s">
        <v>787</v>
      </c>
      <c r="AH179" s="42" t="s">
        <v>819</v>
      </c>
      <c r="BK179" t="s">
        <v>2393</v>
      </c>
      <c r="BN179" t="s">
        <v>3312</v>
      </c>
      <c r="CB179" t="s">
        <v>3868</v>
      </c>
      <c r="CC179" s="42" t="s">
        <v>4429</v>
      </c>
      <c r="CJ179" t="s">
        <v>5077</v>
      </c>
      <c r="CK179" s="42" t="s">
        <v>5386</v>
      </c>
    </row>
    <row r="180" spans="15:89">
      <c r="O180" t="s">
        <v>1210</v>
      </c>
      <c r="P180" s="42" t="s">
        <v>1457</v>
      </c>
      <c r="BK180" t="s">
        <v>2394</v>
      </c>
      <c r="BN180" t="s">
        <v>3313</v>
      </c>
      <c r="CB180" t="s">
        <v>3869</v>
      </c>
      <c r="CC180" s="42" t="s">
        <v>4430</v>
      </c>
      <c r="CJ180" t="s">
        <v>5078</v>
      </c>
      <c r="CK180" s="42" t="s">
        <v>5387</v>
      </c>
    </row>
    <row r="181" spans="15:89">
      <c r="O181" t="s">
        <v>1211</v>
      </c>
      <c r="P181" s="42" t="s">
        <v>1458</v>
      </c>
      <c r="BK181" t="s">
        <v>2395</v>
      </c>
      <c r="BN181" t="s">
        <v>3314</v>
      </c>
      <c r="CB181" t="s">
        <v>3870</v>
      </c>
      <c r="CC181" s="42" t="s">
        <v>4431</v>
      </c>
      <c r="CJ181" t="s">
        <v>5079</v>
      </c>
      <c r="CK181" s="42" t="s">
        <v>5388</v>
      </c>
    </row>
    <row r="182" spans="15:89">
      <c r="O182" t="s">
        <v>1212</v>
      </c>
      <c r="P182" s="42" t="s">
        <v>1459</v>
      </c>
      <c r="BK182" t="s">
        <v>2396</v>
      </c>
      <c r="BN182" t="s">
        <v>3315</v>
      </c>
      <c r="CB182" t="s">
        <v>3871</v>
      </c>
      <c r="CC182" s="42" t="s">
        <v>4432</v>
      </c>
      <c r="CJ182" t="s">
        <v>5080</v>
      </c>
      <c r="CK182" s="42" t="s">
        <v>5389</v>
      </c>
    </row>
    <row r="183" spans="15:89">
      <c r="O183" t="s">
        <v>1213</v>
      </c>
      <c r="P183" s="42" t="s">
        <v>1460</v>
      </c>
      <c r="BK183" t="s">
        <v>2397</v>
      </c>
      <c r="BN183" t="s">
        <v>3316</v>
      </c>
      <c r="CB183" t="s">
        <v>3872</v>
      </c>
      <c r="CC183" s="42" t="s">
        <v>4433</v>
      </c>
      <c r="CJ183" t="s">
        <v>5081</v>
      </c>
      <c r="CK183" s="42" t="s">
        <v>5390</v>
      </c>
    </row>
    <row r="184" spans="15:89">
      <c r="O184" t="s">
        <v>1214</v>
      </c>
      <c r="P184" s="42" t="s">
        <v>1461</v>
      </c>
      <c r="BK184" t="s">
        <v>2398</v>
      </c>
      <c r="BN184" t="s">
        <v>3317</v>
      </c>
      <c r="CB184" t="s">
        <v>3873</v>
      </c>
      <c r="CC184" s="42" t="s">
        <v>4434</v>
      </c>
      <c r="CJ184" t="s">
        <v>5082</v>
      </c>
      <c r="CK184" s="42" t="s">
        <v>5391</v>
      </c>
    </row>
    <row r="185" spans="15:89">
      <c r="O185" t="s">
        <v>1215</v>
      </c>
      <c r="P185" s="42" t="s">
        <v>1462</v>
      </c>
      <c r="BK185" t="s">
        <v>2399</v>
      </c>
      <c r="BN185" t="s">
        <v>3318</v>
      </c>
      <c r="CB185" t="s">
        <v>3874</v>
      </c>
      <c r="CC185" s="42" t="s">
        <v>4435</v>
      </c>
      <c r="CJ185" t="s">
        <v>5083</v>
      </c>
      <c r="CK185" s="42" t="s">
        <v>5392</v>
      </c>
    </row>
    <row r="186" spans="15:89">
      <c r="O186" t="s">
        <v>1216</v>
      </c>
      <c r="P186" s="42" t="s">
        <v>1463</v>
      </c>
      <c r="BK186" t="s">
        <v>2400</v>
      </c>
      <c r="BN186" t="s">
        <v>3319</v>
      </c>
      <c r="CB186" t="s">
        <v>3875</v>
      </c>
      <c r="CC186" s="42" t="s">
        <v>4436</v>
      </c>
      <c r="CJ186" t="s">
        <v>5084</v>
      </c>
      <c r="CK186" s="42" t="s">
        <v>5393</v>
      </c>
    </row>
    <row r="187" spans="15:89">
      <c r="O187" t="s">
        <v>1217</v>
      </c>
      <c r="P187" s="42" t="s">
        <v>1464</v>
      </c>
      <c r="BK187" t="s">
        <v>2401</v>
      </c>
      <c r="BN187" t="s">
        <v>3320</v>
      </c>
      <c r="CB187" t="s">
        <v>3876</v>
      </c>
      <c r="CC187" s="42" t="s">
        <v>4437</v>
      </c>
      <c r="CJ187" t="s">
        <v>5085</v>
      </c>
      <c r="CK187" s="42" t="s">
        <v>5394</v>
      </c>
    </row>
    <row r="188" spans="15:89">
      <c r="O188" t="s">
        <v>1218</v>
      </c>
      <c r="P188" s="42" t="s">
        <v>1465</v>
      </c>
      <c r="BK188" t="s">
        <v>2402</v>
      </c>
      <c r="BN188" t="s">
        <v>3321</v>
      </c>
      <c r="CB188" t="s">
        <v>3877</v>
      </c>
      <c r="CC188" s="42" t="s">
        <v>4438</v>
      </c>
      <c r="CJ188" t="s">
        <v>5086</v>
      </c>
      <c r="CK188" s="42" t="s">
        <v>5395</v>
      </c>
    </row>
    <row r="189" spans="15:89">
      <c r="O189" t="s">
        <v>1219</v>
      </c>
      <c r="P189" s="42" t="s">
        <v>1466</v>
      </c>
      <c r="BK189" t="s">
        <v>2403</v>
      </c>
      <c r="BN189" t="s">
        <v>3322</v>
      </c>
      <c r="CB189" t="s">
        <v>3878</v>
      </c>
      <c r="CC189" s="42" t="s">
        <v>4439</v>
      </c>
      <c r="CJ189" t="s">
        <v>5087</v>
      </c>
      <c r="CK189" s="42" t="s">
        <v>5396</v>
      </c>
    </row>
    <row r="190" spans="15:89">
      <c r="O190" t="s">
        <v>1220</v>
      </c>
      <c r="P190" s="42" t="s">
        <v>1467</v>
      </c>
      <c r="BK190" t="s">
        <v>2404</v>
      </c>
      <c r="BN190" t="s">
        <v>3323</v>
      </c>
      <c r="CB190" t="s">
        <v>3879</v>
      </c>
      <c r="CC190" s="42" t="s">
        <v>4440</v>
      </c>
      <c r="CJ190" t="s">
        <v>5088</v>
      </c>
      <c r="CK190" s="42" t="s">
        <v>5397</v>
      </c>
    </row>
    <row r="191" spans="15:89">
      <c r="O191" t="s">
        <v>1221</v>
      </c>
      <c r="P191" s="42" t="s">
        <v>1468</v>
      </c>
      <c r="BK191" t="s">
        <v>2405</v>
      </c>
      <c r="BN191" t="s">
        <v>3324</v>
      </c>
      <c r="CB191" t="s">
        <v>3880</v>
      </c>
      <c r="CC191" s="42" t="s">
        <v>4441</v>
      </c>
      <c r="CJ191" t="s">
        <v>5089</v>
      </c>
      <c r="CK191" s="42" t="s">
        <v>5398</v>
      </c>
    </row>
    <row r="192" spans="15:89">
      <c r="O192" t="s">
        <v>1222</v>
      </c>
      <c r="P192" s="42" t="s">
        <v>1469</v>
      </c>
      <c r="BK192" t="s">
        <v>2406</v>
      </c>
      <c r="BN192" t="s">
        <v>3325</v>
      </c>
      <c r="CB192" t="s">
        <v>3881</v>
      </c>
      <c r="CC192" s="42" t="s">
        <v>4442</v>
      </c>
      <c r="CJ192" t="s">
        <v>5090</v>
      </c>
      <c r="CK192" s="42" t="s">
        <v>5399</v>
      </c>
    </row>
    <row r="193" spans="15:89">
      <c r="O193" t="s">
        <v>1223</v>
      </c>
      <c r="P193" s="42" t="s">
        <v>1470</v>
      </c>
      <c r="BK193" t="s">
        <v>2407</v>
      </c>
      <c r="BN193" t="s">
        <v>3326</v>
      </c>
      <c r="CB193" t="s">
        <v>3882</v>
      </c>
      <c r="CC193" s="42" t="s">
        <v>4443</v>
      </c>
      <c r="CJ193" t="s">
        <v>5091</v>
      </c>
      <c r="CK193" s="42" t="s">
        <v>5400</v>
      </c>
    </row>
    <row r="194" spans="15:89">
      <c r="O194" t="s">
        <v>1224</v>
      </c>
      <c r="P194" s="42" t="s">
        <v>1471</v>
      </c>
      <c r="BK194" t="s">
        <v>2408</v>
      </c>
      <c r="BN194" t="s">
        <v>3327</v>
      </c>
      <c r="CB194" t="s">
        <v>3883</v>
      </c>
      <c r="CC194" s="42" t="s">
        <v>4444</v>
      </c>
      <c r="CJ194" t="s">
        <v>5092</v>
      </c>
      <c r="CK194" s="42" t="s">
        <v>5401</v>
      </c>
    </row>
    <row r="195" spans="15:89">
      <c r="O195" t="s">
        <v>1225</v>
      </c>
      <c r="P195" s="42" t="s">
        <v>1472</v>
      </c>
      <c r="BK195" t="s">
        <v>2409</v>
      </c>
      <c r="BN195" t="s">
        <v>3328</v>
      </c>
      <c r="CB195" t="s">
        <v>3884</v>
      </c>
      <c r="CC195" s="42" t="s">
        <v>4445</v>
      </c>
      <c r="CJ195" t="s">
        <v>5093</v>
      </c>
      <c r="CK195" s="42" t="s">
        <v>5402</v>
      </c>
    </row>
    <row r="196" spans="15:89">
      <c r="O196" t="s">
        <v>1226</v>
      </c>
      <c r="P196" s="42" t="s">
        <v>1473</v>
      </c>
      <c r="BK196" t="s">
        <v>2410</v>
      </c>
      <c r="BN196" t="s">
        <v>3329</v>
      </c>
      <c r="CB196" t="s">
        <v>3885</v>
      </c>
      <c r="CC196" s="42" t="s">
        <v>4446</v>
      </c>
      <c r="CJ196" t="s">
        <v>5094</v>
      </c>
      <c r="CK196" s="42" t="s">
        <v>5403</v>
      </c>
    </row>
    <row r="197" spans="15:89">
      <c r="O197" t="s">
        <v>1227</v>
      </c>
      <c r="P197" s="42" t="s">
        <v>1474</v>
      </c>
      <c r="BK197" t="s">
        <v>2411</v>
      </c>
      <c r="BN197" t="s">
        <v>3330</v>
      </c>
      <c r="CB197" t="s">
        <v>3886</v>
      </c>
      <c r="CC197" s="42" t="s">
        <v>4447</v>
      </c>
      <c r="CJ197" t="s">
        <v>5095</v>
      </c>
      <c r="CK197" s="42" t="s">
        <v>5404</v>
      </c>
    </row>
    <row r="198" spans="15:89">
      <c r="O198" t="s">
        <v>1228</v>
      </c>
      <c r="P198" s="42" t="s">
        <v>1475</v>
      </c>
      <c r="BK198" t="s">
        <v>2412</v>
      </c>
      <c r="BN198" t="s">
        <v>3331</v>
      </c>
      <c r="CB198" t="s">
        <v>3887</v>
      </c>
      <c r="CC198" s="42" t="s">
        <v>4448</v>
      </c>
      <c r="CJ198" t="s">
        <v>5096</v>
      </c>
      <c r="CK198" s="42" t="s">
        <v>5405</v>
      </c>
    </row>
    <row r="199" spans="15:89">
      <c r="O199" t="s">
        <v>1229</v>
      </c>
      <c r="P199" s="42" t="s">
        <v>1476</v>
      </c>
      <c r="BK199" t="s">
        <v>2413</v>
      </c>
      <c r="BN199" t="s">
        <v>3332</v>
      </c>
      <c r="CB199" t="s">
        <v>3888</v>
      </c>
      <c r="CC199" s="42" t="s">
        <v>4449</v>
      </c>
      <c r="CJ199" t="s">
        <v>5097</v>
      </c>
      <c r="CK199" s="42" t="s">
        <v>5406</v>
      </c>
    </row>
    <row r="200" spans="15:89">
      <c r="O200" t="s">
        <v>1230</v>
      </c>
      <c r="P200" s="42" t="s">
        <v>1477</v>
      </c>
      <c r="BK200" t="s">
        <v>2414</v>
      </c>
      <c r="BN200" t="s">
        <v>3333</v>
      </c>
      <c r="CB200" t="s">
        <v>3889</v>
      </c>
      <c r="CC200" s="42" t="s">
        <v>4450</v>
      </c>
      <c r="CJ200" t="s">
        <v>5098</v>
      </c>
      <c r="CK200" s="42" t="s">
        <v>5407</v>
      </c>
    </row>
    <row r="201" spans="15:89">
      <c r="O201" t="s">
        <v>1231</v>
      </c>
      <c r="P201" s="42" t="s">
        <v>1478</v>
      </c>
      <c r="BK201" t="s">
        <v>2415</v>
      </c>
      <c r="BN201" t="s">
        <v>3334</v>
      </c>
      <c r="CB201" t="s">
        <v>3890</v>
      </c>
      <c r="CC201" s="42" t="s">
        <v>4451</v>
      </c>
      <c r="CJ201" t="s">
        <v>5099</v>
      </c>
      <c r="CK201" s="42" t="s">
        <v>5408</v>
      </c>
    </row>
    <row r="202" spans="15:89">
      <c r="O202" t="s">
        <v>1232</v>
      </c>
      <c r="P202" s="42" t="s">
        <v>1479</v>
      </c>
      <c r="BK202" t="s">
        <v>2416</v>
      </c>
      <c r="BN202" t="s">
        <v>3335</v>
      </c>
      <c r="CB202" t="s">
        <v>3891</v>
      </c>
      <c r="CC202" s="42" t="s">
        <v>4452</v>
      </c>
      <c r="CJ202" t="s">
        <v>5100</v>
      </c>
      <c r="CK202" s="42" t="s">
        <v>5409</v>
      </c>
    </row>
    <row r="203" spans="15:89">
      <c r="O203" t="s">
        <v>1233</v>
      </c>
      <c r="P203" s="42" t="s">
        <v>1480</v>
      </c>
      <c r="BK203" t="s">
        <v>2417</v>
      </c>
      <c r="BN203" t="s">
        <v>3336</v>
      </c>
      <c r="CB203" t="s">
        <v>3892</v>
      </c>
      <c r="CC203" s="42" t="s">
        <v>4453</v>
      </c>
      <c r="CJ203" t="s">
        <v>5101</v>
      </c>
      <c r="CK203" s="42" t="s">
        <v>5410</v>
      </c>
    </row>
    <row r="204" spans="15:89">
      <c r="O204" t="s">
        <v>1234</v>
      </c>
      <c r="P204" s="42" t="s">
        <v>1481</v>
      </c>
      <c r="BK204" t="s">
        <v>2418</v>
      </c>
      <c r="BN204" t="s">
        <v>3337</v>
      </c>
      <c r="CB204" t="s">
        <v>3893</v>
      </c>
      <c r="CC204" s="42" t="s">
        <v>4454</v>
      </c>
      <c r="CJ204" t="s">
        <v>5102</v>
      </c>
      <c r="CK204" s="42" t="s">
        <v>5411</v>
      </c>
    </row>
    <row r="205" spans="15:89">
      <c r="O205" t="s">
        <v>1235</v>
      </c>
      <c r="P205" s="42" t="s">
        <v>1482</v>
      </c>
      <c r="BK205" t="s">
        <v>2419</v>
      </c>
      <c r="BN205" t="s">
        <v>3338</v>
      </c>
      <c r="CB205" t="s">
        <v>3894</v>
      </c>
      <c r="CC205" s="42" t="s">
        <v>4455</v>
      </c>
      <c r="CJ205" t="s">
        <v>5103</v>
      </c>
      <c r="CK205" s="42" t="s">
        <v>5412</v>
      </c>
    </row>
    <row r="206" spans="15:89">
      <c r="O206" t="s">
        <v>1236</v>
      </c>
      <c r="P206" s="42" t="s">
        <v>1483</v>
      </c>
      <c r="BK206" t="s">
        <v>2420</v>
      </c>
      <c r="BN206" t="s">
        <v>3339</v>
      </c>
      <c r="CB206" t="s">
        <v>3895</v>
      </c>
      <c r="CC206" s="42" t="s">
        <v>4456</v>
      </c>
      <c r="CJ206" t="s">
        <v>5104</v>
      </c>
      <c r="CK206" s="42" t="s">
        <v>5413</v>
      </c>
    </row>
    <row r="207" spans="15:89">
      <c r="O207" t="s">
        <v>1237</v>
      </c>
      <c r="P207" s="42" t="s">
        <v>1484</v>
      </c>
      <c r="BK207" t="s">
        <v>2421</v>
      </c>
      <c r="BN207" t="s">
        <v>3340</v>
      </c>
      <c r="CB207" t="s">
        <v>3896</v>
      </c>
      <c r="CC207" s="42" t="s">
        <v>4457</v>
      </c>
      <c r="CJ207" t="s">
        <v>5105</v>
      </c>
      <c r="CK207" s="42" t="s">
        <v>5414</v>
      </c>
    </row>
    <row r="208" spans="15:89">
      <c r="O208" t="s">
        <v>1238</v>
      </c>
      <c r="P208" s="42" t="s">
        <v>1485</v>
      </c>
      <c r="BK208" t="s">
        <v>2422</v>
      </c>
      <c r="BN208" t="s">
        <v>3341</v>
      </c>
      <c r="CB208" t="s">
        <v>3897</v>
      </c>
      <c r="CC208" s="42" t="s">
        <v>4458</v>
      </c>
      <c r="CJ208" t="s">
        <v>5106</v>
      </c>
      <c r="CK208" s="42" t="s">
        <v>5415</v>
      </c>
    </row>
    <row r="209" spans="15:89">
      <c r="O209" t="s">
        <v>1239</v>
      </c>
      <c r="P209" s="42" t="s">
        <v>1486</v>
      </c>
      <c r="BK209" t="s">
        <v>2423</v>
      </c>
      <c r="BN209" t="s">
        <v>3342</v>
      </c>
      <c r="CB209" t="s">
        <v>3898</v>
      </c>
      <c r="CC209" s="42" t="s">
        <v>4459</v>
      </c>
      <c r="CJ209" t="s">
        <v>5107</v>
      </c>
      <c r="CK209" s="42" t="s">
        <v>5416</v>
      </c>
    </row>
    <row r="210" spans="15:89">
      <c r="O210" t="s">
        <v>1240</v>
      </c>
      <c r="P210" s="42" t="s">
        <v>1487</v>
      </c>
      <c r="BK210" t="s">
        <v>2424</v>
      </c>
      <c r="BN210" t="s">
        <v>3343</v>
      </c>
      <c r="CB210" t="s">
        <v>3899</v>
      </c>
      <c r="CC210" s="42" t="s">
        <v>4460</v>
      </c>
      <c r="CJ210" t="s">
        <v>5108</v>
      </c>
      <c r="CK210" s="42" t="s">
        <v>5417</v>
      </c>
    </row>
    <row r="211" spans="15:89">
      <c r="O211" t="s">
        <v>1241</v>
      </c>
      <c r="P211" s="42" t="s">
        <v>1488</v>
      </c>
      <c r="BK211" t="s">
        <v>2425</v>
      </c>
      <c r="BN211" t="s">
        <v>3344</v>
      </c>
      <c r="CB211" t="s">
        <v>3900</v>
      </c>
      <c r="CC211" s="42" t="s">
        <v>4461</v>
      </c>
      <c r="CJ211" t="s">
        <v>5109</v>
      </c>
      <c r="CK211" s="42" t="s">
        <v>5418</v>
      </c>
    </row>
    <row r="212" spans="15:89">
      <c r="O212" t="s">
        <v>1242</v>
      </c>
      <c r="P212" s="42" t="s">
        <v>1489</v>
      </c>
      <c r="BK212" t="s">
        <v>2426</v>
      </c>
      <c r="BN212" t="s">
        <v>3345</v>
      </c>
      <c r="CB212" t="s">
        <v>3901</v>
      </c>
      <c r="CC212" s="42" t="s">
        <v>4462</v>
      </c>
      <c r="CJ212" t="s">
        <v>5110</v>
      </c>
      <c r="CK212" s="42" t="s">
        <v>5419</v>
      </c>
    </row>
    <row r="213" spans="15:89">
      <c r="O213" t="s">
        <v>1243</v>
      </c>
      <c r="P213" s="42" t="s">
        <v>1490</v>
      </c>
      <c r="BK213" t="s">
        <v>2427</v>
      </c>
      <c r="BN213" t="s">
        <v>3346</v>
      </c>
      <c r="CB213" t="s">
        <v>3902</v>
      </c>
      <c r="CC213" s="42" t="s">
        <v>4463</v>
      </c>
      <c r="CJ213" t="s">
        <v>5111</v>
      </c>
      <c r="CK213" s="42" t="s">
        <v>5420</v>
      </c>
    </row>
    <row r="214" spans="15:89">
      <c r="O214" t="s">
        <v>1244</v>
      </c>
      <c r="P214" s="42" t="s">
        <v>1491</v>
      </c>
      <c r="BK214" t="s">
        <v>2428</v>
      </c>
      <c r="BN214" t="s">
        <v>3347</v>
      </c>
      <c r="CB214" t="s">
        <v>3903</v>
      </c>
      <c r="CC214" s="42" t="s">
        <v>4464</v>
      </c>
      <c r="CJ214" t="s">
        <v>5112</v>
      </c>
      <c r="CK214" s="42" t="s">
        <v>5421</v>
      </c>
    </row>
    <row r="215" spans="15:89">
      <c r="O215" t="s">
        <v>1245</v>
      </c>
      <c r="P215" s="42" t="s">
        <v>1492</v>
      </c>
      <c r="BK215" t="s">
        <v>2429</v>
      </c>
      <c r="BN215" t="s">
        <v>3348</v>
      </c>
      <c r="CB215" t="s">
        <v>3904</v>
      </c>
      <c r="CC215" s="42" t="s">
        <v>4465</v>
      </c>
      <c r="CJ215" t="s">
        <v>5113</v>
      </c>
      <c r="CK215" s="42" t="s">
        <v>5422</v>
      </c>
    </row>
    <row r="216" spans="15:89">
      <c r="O216" t="s">
        <v>1246</v>
      </c>
      <c r="P216" s="42" t="s">
        <v>1493</v>
      </c>
      <c r="BK216" t="s">
        <v>2430</v>
      </c>
      <c r="BN216" t="s">
        <v>3349</v>
      </c>
      <c r="CB216" t="s">
        <v>3905</v>
      </c>
      <c r="CC216" s="42" t="s">
        <v>4466</v>
      </c>
      <c r="CJ216" t="s">
        <v>5114</v>
      </c>
      <c r="CK216" s="42" t="s">
        <v>5423</v>
      </c>
    </row>
    <row r="217" spans="15:89">
      <c r="O217" t="s">
        <v>1247</v>
      </c>
      <c r="P217" s="42" t="s">
        <v>1494</v>
      </c>
      <c r="BK217" t="s">
        <v>2431</v>
      </c>
      <c r="BN217" t="s">
        <v>3350</v>
      </c>
      <c r="CB217" t="s">
        <v>3906</v>
      </c>
      <c r="CC217" s="42" t="s">
        <v>4467</v>
      </c>
      <c r="CJ217" t="s">
        <v>5115</v>
      </c>
      <c r="CK217" s="42" t="s">
        <v>5424</v>
      </c>
    </row>
    <row r="218" spans="15:89">
      <c r="O218" t="s">
        <v>1248</v>
      </c>
      <c r="P218" s="42" t="s">
        <v>1495</v>
      </c>
      <c r="BK218" t="s">
        <v>2432</v>
      </c>
      <c r="BN218" t="s">
        <v>3351</v>
      </c>
      <c r="CB218" t="s">
        <v>3907</v>
      </c>
      <c r="CC218" s="42" t="s">
        <v>4468</v>
      </c>
      <c r="CJ218" t="s">
        <v>5116</v>
      </c>
      <c r="CK218" s="42" t="s">
        <v>5425</v>
      </c>
    </row>
    <row r="219" spans="15:89">
      <c r="O219" t="s">
        <v>1249</v>
      </c>
      <c r="P219" s="42" t="s">
        <v>1496</v>
      </c>
      <c r="BK219" t="s">
        <v>2433</v>
      </c>
      <c r="BN219" t="s">
        <v>3352</v>
      </c>
      <c r="CB219" t="s">
        <v>3908</v>
      </c>
      <c r="CC219" s="42" t="s">
        <v>4469</v>
      </c>
      <c r="CJ219" t="s">
        <v>5117</v>
      </c>
      <c r="CK219" s="42" t="s">
        <v>5426</v>
      </c>
    </row>
    <row r="220" spans="15:89">
      <c r="O220" t="s">
        <v>1250</v>
      </c>
      <c r="P220" s="42" t="s">
        <v>1497</v>
      </c>
      <c r="BK220" t="s">
        <v>2434</v>
      </c>
      <c r="BN220" t="s">
        <v>3353</v>
      </c>
      <c r="CB220" t="s">
        <v>3909</v>
      </c>
      <c r="CC220" s="42" t="s">
        <v>4470</v>
      </c>
      <c r="CJ220" t="s">
        <v>5118</v>
      </c>
      <c r="CK220" s="42" t="s">
        <v>5427</v>
      </c>
    </row>
    <row r="221" spans="15:89">
      <c r="O221" t="s">
        <v>1251</v>
      </c>
      <c r="P221" s="42" t="s">
        <v>1498</v>
      </c>
      <c r="BK221" t="s">
        <v>2435</v>
      </c>
      <c r="BN221" t="s">
        <v>3354</v>
      </c>
      <c r="CB221" t="s">
        <v>3910</v>
      </c>
      <c r="CC221" s="42" t="s">
        <v>4471</v>
      </c>
      <c r="CJ221" t="s">
        <v>5119</v>
      </c>
      <c r="CK221" s="42" t="s">
        <v>5428</v>
      </c>
    </row>
    <row r="222" spans="15:89">
      <c r="O222" t="s">
        <v>1252</v>
      </c>
      <c r="P222" s="42" t="s">
        <v>1499</v>
      </c>
      <c r="BK222" t="s">
        <v>2436</v>
      </c>
      <c r="BN222" t="s">
        <v>3355</v>
      </c>
      <c r="CB222" t="s">
        <v>3911</v>
      </c>
      <c r="CC222" s="42" t="s">
        <v>4472</v>
      </c>
      <c r="CJ222" t="s">
        <v>5120</v>
      </c>
      <c r="CK222" s="42" t="s">
        <v>5429</v>
      </c>
    </row>
    <row r="223" spans="15:89">
      <c r="O223" t="s">
        <v>1253</v>
      </c>
      <c r="P223" s="42" t="s">
        <v>1500</v>
      </c>
      <c r="BK223" t="s">
        <v>2437</v>
      </c>
      <c r="BN223" t="s">
        <v>3356</v>
      </c>
      <c r="CB223" t="s">
        <v>3912</v>
      </c>
      <c r="CC223" s="42" t="s">
        <v>4473</v>
      </c>
      <c r="CJ223" t="s">
        <v>5121</v>
      </c>
      <c r="CK223" s="42" t="s">
        <v>5430</v>
      </c>
    </row>
    <row r="224" spans="15:89">
      <c r="O224" t="s">
        <v>1254</v>
      </c>
      <c r="P224" s="42" t="s">
        <v>1501</v>
      </c>
      <c r="BK224" t="s">
        <v>2438</v>
      </c>
      <c r="BN224" t="s">
        <v>3357</v>
      </c>
      <c r="CB224" t="s">
        <v>3913</v>
      </c>
      <c r="CC224" s="42" t="s">
        <v>4474</v>
      </c>
      <c r="CJ224" t="s">
        <v>5122</v>
      </c>
      <c r="CK224" s="42" t="s">
        <v>5431</v>
      </c>
    </row>
    <row r="225" spans="15:89">
      <c r="O225" t="s">
        <v>1255</v>
      </c>
      <c r="P225" s="42" t="s">
        <v>1502</v>
      </c>
      <c r="BK225" t="s">
        <v>2439</v>
      </c>
      <c r="BN225" t="s">
        <v>3358</v>
      </c>
      <c r="CB225" t="s">
        <v>3914</v>
      </c>
      <c r="CC225" s="42" t="s">
        <v>4475</v>
      </c>
      <c r="CJ225" t="s">
        <v>5123</v>
      </c>
      <c r="CK225" s="42" t="s">
        <v>5432</v>
      </c>
    </row>
    <row r="226" spans="15:89">
      <c r="O226" t="s">
        <v>1256</v>
      </c>
      <c r="P226" s="42" t="s">
        <v>1503</v>
      </c>
      <c r="BK226" t="s">
        <v>2440</v>
      </c>
      <c r="BN226" t="s">
        <v>3359</v>
      </c>
      <c r="CB226" t="s">
        <v>3915</v>
      </c>
      <c r="CC226" s="42" t="s">
        <v>4476</v>
      </c>
      <c r="CJ226" t="s">
        <v>5124</v>
      </c>
      <c r="CK226" s="42" t="s">
        <v>5433</v>
      </c>
    </row>
    <row r="227" spans="15:89">
      <c r="O227" t="s">
        <v>1257</v>
      </c>
      <c r="P227" s="42" t="s">
        <v>1504</v>
      </c>
      <c r="BK227" t="s">
        <v>2441</v>
      </c>
      <c r="BN227" t="s">
        <v>3360</v>
      </c>
      <c r="CB227" t="s">
        <v>3916</v>
      </c>
      <c r="CC227" s="42" t="s">
        <v>4477</v>
      </c>
      <c r="CJ227" t="s">
        <v>5125</v>
      </c>
      <c r="CK227" s="42" t="s">
        <v>5434</v>
      </c>
    </row>
    <row r="228" spans="15:89">
      <c r="O228" t="s">
        <v>1258</v>
      </c>
      <c r="P228" s="42" t="s">
        <v>1505</v>
      </c>
      <c r="BK228" t="s">
        <v>2442</v>
      </c>
      <c r="BN228" t="s">
        <v>3361</v>
      </c>
      <c r="CB228" t="s">
        <v>3917</v>
      </c>
      <c r="CC228" s="42" t="s">
        <v>4478</v>
      </c>
      <c r="CJ228" t="s">
        <v>5126</v>
      </c>
      <c r="CK228" s="42" t="s">
        <v>5435</v>
      </c>
    </row>
    <row r="229" spans="15:89">
      <c r="O229" t="s">
        <v>1259</v>
      </c>
      <c r="P229" s="42" t="s">
        <v>1506</v>
      </c>
      <c r="BK229" t="s">
        <v>2443</v>
      </c>
      <c r="BN229" t="s">
        <v>3362</v>
      </c>
      <c r="CB229" t="s">
        <v>3918</v>
      </c>
      <c r="CC229" s="42" t="s">
        <v>4479</v>
      </c>
      <c r="CJ229" t="s">
        <v>5127</v>
      </c>
      <c r="CK229" s="42" t="s">
        <v>5436</v>
      </c>
    </row>
    <row r="230" spans="15:89">
      <c r="O230" t="s">
        <v>1260</v>
      </c>
      <c r="P230" s="42" t="s">
        <v>1507</v>
      </c>
      <c r="BK230" t="s">
        <v>2444</v>
      </c>
      <c r="BN230" t="s">
        <v>3363</v>
      </c>
      <c r="CB230" t="s">
        <v>3919</v>
      </c>
      <c r="CC230" s="42" t="s">
        <v>4480</v>
      </c>
      <c r="CJ230" t="s">
        <v>5128</v>
      </c>
      <c r="CK230" s="42" t="s">
        <v>5437</v>
      </c>
    </row>
    <row r="231" spans="15:89">
      <c r="O231" t="s">
        <v>1261</v>
      </c>
      <c r="P231" s="42" t="s">
        <v>1508</v>
      </c>
      <c r="BK231" t="s">
        <v>2445</v>
      </c>
      <c r="BN231" t="s">
        <v>3364</v>
      </c>
      <c r="CB231" t="s">
        <v>3920</v>
      </c>
      <c r="CC231" s="42" t="s">
        <v>4481</v>
      </c>
      <c r="CJ231" t="s">
        <v>5129</v>
      </c>
      <c r="CK231" s="42" t="s">
        <v>5438</v>
      </c>
    </row>
    <row r="232" spans="15:89">
      <c r="O232" t="s">
        <v>1262</v>
      </c>
      <c r="P232" s="42" t="s">
        <v>1509</v>
      </c>
      <c r="BK232" t="s">
        <v>2446</v>
      </c>
      <c r="BN232" t="s">
        <v>3365</v>
      </c>
      <c r="CB232" t="s">
        <v>3921</v>
      </c>
      <c r="CC232" s="42" t="s">
        <v>4482</v>
      </c>
      <c r="CJ232" t="s">
        <v>5130</v>
      </c>
      <c r="CK232" s="42" t="s">
        <v>5439</v>
      </c>
    </row>
    <row r="233" spans="15:89">
      <c r="O233" t="s">
        <v>1263</v>
      </c>
      <c r="P233" s="42" t="s">
        <v>1510</v>
      </c>
      <c r="BK233" t="s">
        <v>2447</v>
      </c>
      <c r="BN233" t="s">
        <v>3366</v>
      </c>
      <c r="CB233" t="s">
        <v>3922</v>
      </c>
      <c r="CC233" s="42" t="s">
        <v>4483</v>
      </c>
      <c r="CJ233" t="s">
        <v>5131</v>
      </c>
      <c r="CK233" s="42" t="s">
        <v>5440</v>
      </c>
    </row>
    <row r="234" spans="15:89">
      <c r="O234" t="s">
        <v>1264</v>
      </c>
      <c r="P234" s="42" t="s">
        <v>1511</v>
      </c>
      <c r="BK234" t="s">
        <v>2448</v>
      </c>
      <c r="BN234" t="s">
        <v>3367</v>
      </c>
      <c r="CB234" t="s">
        <v>3923</v>
      </c>
      <c r="CC234" s="42" t="s">
        <v>4484</v>
      </c>
      <c r="CJ234" t="s">
        <v>5132</v>
      </c>
      <c r="CK234" s="42" t="s">
        <v>5441</v>
      </c>
    </row>
    <row r="235" spans="15:89">
      <c r="O235" t="s">
        <v>1265</v>
      </c>
      <c r="P235" s="42" t="s">
        <v>1512</v>
      </c>
      <c r="BK235" t="s">
        <v>2449</v>
      </c>
      <c r="BN235" t="s">
        <v>3368</v>
      </c>
      <c r="CB235" t="s">
        <v>3924</v>
      </c>
      <c r="CC235" s="42" t="s">
        <v>4485</v>
      </c>
      <c r="CJ235" t="s">
        <v>5133</v>
      </c>
      <c r="CK235" s="42" t="s">
        <v>5442</v>
      </c>
    </row>
    <row r="236" spans="15:89">
      <c r="O236" t="s">
        <v>1266</v>
      </c>
      <c r="P236" s="42" t="s">
        <v>1513</v>
      </c>
      <c r="BK236" t="s">
        <v>2450</v>
      </c>
      <c r="BN236" t="s">
        <v>3369</v>
      </c>
      <c r="CB236" t="s">
        <v>3925</v>
      </c>
      <c r="CC236" s="42" t="s">
        <v>4486</v>
      </c>
      <c r="CJ236" t="s">
        <v>5134</v>
      </c>
      <c r="CK236" s="42" t="s">
        <v>5443</v>
      </c>
    </row>
    <row r="237" spans="15:89">
      <c r="O237" t="s">
        <v>1267</v>
      </c>
      <c r="P237" s="42" t="s">
        <v>1514</v>
      </c>
      <c r="BK237" t="s">
        <v>2451</v>
      </c>
      <c r="BN237" t="s">
        <v>3370</v>
      </c>
      <c r="CB237" t="s">
        <v>3926</v>
      </c>
      <c r="CC237" s="42" t="s">
        <v>4487</v>
      </c>
      <c r="CJ237" t="s">
        <v>5135</v>
      </c>
      <c r="CK237" s="42" t="s">
        <v>5444</v>
      </c>
    </row>
    <row r="238" spans="15:89">
      <c r="O238" t="s">
        <v>1268</v>
      </c>
      <c r="P238" s="42" t="s">
        <v>1515</v>
      </c>
      <c r="BK238" t="s">
        <v>2452</v>
      </c>
      <c r="BN238" t="s">
        <v>3371</v>
      </c>
      <c r="CB238" t="s">
        <v>3927</v>
      </c>
      <c r="CC238" s="42" t="s">
        <v>4488</v>
      </c>
      <c r="CJ238" t="s">
        <v>5136</v>
      </c>
      <c r="CK238" s="42" t="s">
        <v>5445</v>
      </c>
    </row>
    <row r="239" spans="15:89">
      <c r="O239" t="s">
        <v>1269</v>
      </c>
      <c r="P239" s="42" t="s">
        <v>1516</v>
      </c>
      <c r="BK239" t="s">
        <v>2453</v>
      </c>
      <c r="BN239" t="s">
        <v>3372</v>
      </c>
      <c r="CB239" t="s">
        <v>3928</v>
      </c>
      <c r="CC239" s="42" t="s">
        <v>4489</v>
      </c>
      <c r="CJ239" t="s">
        <v>5137</v>
      </c>
      <c r="CK239" s="42" t="s">
        <v>5446</v>
      </c>
    </row>
    <row r="240" spans="15:89">
      <c r="O240" t="s">
        <v>1270</v>
      </c>
      <c r="P240" s="42" t="s">
        <v>1517</v>
      </c>
      <c r="BK240" t="s">
        <v>2454</v>
      </c>
      <c r="BN240" t="s">
        <v>3373</v>
      </c>
      <c r="CB240" t="s">
        <v>3929</v>
      </c>
      <c r="CC240" s="42" t="s">
        <v>4490</v>
      </c>
      <c r="CJ240" t="s">
        <v>5138</v>
      </c>
      <c r="CK240" s="42" t="s">
        <v>5447</v>
      </c>
    </row>
    <row r="241" spans="15:89">
      <c r="O241" t="s">
        <v>1271</v>
      </c>
      <c r="P241" s="42" t="s">
        <v>1518</v>
      </c>
      <c r="BK241" t="s">
        <v>2455</v>
      </c>
      <c r="BN241" t="s">
        <v>3374</v>
      </c>
      <c r="CB241" t="s">
        <v>3930</v>
      </c>
      <c r="CC241" s="42" t="s">
        <v>4491</v>
      </c>
      <c r="CJ241" t="s">
        <v>5139</v>
      </c>
      <c r="CK241" s="42" t="s">
        <v>5448</v>
      </c>
    </row>
    <row r="242" spans="15:89">
      <c r="O242" t="s">
        <v>1272</v>
      </c>
      <c r="P242" s="42" t="s">
        <v>1519</v>
      </c>
      <c r="BK242" t="s">
        <v>2456</v>
      </c>
      <c r="BN242" t="s">
        <v>3375</v>
      </c>
      <c r="CB242" t="s">
        <v>3931</v>
      </c>
      <c r="CC242" s="42" t="s">
        <v>4492</v>
      </c>
      <c r="CJ242" t="s">
        <v>5140</v>
      </c>
      <c r="CK242" s="42" t="s">
        <v>5449</v>
      </c>
    </row>
    <row r="243" spans="15:89">
      <c r="O243" t="s">
        <v>1273</v>
      </c>
      <c r="P243" s="42" t="s">
        <v>1520</v>
      </c>
      <c r="BK243" t="s">
        <v>2457</v>
      </c>
      <c r="BN243" t="s">
        <v>3376</v>
      </c>
      <c r="CB243" t="s">
        <v>3932</v>
      </c>
      <c r="CC243" s="42" t="s">
        <v>4493</v>
      </c>
      <c r="CJ243" t="s">
        <v>5141</v>
      </c>
      <c r="CK243" s="42" t="s">
        <v>5450</v>
      </c>
    </row>
    <row r="244" spans="15:89">
      <c r="O244" t="s">
        <v>1274</v>
      </c>
      <c r="P244" s="42" t="s">
        <v>1521</v>
      </c>
      <c r="BK244" t="s">
        <v>2458</v>
      </c>
      <c r="BN244" t="s">
        <v>3377</v>
      </c>
      <c r="CB244" t="s">
        <v>3933</v>
      </c>
      <c r="CC244" s="42" t="s">
        <v>4494</v>
      </c>
      <c r="CJ244" t="s">
        <v>5142</v>
      </c>
      <c r="CK244" s="42" t="s">
        <v>5451</v>
      </c>
    </row>
    <row r="245" spans="15:89">
      <c r="O245" t="s">
        <v>1275</v>
      </c>
      <c r="P245" s="42" t="s">
        <v>1522</v>
      </c>
      <c r="BK245" t="s">
        <v>2459</v>
      </c>
      <c r="BN245" t="s">
        <v>3378</v>
      </c>
      <c r="CB245" t="s">
        <v>3934</v>
      </c>
      <c r="CC245" s="42" t="s">
        <v>4495</v>
      </c>
      <c r="CJ245" t="s">
        <v>5143</v>
      </c>
      <c r="CK245" s="42" t="s">
        <v>5452</v>
      </c>
    </row>
    <row r="246" spans="15:89">
      <c r="O246" t="s">
        <v>1276</v>
      </c>
      <c r="P246" s="42" t="s">
        <v>1523</v>
      </c>
      <c r="BK246" t="s">
        <v>2460</v>
      </c>
      <c r="BN246" t="s">
        <v>3379</v>
      </c>
      <c r="CB246" t="s">
        <v>3935</v>
      </c>
      <c r="CC246" s="42" t="s">
        <v>4496</v>
      </c>
      <c r="CJ246" t="s">
        <v>5144</v>
      </c>
      <c r="CK246" s="42" t="s">
        <v>5453</v>
      </c>
    </row>
    <row r="247" spans="15:89">
      <c r="O247" t="s">
        <v>1277</v>
      </c>
      <c r="P247" s="42" t="s">
        <v>1524</v>
      </c>
      <c r="BK247" t="s">
        <v>2461</v>
      </c>
      <c r="BN247" t="s">
        <v>3380</v>
      </c>
      <c r="CB247" t="s">
        <v>3936</v>
      </c>
      <c r="CC247" s="42" t="s">
        <v>4497</v>
      </c>
      <c r="CJ247" t="s">
        <v>5145</v>
      </c>
      <c r="CK247" s="42" t="s">
        <v>5454</v>
      </c>
    </row>
    <row r="248" spans="15:89">
      <c r="O248" t="s">
        <v>1278</v>
      </c>
      <c r="P248" s="42" t="s">
        <v>1525</v>
      </c>
      <c r="BK248" t="s">
        <v>2462</v>
      </c>
      <c r="BN248" t="s">
        <v>3381</v>
      </c>
      <c r="CB248" t="s">
        <v>3937</v>
      </c>
      <c r="CC248" s="42" t="s">
        <v>4498</v>
      </c>
      <c r="CJ248" t="s">
        <v>5146</v>
      </c>
      <c r="CK248" s="42" t="s">
        <v>5455</v>
      </c>
    </row>
    <row r="249" spans="15:89">
      <c r="BK249" t="s">
        <v>2463</v>
      </c>
      <c r="BN249" t="s">
        <v>3382</v>
      </c>
      <c r="CB249" t="s">
        <v>3938</v>
      </c>
      <c r="CC249" s="42" t="s">
        <v>4499</v>
      </c>
      <c r="CJ249" t="s">
        <v>5147</v>
      </c>
      <c r="CK249" s="42" t="s">
        <v>5456</v>
      </c>
    </row>
    <row r="250" spans="15:89">
      <c r="BK250" t="s">
        <v>2464</v>
      </c>
      <c r="BN250" t="s">
        <v>3383</v>
      </c>
      <c r="CB250" t="s">
        <v>3939</v>
      </c>
      <c r="CC250" s="42" t="s">
        <v>4500</v>
      </c>
      <c r="CJ250" t="s">
        <v>5148</v>
      </c>
      <c r="CK250" s="42" t="s">
        <v>5457</v>
      </c>
    </row>
    <row r="251" spans="15:89">
      <c r="BK251" t="s">
        <v>2465</v>
      </c>
      <c r="BN251" t="s">
        <v>3384</v>
      </c>
      <c r="CB251" t="s">
        <v>3940</v>
      </c>
      <c r="CC251" s="42" t="s">
        <v>4501</v>
      </c>
      <c r="CJ251" t="s">
        <v>5149</v>
      </c>
      <c r="CK251" s="42" t="s">
        <v>5458</v>
      </c>
    </row>
    <row r="252" spans="15:89">
      <c r="BK252" t="s">
        <v>2466</v>
      </c>
      <c r="BN252" t="s">
        <v>3385</v>
      </c>
      <c r="CB252" t="s">
        <v>3941</v>
      </c>
      <c r="CC252" s="42" t="s">
        <v>4502</v>
      </c>
      <c r="CJ252" t="s">
        <v>5150</v>
      </c>
      <c r="CK252" s="42" t="s">
        <v>5459</v>
      </c>
    </row>
    <row r="253" spans="15:89">
      <c r="BK253" t="s">
        <v>2467</v>
      </c>
      <c r="BN253" t="s">
        <v>3386</v>
      </c>
      <c r="CB253" t="s">
        <v>3942</v>
      </c>
      <c r="CC253" s="42" t="s">
        <v>4503</v>
      </c>
      <c r="CJ253" t="s">
        <v>5151</v>
      </c>
      <c r="CK253" s="42" t="s">
        <v>5460</v>
      </c>
    </row>
    <row r="254" spans="15:89">
      <c r="BK254" t="s">
        <v>2468</v>
      </c>
      <c r="BN254" t="s">
        <v>3387</v>
      </c>
      <c r="CB254" t="s">
        <v>3943</v>
      </c>
      <c r="CC254" s="42" t="s">
        <v>4504</v>
      </c>
      <c r="CJ254" t="s">
        <v>5152</v>
      </c>
      <c r="CK254" s="42" t="s">
        <v>5461</v>
      </c>
    </row>
    <row r="255" spans="15:89">
      <c r="BK255" t="s">
        <v>2469</v>
      </c>
      <c r="BN255" t="s">
        <v>3388</v>
      </c>
      <c r="CB255" t="s">
        <v>3944</v>
      </c>
      <c r="CC255" s="42" t="s">
        <v>4505</v>
      </c>
      <c r="CJ255" t="s">
        <v>5153</v>
      </c>
      <c r="CK255" s="42" t="s">
        <v>5462</v>
      </c>
    </row>
    <row r="256" spans="15:89">
      <c r="BK256" t="s">
        <v>2470</v>
      </c>
      <c r="BN256" t="s">
        <v>3389</v>
      </c>
      <c r="CB256" t="s">
        <v>3945</v>
      </c>
      <c r="CC256" s="42" t="s">
        <v>4506</v>
      </c>
      <c r="CJ256" t="s">
        <v>5154</v>
      </c>
      <c r="CK256" s="42" t="s">
        <v>5463</v>
      </c>
    </row>
    <row r="257" spans="63:89">
      <c r="BK257" t="s">
        <v>2471</v>
      </c>
      <c r="BN257" t="s">
        <v>3390</v>
      </c>
      <c r="CB257" t="s">
        <v>3946</v>
      </c>
      <c r="CC257" s="42" t="s">
        <v>4507</v>
      </c>
      <c r="CJ257" t="s">
        <v>5155</v>
      </c>
      <c r="CK257" s="42" t="s">
        <v>5464</v>
      </c>
    </row>
    <row r="258" spans="63:89">
      <c r="BK258" t="s">
        <v>2472</v>
      </c>
      <c r="BN258" t="s">
        <v>3391</v>
      </c>
      <c r="CB258" t="s">
        <v>3947</v>
      </c>
      <c r="CC258" s="42" t="s">
        <v>4508</v>
      </c>
      <c r="CJ258" t="s">
        <v>5156</v>
      </c>
      <c r="CK258" s="42" t="s">
        <v>5465</v>
      </c>
    </row>
    <row r="259" spans="63:89">
      <c r="BK259" t="s">
        <v>2473</v>
      </c>
      <c r="BN259" t="s">
        <v>3392</v>
      </c>
      <c r="CB259" t="s">
        <v>3948</v>
      </c>
      <c r="CC259" s="42" t="s">
        <v>4509</v>
      </c>
      <c r="CJ259" t="s">
        <v>5157</v>
      </c>
      <c r="CK259" s="42" t="s">
        <v>5466</v>
      </c>
    </row>
    <row r="260" spans="63:89">
      <c r="BK260" t="s">
        <v>2474</v>
      </c>
      <c r="BN260" t="s">
        <v>3393</v>
      </c>
      <c r="CB260" t="s">
        <v>3949</v>
      </c>
      <c r="CC260" s="42" t="s">
        <v>4510</v>
      </c>
      <c r="CJ260" t="s">
        <v>5158</v>
      </c>
      <c r="CK260" s="42" t="s">
        <v>5467</v>
      </c>
    </row>
    <row r="261" spans="63:89">
      <c r="BK261" t="s">
        <v>2475</v>
      </c>
      <c r="BN261" t="s">
        <v>3394</v>
      </c>
      <c r="CB261" t="s">
        <v>3950</v>
      </c>
      <c r="CC261" s="42" t="s">
        <v>4511</v>
      </c>
      <c r="CJ261" t="s">
        <v>5159</v>
      </c>
      <c r="CK261" s="42" t="s">
        <v>5468</v>
      </c>
    </row>
    <row r="262" spans="63:89">
      <c r="BK262" t="s">
        <v>2476</v>
      </c>
      <c r="BN262" t="s">
        <v>3395</v>
      </c>
      <c r="CB262" t="s">
        <v>3951</v>
      </c>
      <c r="CC262" s="42" t="s">
        <v>4512</v>
      </c>
      <c r="CJ262" t="s">
        <v>5160</v>
      </c>
      <c r="CK262" s="42" t="s">
        <v>5469</v>
      </c>
    </row>
    <row r="263" spans="63:89">
      <c r="BK263" t="s">
        <v>2477</v>
      </c>
      <c r="BN263" t="s">
        <v>3396</v>
      </c>
      <c r="CB263" t="s">
        <v>3952</v>
      </c>
      <c r="CC263" s="42" t="s">
        <v>4513</v>
      </c>
      <c r="CJ263" t="s">
        <v>5161</v>
      </c>
      <c r="CK263" s="42" t="s">
        <v>5470</v>
      </c>
    </row>
    <row r="264" spans="63:89">
      <c r="BK264" t="s">
        <v>2478</v>
      </c>
      <c r="BN264" t="s">
        <v>3397</v>
      </c>
      <c r="CB264" t="s">
        <v>3953</v>
      </c>
      <c r="CC264" s="42" t="s">
        <v>4514</v>
      </c>
      <c r="CJ264" t="s">
        <v>5162</v>
      </c>
      <c r="CK264" s="42" t="s">
        <v>5471</v>
      </c>
    </row>
    <row r="265" spans="63:89">
      <c r="BK265" t="s">
        <v>2479</v>
      </c>
      <c r="BN265" t="s">
        <v>3398</v>
      </c>
      <c r="CB265" t="s">
        <v>3954</v>
      </c>
      <c r="CC265" s="42" t="s">
        <v>4515</v>
      </c>
      <c r="CJ265" t="s">
        <v>5163</v>
      </c>
      <c r="CK265" s="42" t="s">
        <v>5472</v>
      </c>
    </row>
    <row r="266" spans="63:89">
      <c r="BK266" t="s">
        <v>2480</v>
      </c>
      <c r="BN266" t="s">
        <v>3399</v>
      </c>
      <c r="CB266" t="s">
        <v>3955</v>
      </c>
      <c r="CC266" s="42" t="s">
        <v>4516</v>
      </c>
      <c r="CJ266" t="s">
        <v>5164</v>
      </c>
      <c r="CK266" s="42" t="s">
        <v>5473</v>
      </c>
    </row>
    <row r="267" spans="63:89">
      <c r="BK267" t="s">
        <v>2481</v>
      </c>
      <c r="BN267" t="s">
        <v>3400</v>
      </c>
      <c r="CB267" t="s">
        <v>3956</v>
      </c>
      <c r="CC267" s="42" t="s">
        <v>4517</v>
      </c>
      <c r="CJ267" t="s">
        <v>5165</v>
      </c>
      <c r="CK267" s="42" t="s">
        <v>5474</v>
      </c>
    </row>
    <row r="268" spans="63:89">
      <c r="BK268" t="s">
        <v>2482</v>
      </c>
      <c r="BN268" t="s">
        <v>3401</v>
      </c>
      <c r="CB268" t="s">
        <v>3957</v>
      </c>
      <c r="CC268" s="42" t="s">
        <v>4518</v>
      </c>
      <c r="CJ268" t="s">
        <v>5166</v>
      </c>
      <c r="CK268" s="42" t="s">
        <v>5475</v>
      </c>
    </row>
    <row r="269" spans="63:89">
      <c r="BK269" t="s">
        <v>2483</v>
      </c>
      <c r="BN269" t="s">
        <v>3402</v>
      </c>
      <c r="CB269" t="s">
        <v>3958</v>
      </c>
      <c r="CC269" s="42" t="s">
        <v>4519</v>
      </c>
      <c r="CJ269" t="s">
        <v>5167</v>
      </c>
      <c r="CK269" s="42" t="s">
        <v>5476</v>
      </c>
    </row>
    <row r="270" spans="63:89">
      <c r="BK270" t="s">
        <v>2484</v>
      </c>
      <c r="BN270" t="s">
        <v>3403</v>
      </c>
      <c r="CB270" t="s">
        <v>3959</v>
      </c>
      <c r="CC270" s="42" t="s">
        <v>4520</v>
      </c>
      <c r="CJ270" t="s">
        <v>5168</v>
      </c>
      <c r="CK270" s="42" t="s">
        <v>5477</v>
      </c>
    </row>
    <row r="271" spans="63:89">
      <c r="BK271" t="s">
        <v>2485</v>
      </c>
      <c r="BN271" t="s">
        <v>3404</v>
      </c>
      <c r="CB271" t="s">
        <v>3960</v>
      </c>
      <c r="CC271" s="42" t="s">
        <v>4521</v>
      </c>
      <c r="CJ271" t="s">
        <v>5169</v>
      </c>
      <c r="CK271" s="42" t="s">
        <v>5478</v>
      </c>
    </row>
    <row r="272" spans="63:89">
      <c r="BK272" t="s">
        <v>2486</v>
      </c>
      <c r="BN272" t="s">
        <v>3405</v>
      </c>
      <c r="CB272" t="s">
        <v>3961</v>
      </c>
      <c r="CC272" s="42" t="s">
        <v>4522</v>
      </c>
      <c r="CJ272" t="s">
        <v>5170</v>
      </c>
      <c r="CK272" s="42" t="s">
        <v>5479</v>
      </c>
    </row>
    <row r="273" spans="63:89">
      <c r="BK273" t="s">
        <v>2487</v>
      </c>
      <c r="BN273" t="s">
        <v>3406</v>
      </c>
      <c r="CB273" t="s">
        <v>3962</v>
      </c>
      <c r="CC273" s="42" t="s">
        <v>4523</v>
      </c>
      <c r="CJ273" t="s">
        <v>5171</v>
      </c>
      <c r="CK273" s="42" t="s">
        <v>5480</v>
      </c>
    </row>
    <row r="274" spans="63:89">
      <c r="BK274" t="s">
        <v>2488</v>
      </c>
      <c r="BN274" t="s">
        <v>3407</v>
      </c>
      <c r="CB274" t="s">
        <v>3963</v>
      </c>
      <c r="CC274" s="42" t="s">
        <v>4524</v>
      </c>
      <c r="CJ274" t="s">
        <v>5172</v>
      </c>
      <c r="CK274" s="42" t="s">
        <v>5481</v>
      </c>
    </row>
    <row r="275" spans="63:89">
      <c r="BK275" t="s">
        <v>2489</v>
      </c>
      <c r="BN275" t="s">
        <v>3408</v>
      </c>
      <c r="CB275" t="s">
        <v>3964</v>
      </c>
      <c r="CC275" s="42" t="s">
        <v>4525</v>
      </c>
      <c r="CJ275" t="s">
        <v>5173</v>
      </c>
      <c r="CK275" s="42" t="s">
        <v>5482</v>
      </c>
    </row>
    <row r="276" spans="63:89">
      <c r="BK276" t="s">
        <v>2490</v>
      </c>
      <c r="BN276" t="s">
        <v>3409</v>
      </c>
      <c r="CB276" t="s">
        <v>3965</v>
      </c>
      <c r="CC276" s="42" t="s">
        <v>4526</v>
      </c>
      <c r="CJ276" t="s">
        <v>5174</v>
      </c>
      <c r="CK276" s="42" t="s">
        <v>5483</v>
      </c>
    </row>
    <row r="277" spans="63:89">
      <c r="BK277" t="s">
        <v>2491</v>
      </c>
      <c r="BN277" t="s">
        <v>3410</v>
      </c>
      <c r="CB277" t="s">
        <v>3966</v>
      </c>
      <c r="CC277" s="42" t="s">
        <v>4527</v>
      </c>
      <c r="CJ277" t="s">
        <v>5175</v>
      </c>
      <c r="CK277" s="42" t="s">
        <v>5484</v>
      </c>
    </row>
    <row r="278" spans="63:89">
      <c r="BK278" t="s">
        <v>2492</v>
      </c>
      <c r="BN278" t="s">
        <v>3411</v>
      </c>
      <c r="CB278" t="s">
        <v>3967</v>
      </c>
      <c r="CC278" s="42" t="s">
        <v>4528</v>
      </c>
      <c r="CJ278" t="s">
        <v>5176</v>
      </c>
      <c r="CK278" s="42" t="s">
        <v>5485</v>
      </c>
    </row>
    <row r="279" spans="63:89">
      <c r="BK279" t="s">
        <v>2493</v>
      </c>
      <c r="BN279" t="s">
        <v>3412</v>
      </c>
      <c r="CB279" t="s">
        <v>3968</v>
      </c>
      <c r="CC279" s="42" t="s">
        <v>4529</v>
      </c>
      <c r="CJ279" t="s">
        <v>5177</v>
      </c>
      <c r="CK279" s="42" t="s">
        <v>5486</v>
      </c>
    </row>
    <row r="280" spans="63:89">
      <c r="BK280" t="s">
        <v>2494</v>
      </c>
      <c r="BN280" t="s">
        <v>3413</v>
      </c>
      <c r="CB280" t="s">
        <v>3969</v>
      </c>
      <c r="CC280" s="42" t="s">
        <v>4530</v>
      </c>
      <c r="CJ280" t="s">
        <v>5178</v>
      </c>
      <c r="CK280" s="42" t="s">
        <v>5487</v>
      </c>
    </row>
    <row r="281" spans="63:89">
      <c r="BK281" t="s">
        <v>2495</v>
      </c>
      <c r="BN281" t="s">
        <v>3414</v>
      </c>
      <c r="CB281" t="s">
        <v>3970</v>
      </c>
      <c r="CC281" s="42" t="s">
        <v>4531</v>
      </c>
      <c r="CJ281" t="s">
        <v>5179</v>
      </c>
      <c r="CK281" s="42" t="s">
        <v>5488</v>
      </c>
    </row>
    <row r="282" spans="63:89">
      <c r="BK282" t="s">
        <v>2496</v>
      </c>
      <c r="BN282" t="s">
        <v>3415</v>
      </c>
      <c r="CB282" t="s">
        <v>3971</v>
      </c>
      <c r="CC282" s="42" t="s">
        <v>4532</v>
      </c>
      <c r="CJ282" t="s">
        <v>5180</v>
      </c>
      <c r="CK282" s="42" t="s">
        <v>5489</v>
      </c>
    </row>
    <row r="283" spans="63:89">
      <c r="BK283" t="s">
        <v>2497</v>
      </c>
      <c r="BN283" t="s">
        <v>3416</v>
      </c>
      <c r="CB283" t="s">
        <v>3972</v>
      </c>
      <c r="CC283" s="42" t="s">
        <v>4533</v>
      </c>
      <c r="CJ283" t="s">
        <v>5181</v>
      </c>
      <c r="CK283" s="42" t="s">
        <v>5490</v>
      </c>
    </row>
    <row r="284" spans="63:89">
      <c r="BK284" t="s">
        <v>2498</v>
      </c>
      <c r="BN284" t="s">
        <v>3417</v>
      </c>
      <c r="CB284" t="s">
        <v>3973</v>
      </c>
      <c r="CC284" s="42" t="s">
        <v>4534</v>
      </c>
      <c r="CJ284" t="s">
        <v>5182</v>
      </c>
      <c r="CK284" s="42" t="s">
        <v>5491</v>
      </c>
    </row>
    <row r="285" spans="63:89">
      <c r="BK285" t="s">
        <v>2499</v>
      </c>
      <c r="BN285" t="s">
        <v>3418</v>
      </c>
      <c r="CB285" t="s">
        <v>3974</v>
      </c>
      <c r="CC285" s="42" t="s">
        <v>4535</v>
      </c>
      <c r="CJ285" t="s">
        <v>5183</v>
      </c>
      <c r="CK285" s="42" t="s">
        <v>5492</v>
      </c>
    </row>
    <row r="286" spans="63:89">
      <c r="BK286" t="s">
        <v>2500</v>
      </c>
      <c r="BN286" t="s">
        <v>3419</v>
      </c>
      <c r="CB286" t="s">
        <v>3975</v>
      </c>
      <c r="CC286" s="42" t="s">
        <v>4536</v>
      </c>
      <c r="CJ286" t="s">
        <v>5184</v>
      </c>
      <c r="CK286" s="42" t="s">
        <v>5493</v>
      </c>
    </row>
    <row r="287" spans="63:89">
      <c r="BK287" t="s">
        <v>2501</v>
      </c>
      <c r="BN287" t="s">
        <v>3420</v>
      </c>
      <c r="CB287" t="s">
        <v>3976</v>
      </c>
      <c r="CC287" s="42" t="s">
        <v>4537</v>
      </c>
      <c r="CJ287" t="s">
        <v>5185</v>
      </c>
      <c r="CK287" s="42" t="s">
        <v>5494</v>
      </c>
    </row>
    <row r="288" spans="63:89">
      <c r="BK288" t="s">
        <v>2502</v>
      </c>
      <c r="BN288" t="s">
        <v>3421</v>
      </c>
      <c r="CB288" t="s">
        <v>3977</v>
      </c>
      <c r="CC288" s="42" t="s">
        <v>4538</v>
      </c>
      <c r="CJ288" t="s">
        <v>5186</v>
      </c>
      <c r="CK288" s="42" t="s">
        <v>5495</v>
      </c>
    </row>
    <row r="289" spans="63:89">
      <c r="BK289" t="s">
        <v>2503</v>
      </c>
      <c r="BN289" t="s">
        <v>3422</v>
      </c>
      <c r="CB289" t="s">
        <v>3978</v>
      </c>
      <c r="CC289" s="42" t="s">
        <v>4539</v>
      </c>
      <c r="CJ289" t="s">
        <v>5187</v>
      </c>
      <c r="CK289" s="42" t="s">
        <v>5496</v>
      </c>
    </row>
    <row r="290" spans="63:89">
      <c r="BK290" t="s">
        <v>2504</v>
      </c>
      <c r="BN290" t="s">
        <v>3423</v>
      </c>
      <c r="CB290" t="s">
        <v>3979</v>
      </c>
      <c r="CC290" s="42" t="s">
        <v>4540</v>
      </c>
      <c r="CJ290" t="s">
        <v>5188</v>
      </c>
      <c r="CK290" s="42" t="s">
        <v>5497</v>
      </c>
    </row>
    <row r="291" spans="63:89">
      <c r="BK291" t="s">
        <v>2505</v>
      </c>
      <c r="BN291" t="s">
        <v>3424</v>
      </c>
      <c r="CB291" t="s">
        <v>3980</v>
      </c>
      <c r="CC291" s="42" t="s">
        <v>4541</v>
      </c>
      <c r="CJ291" t="s">
        <v>5189</v>
      </c>
      <c r="CK291" s="42" t="s">
        <v>5498</v>
      </c>
    </row>
    <row r="292" spans="63:89">
      <c r="BK292" t="s">
        <v>2506</v>
      </c>
      <c r="BN292" t="s">
        <v>3425</v>
      </c>
      <c r="CB292" t="s">
        <v>3981</v>
      </c>
      <c r="CC292" s="42" t="s">
        <v>4542</v>
      </c>
      <c r="CJ292" t="s">
        <v>5190</v>
      </c>
      <c r="CK292" s="42" t="s">
        <v>5499</v>
      </c>
    </row>
    <row r="293" spans="63:89">
      <c r="BK293" t="s">
        <v>2507</v>
      </c>
      <c r="BN293" t="s">
        <v>3426</v>
      </c>
      <c r="CB293" t="s">
        <v>3982</v>
      </c>
      <c r="CC293" s="42" t="s">
        <v>4543</v>
      </c>
      <c r="CJ293" t="s">
        <v>5191</v>
      </c>
      <c r="CK293" s="42" t="s">
        <v>5500</v>
      </c>
    </row>
    <row r="294" spans="63:89">
      <c r="BK294" t="s">
        <v>2508</v>
      </c>
      <c r="BN294" t="s">
        <v>3427</v>
      </c>
      <c r="CB294" t="s">
        <v>3983</v>
      </c>
      <c r="CC294" s="42" t="s">
        <v>4544</v>
      </c>
      <c r="CJ294" t="s">
        <v>5192</v>
      </c>
      <c r="CK294" s="42" t="s">
        <v>5501</v>
      </c>
    </row>
    <row r="295" spans="63:89">
      <c r="BK295" t="s">
        <v>2509</v>
      </c>
      <c r="BN295" t="s">
        <v>3428</v>
      </c>
      <c r="CB295" t="s">
        <v>3984</v>
      </c>
      <c r="CC295" s="42" t="s">
        <v>4545</v>
      </c>
      <c r="CJ295" t="s">
        <v>5193</v>
      </c>
      <c r="CK295" s="42" t="s">
        <v>5502</v>
      </c>
    </row>
    <row r="296" spans="63:89">
      <c r="BK296" t="s">
        <v>2510</v>
      </c>
      <c r="BN296" t="s">
        <v>3429</v>
      </c>
      <c r="CB296" t="s">
        <v>3985</v>
      </c>
      <c r="CC296" s="42" t="s">
        <v>4546</v>
      </c>
      <c r="CJ296" t="s">
        <v>5194</v>
      </c>
      <c r="CK296" s="42" t="s">
        <v>5503</v>
      </c>
    </row>
    <row r="297" spans="63:89">
      <c r="BK297" t="s">
        <v>2511</v>
      </c>
      <c r="BN297" t="s">
        <v>3430</v>
      </c>
      <c r="CB297" t="s">
        <v>3986</v>
      </c>
      <c r="CC297" s="42" t="s">
        <v>4547</v>
      </c>
      <c r="CJ297" t="s">
        <v>5195</v>
      </c>
      <c r="CK297" s="42" t="s">
        <v>5504</v>
      </c>
    </row>
    <row r="298" spans="63:89">
      <c r="BK298" t="s">
        <v>2512</v>
      </c>
      <c r="BN298" t="s">
        <v>3431</v>
      </c>
      <c r="CB298" t="s">
        <v>3987</v>
      </c>
      <c r="CC298" s="42" t="s">
        <v>4548</v>
      </c>
      <c r="CJ298" t="s">
        <v>5196</v>
      </c>
      <c r="CK298" s="42" t="s">
        <v>5505</v>
      </c>
    </row>
    <row r="299" spans="63:89">
      <c r="BK299" t="s">
        <v>2513</v>
      </c>
      <c r="BN299" t="s">
        <v>3432</v>
      </c>
      <c r="CB299" t="s">
        <v>3988</v>
      </c>
      <c r="CC299" s="42" t="s">
        <v>4549</v>
      </c>
      <c r="CJ299" t="s">
        <v>5197</v>
      </c>
      <c r="CK299" s="42" t="s">
        <v>5506</v>
      </c>
    </row>
    <row r="300" spans="63:89">
      <c r="BK300" t="s">
        <v>2514</v>
      </c>
      <c r="BN300" t="s">
        <v>3433</v>
      </c>
      <c r="CB300" t="s">
        <v>3989</v>
      </c>
      <c r="CC300" s="42" t="s">
        <v>4550</v>
      </c>
      <c r="CJ300" t="s">
        <v>5198</v>
      </c>
      <c r="CK300" s="42" t="s">
        <v>5507</v>
      </c>
    </row>
    <row r="301" spans="63:89">
      <c r="BK301" t="s">
        <v>2515</v>
      </c>
      <c r="BN301" t="s">
        <v>3434</v>
      </c>
      <c r="CB301" t="s">
        <v>3990</v>
      </c>
      <c r="CC301" s="42" t="s">
        <v>4551</v>
      </c>
      <c r="CJ301" t="s">
        <v>5199</v>
      </c>
      <c r="CK301" s="42" t="s">
        <v>5508</v>
      </c>
    </row>
    <row r="302" spans="63:89">
      <c r="BK302" t="s">
        <v>2516</v>
      </c>
      <c r="BN302" t="s">
        <v>3435</v>
      </c>
      <c r="CB302" t="s">
        <v>3991</v>
      </c>
      <c r="CC302" s="42" t="s">
        <v>4552</v>
      </c>
      <c r="CJ302" t="s">
        <v>5200</v>
      </c>
      <c r="CK302" s="42" t="s">
        <v>5509</v>
      </c>
    </row>
    <row r="303" spans="63:89">
      <c r="BK303" t="s">
        <v>2517</v>
      </c>
      <c r="BN303" t="s">
        <v>3436</v>
      </c>
      <c r="CB303" t="s">
        <v>3992</v>
      </c>
      <c r="CC303" s="42" t="s">
        <v>4553</v>
      </c>
      <c r="CJ303" t="s">
        <v>5201</v>
      </c>
      <c r="CK303" s="42" t="s">
        <v>5510</v>
      </c>
    </row>
    <row r="304" spans="63:89">
      <c r="BK304" t="s">
        <v>2518</v>
      </c>
      <c r="BN304" t="s">
        <v>3437</v>
      </c>
      <c r="CB304" t="s">
        <v>3993</v>
      </c>
      <c r="CC304" s="42" t="s">
        <v>4554</v>
      </c>
      <c r="CJ304" t="s">
        <v>5202</v>
      </c>
      <c r="CK304" s="42" t="s">
        <v>5511</v>
      </c>
    </row>
    <row r="305" spans="63:89">
      <c r="BK305" t="s">
        <v>2519</v>
      </c>
      <c r="BN305" t="s">
        <v>3438</v>
      </c>
      <c r="CB305" t="s">
        <v>3994</v>
      </c>
      <c r="CC305" s="42" t="s">
        <v>4555</v>
      </c>
      <c r="CJ305" t="s">
        <v>5203</v>
      </c>
      <c r="CK305" s="42" t="s">
        <v>5512</v>
      </c>
    </row>
    <row r="306" spans="63:89">
      <c r="BK306" t="s">
        <v>2520</v>
      </c>
      <c r="BN306" t="s">
        <v>3439</v>
      </c>
      <c r="CB306" t="s">
        <v>3995</v>
      </c>
      <c r="CC306" s="42" t="s">
        <v>4556</v>
      </c>
      <c r="CJ306" t="s">
        <v>5204</v>
      </c>
      <c r="CK306" s="42" t="s">
        <v>5513</v>
      </c>
    </row>
    <row r="307" spans="63:89">
      <c r="BK307" t="s">
        <v>2521</v>
      </c>
      <c r="BN307" t="s">
        <v>3440</v>
      </c>
      <c r="CB307" t="s">
        <v>3996</v>
      </c>
      <c r="CC307" s="42" t="s">
        <v>4557</v>
      </c>
      <c r="CJ307" t="s">
        <v>5205</v>
      </c>
      <c r="CK307" s="42" t="s">
        <v>5514</v>
      </c>
    </row>
    <row r="308" spans="63:89">
      <c r="BK308" t="s">
        <v>2522</v>
      </c>
      <c r="BN308" t="s">
        <v>3441</v>
      </c>
      <c r="CB308" t="s">
        <v>3997</v>
      </c>
      <c r="CC308" s="42" t="s">
        <v>4558</v>
      </c>
      <c r="CJ308" t="s">
        <v>5206</v>
      </c>
      <c r="CK308" s="42" t="s">
        <v>5515</v>
      </c>
    </row>
    <row r="309" spans="63:89">
      <c r="BK309" t="s">
        <v>2523</v>
      </c>
      <c r="BN309" t="s">
        <v>3442</v>
      </c>
      <c r="CB309" t="s">
        <v>3998</v>
      </c>
      <c r="CC309" s="42" t="s">
        <v>4559</v>
      </c>
      <c r="CJ309" t="s">
        <v>5207</v>
      </c>
      <c r="CK309" s="42" t="s">
        <v>5516</v>
      </c>
    </row>
    <row r="310" spans="63:89">
      <c r="BK310" t="s">
        <v>2524</v>
      </c>
      <c r="BN310" t="s">
        <v>525</v>
      </c>
      <c r="CB310" t="s">
        <v>3999</v>
      </c>
      <c r="CC310" s="42" t="s">
        <v>4560</v>
      </c>
      <c r="CJ310" t="s">
        <v>5208</v>
      </c>
      <c r="CK310" s="42" t="s">
        <v>5517</v>
      </c>
    </row>
    <row r="311" spans="63:89">
      <c r="BK311" t="s">
        <v>2525</v>
      </c>
      <c r="BN311" t="s">
        <v>3443</v>
      </c>
      <c r="CB311" t="s">
        <v>4000</v>
      </c>
      <c r="CC311" s="42" t="s">
        <v>4561</v>
      </c>
      <c r="CJ311" t="s">
        <v>974</v>
      </c>
      <c r="CK311" s="42" t="s">
        <v>977</v>
      </c>
    </row>
    <row r="312" spans="63:89">
      <c r="BK312" t="s">
        <v>2526</v>
      </c>
      <c r="BN312" t="s">
        <v>3444</v>
      </c>
      <c r="CB312" t="s">
        <v>4001</v>
      </c>
      <c r="CC312" s="42" t="s">
        <v>4562</v>
      </c>
      <c r="CJ312" t="s">
        <v>787</v>
      </c>
      <c r="CK312" s="42" t="s">
        <v>819</v>
      </c>
    </row>
    <row r="313" spans="63:89">
      <c r="BK313" t="s">
        <v>2527</v>
      </c>
      <c r="BN313" t="s">
        <v>3445</v>
      </c>
      <c r="CB313" t="s">
        <v>4002</v>
      </c>
      <c r="CC313" s="42" t="s">
        <v>4563</v>
      </c>
    </row>
    <row r="314" spans="63:89">
      <c r="BK314" t="s">
        <v>2528</v>
      </c>
      <c r="BN314" t="s">
        <v>3446</v>
      </c>
      <c r="CB314" t="s">
        <v>4003</v>
      </c>
      <c r="CC314" s="42" t="s">
        <v>4564</v>
      </c>
    </row>
    <row r="315" spans="63:89">
      <c r="BK315" t="s">
        <v>2529</v>
      </c>
      <c r="BN315" t="s">
        <v>3447</v>
      </c>
      <c r="CB315" t="s">
        <v>4004</v>
      </c>
      <c r="CC315" s="42" t="s">
        <v>4565</v>
      </c>
    </row>
    <row r="316" spans="63:89">
      <c r="BK316" t="s">
        <v>2530</v>
      </c>
      <c r="BN316" t="s">
        <v>3448</v>
      </c>
      <c r="CB316" t="s">
        <v>4005</v>
      </c>
      <c r="CC316" s="42" t="s">
        <v>4566</v>
      </c>
    </row>
    <row r="317" spans="63:89">
      <c r="BK317" t="s">
        <v>2531</v>
      </c>
      <c r="BN317" t="s">
        <v>3449</v>
      </c>
      <c r="CB317" t="s">
        <v>4006</v>
      </c>
      <c r="CC317" s="42" t="s">
        <v>4567</v>
      </c>
    </row>
    <row r="318" spans="63:89">
      <c r="BK318" t="s">
        <v>2532</v>
      </c>
      <c r="BN318" t="s">
        <v>3450</v>
      </c>
      <c r="CB318" t="s">
        <v>4007</v>
      </c>
      <c r="CC318" s="42" t="s">
        <v>4568</v>
      </c>
    </row>
    <row r="319" spans="63:89">
      <c r="BK319" t="s">
        <v>2533</v>
      </c>
      <c r="BN319" t="s">
        <v>3451</v>
      </c>
      <c r="CB319" t="s">
        <v>4008</v>
      </c>
      <c r="CC319" s="42" t="s">
        <v>4569</v>
      </c>
    </row>
    <row r="320" spans="63:89">
      <c r="BK320" t="s">
        <v>2534</v>
      </c>
      <c r="BN320" t="s">
        <v>3452</v>
      </c>
      <c r="CB320" t="s">
        <v>4009</v>
      </c>
      <c r="CC320" s="42" t="s">
        <v>4570</v>
      </c>
    </row>
    <row r="321" spans="63:81">
      <c r="BK321" t="s">
        <v>2535</v>
      </c>
      <c r="BN321" t="s">
        <v>3453</v>
      </c>
      <c r="CB321" t="s">
        <v>4010</v>
      </c>
      <c r="CC321" s="42" t="s">
        <v>4571</v>
      </c>
    </row>
    <row r="322" spans="63:81">
      <c r="BK322" t="s">
        <v>2536</v>
      </c>
      <c r="BN322" t="s">
        <v>3454</v>
      </c>
      <c r="CB322" t="s">
        <v>4011</v>
      </c>
      <c r="CC322" s="42" t="s">
        <v>4572</v>
      </c>
    </row>
    <row r="323" spans="63:81">
      <c r="BK323" t="s">
        <v>2537</v>
      </c>
      <c r="BN323" t="s">
        <v>3455</v>
      </c>
      <c r="CB323" t="s">
        <v>4012</v>
      </c>
      <c r="CC323" s="42" t="s">
        <v>4573</v>
      </c>
    </row>
    <row r="324" spans="63:81">
      <c r="BK324" t="s">
        <v>2538</v>
      </c>
      <c r="BN324" t="s">
        <v>3456</v>
      </c>
      <c r="CB324" t="s">
        <v>4013</v>
      </c>
      <c r="CC324" s="42" t="s">
        <v>4574</v>
      </c>
    </row>
    <row r="325" spans="63:81">
      <c r="BK325" t="s">
        <v>2539</v>
      </c>
      <c r="BN325" t="s">
        <v>3457</v>
      </c>
      <c r="CB325" t="s">
        <v>4014</v>
      </c>
      <c r="CC325" s="42" t="s">
        <v>4575</v>
      </c>
    </row>
    <row r="326" spans="63:81">
      <c r="BK326" t="s">
        <v>2540</v>
      </c>
      <c r="BN326" t="s">
        <v>3458</v>
      </c>
      <c r="CB326" t="s">
        <v>4015</v>
      </c>
      <c r="CC326" s="42" t="s">
        <v>4576</v>
      </c>
    </row>
    <row r="327" spans="63:81">
      <c r="BK327" t="s">
        <v>2541</v>
      </c>
      <c r="BN327" t="s">
        <v>3459</v>
      </c>
      <c r="CB327" t="s">
        <v>4016</v>
      </c>
      <c r="CC327" s="42" t="s">
        <v>4577</v>
      </c>
    </row>
    <row r="328" spans="63:81">
      <c r="BK328" t="s">
        <v>2542</v>
      </c>
      <c r="BN328" t="s">
        <v>3460</v>
      </c>
      <c r="CB328" t="s">
        <v>4017</v>
      </c>
      <c r="CC328" s="42" t="s">
        <v>4578</v>
      </c>
    </row>
    <row r="329" spans="63:81">
      <c r="BK329" t="s">
        <v>2543</v>
      </c>
      <c r="BN329" t="s">
        <v>3461</v>
      </c>
      <c r="CB329" t="s">
        <v>4018</v>
      </c>
      <c r="CC329" s="42" t="s">
        <v>4579</v>
      </c>
    </row>
    <row r="330" spans="63:81">
      <c r="BK330" t="s">
        <v>2544</v>
      </c>
      <c r="BN330" t="s">
        <v>3462</v>
      </c>
      <c r="CB330" t="s">
        <v>4019</v>
      </c>
      <c r="CC330" s="42" t="s">
        <v>4580</v>
      </c>
    </row>
    <row r="331" spans="63:81">
      <c r="BK331" t="s">
        <v>2545</v>
      </c>
      <c r="BN331" t="s">
        <v>3463</v>
      </c>
      <c r="CB331" t="s">
        <v>4020</v>
      </c>
      <c r="CC331" s="42" t="s">
        <v>4581</v>
      </c>
    </row>
    <row r="332" spans="63:81">
      <c r="BK332" t="s">
        <v>2546</v>
      </c>
      <c r="BN332" t="s">
        <v>3464</v>
      </c>
      <c r="CB332" t="s">
        <v>4021</v>
      </c>
      <c r="CC332" s="42" t="s">
        <v>4582</v>
      </c>
    </row>
    <row r="333" spans="63:81">
      <c r="BK333" t="s">
        <v>2547</v>
      </c>
      <c r="BN333" t="s">
        <v>3465</v>
      </c>
      <c r="CB333" t="s">
        <v>4022</v>
      </c>
      <c r="CC333" s="42" t="s">
        <v>4583</v>
      </c>
    </row>
    <row r="334" spans="63:81">
      <c r="BK334" t="s">
        <v>2548</v>
      </c>
      <c r="BN334" t="s">
        <v>3466</v>
      </c>
      <c r="CB334" t="s">
        <v>4023</v>
      </c>
      <c r="CC334" s="42" t="s">
        <v>4584</v>
      </c>
    </row>
    <row r="335" spans="63:81">
      <c r="BK335" t="s">
        <v>2549</v>
      </c>
      <c r="BN335" t="s">
        <v>3467</v>
      </c>
      <c r="CB335" t="s">
        <v>4024</v>
      </c>
      <c r="CC335" s="42" t="s">
        <v>4585</v>
      </c>
    </row>
    <row r="336" spans="63:81">
      <c r="BK336" t="s">
        <v>2550</v>
      </c>
      <c r="BN336" t="s">
        <v>3468</v>
      </c>
      <c r="CB336" t="s">
        <v>4025</v>
      </c>
      <c r="CC336" s="42" t="s">
        <v>4586</v>
      </c>
    </row>
    <row r="337" spans="63:81">
      <c r="BK337" t="s">
        <v>2551</v>
      </c>
      <c r="BN337" t="s">
        <v>3469</v>
      </c>
      <c r="CB337" t="s">
        <v>4026</v>
      </c>
      <c r="CC337" s="42" t="s">
        <v>4587</v>
      </c>
    </row>
    <row r="338" spans="63:81">
      <c r="BK338" t="s">
        <v>2552</v>
      </c>
      <c r="BN338" t="s">
        <v>3470</v>
      </c>
      <c r="CB338" t="s">
        <v>4027</v>
      </c>
      <c r="CC338" s="42" t="s">
        <v>4588</v>
      </c>
    </row>
    <row r="339" spans="63:81">
      <c r="BK339" t="s">
        <v>2553</v>
      </c>
      <c r="BN339" t="s">
        <v>3471</v>
      </c>
      <c r="CB339" t="s">
        <v>4028</v>
      </c>
      <c r="CC339" s="42" t="s">
        <v>4589</v>
      </c>
    </row>
    <row r="340" spans="63:81">
      <c r="BK340" t="s">
        <v>2554</v>
      </c>
      <c r="BN340" t="s">
        <v>3472</v>
      </c>
      <c r="CB340" t="s">
        <v>4029</v>
      </c>
      <c r="CC340" s="42" t="s">
        <v>4590</v>
      </c>
    </row>
    <row r="341" spans="63:81">
      <c r="BK341" t="s">
        <v>2555</v>
      </c>
      <c r="BN341" t="s">
        <v>3473</v>
      </c>
      <c r="CB341" t="s">
        <v>4030</v>
      </c>
      <c r="CC341" s="42" t="s">
        <v>4591</v>
      </c>
    </row>
    <row r="342" spans="63:81">
      <c r="BK342" t="s">
        <v>2556</v>
      </c>
      <c r="BN342" t="s">
        <v>3474</v>
      </c>
      <c r="CB342" t="s">
        <v>4031</v>
      </c>
      <c r="CC342" s="42" t="s">
        <v>4592</v>
      </c>
    </row>
    <row r="343" spans="63:81">
      <c r="BK343" t="s">
        <v>2557</v>
      </c>
      <c r="BN343" t="s">
        <v>3475</v>
      </c>
      <c r="CB343" t="s">
        <v>4032</v>
      </c>
      <c r="CC343" s="42" t="s">
        <v>4593</v>
      </c>
    </row>
    <row r="344" spans="63:81">
      <c r="BK344" t="s">
        <v>2558</v>
      </c>
      <c r="BN344" t="s">
        <v>3476</v>
      </c>
      <c r="CB344" t="s">
        <v>4033</v>
      </c>
      <c r="CC344" s="42" t="s">
        <v>4594</v>
      </c>
    </row>
    <row r="345" spans="63:81">
      <c r="BK345" t="s">
        <v>2559</v>
      </c>
      <c r="BN345" t="s">
        <v>3477</v>
      </c>
      <c r="CB345" t="s">
        <v>4034</v>
      </c>
      <c r="CC345" s="42" t="s">
        <v>4595</v>
      </c>
    </row>
    <row r="346" spans="63:81">
      <c r="BK346" t="s">
        <v>2560</v>
      </c>
      <c r="BN346" t="s">
        <v>3478</v>
      </c>
      <c r="CB346" t="s">
        <v>4035</v>
      </c>
      <c r="CC346" s="42" t="s">
        <v>4596</v>
      </c>
    </row>
    <row r="347" spans="63:81">
      <c r="BK347" t="s">
        <v>2561</v>
      </c>
      <c r="BN347" t="s">
        <v>3479</v>
      </c>
      <c r="CB347" t="s">
        <v>4036</v>
      </c>
      <c r="CC347" s="42" t="s">
        <v>4597</v>
      </c>
    </row>
    <row r="348" spans="63:81">
      <c r="BK348" t="s">
        <v>2562</v>
      </c>
      <c r="BN348" t="s">
        <v>3480</v>
      </c>
      <c r="CB348" t="s">
        <v>4037</v>
      </c>
      <c r="CC348" s="42" t="s">
        <v>4598</v>
      </c>
    </row>
    <row r="349" spans="63:81">
      <c r="BK349" t="s">
        <v>2563</v>
      </c>
      <c r="BN349" t="s">
        <v>3481</v>
      </c>
      <c r="CB349" t="s">
        <v>4038</v>
      </c>
      <c r="CC349" s="42" t="s">
        <v>4599</v>
      </c>
    </row>
    <row r="350" spans="63:81">
      <c r="BK350" t="s">
        <v>2564</v>
      </c>
      <c r="BN350" t="s">
        <v>3482</v>
      </c>
      <c r="CB350" t="s">
        <v>4039</v>
      </c>
      <c r="CC350" s="42" t="s">
        <v>4600</v>
      </c>
    </row>
    <row r="351" spans="63:81">
      <c r="BK351" t="s">
        <v>2565</v>
      </c>
      <c r="BN351" t="s">
        <v>3483</v>
      </c>
      <c r="CB351" t="s">
        <v>4040</v>
      </c>
      <c r="CC351" s="42" t="s">
        <v>4601</v>
      </c>
    </row>
    <row r="352" spans="63:81">
      <c r="BK352" t="s">
        <v>2566</v>
      </c>
      <c r="BN352" t="s">
        <v>3484</v>
      </c>
      <c r="CB352" t="s">
        <v>4041</v>
      </c>
      <c r="CC352" s="42" t="s">
        <v>4602</v>
      </c>
    </row>
    <row r="353" spans="63:81">
      <c r="BK353" t="s">
        <v>2567</v>
      </c>
      <c r="BN353" t="s">
        <v>3485</v>
      </c>
      <c r="CB353" t="s">
        <v>4042</v>
      </c>
      <c r="CC353" s="42" t="s">
        <v>4603</v>
      </c>
    </row>
    <row r="354" spans="63:81">
      <c r="BK354" t="s">
        <v>2568</v>
      </c>
      <c r="BN354" t="s">
        <v>3486</v>
      </c>
      <c r="CB354" t="s">
        <v>4043</v>
      </c>
      <c r="CC354" s="42" t="s">
        <v>4604</v>
      </c>
    </row>
    <row r="355" spans="63:81">
      <c r="BK355" t="s">
        <v>2569</v>
      </c>
      <c r="BN355" t="s">
        <v>3487</v>
      </c>
      <c r="CB355" t="s">
        <v>4044</v>
      </c>
      <c r="CC355" s="42" t="s">
        <v>4605</v>
      </c>
    </row>
    <row r="356" spans="63:81">
      <c r="BK356" t="s">
        <v>2570</v>
      </c>
      <c r="BN356" t="s">
        <v>3488</v>
      </c>
      <c r="CB356" t="s">
        <v>4045</v>
      </c>
      <c r="CC356" s="42" t="s">
        <v>4606</v>
      </c>
    </row>
    <row r="357" spans="63:81">
      <c r="BK357" t="s">
        <v>2571</v>
      </c>
      <c r="BN357" t="s">
        <v>3489</v>
      </c>
      <c r="CB357" t="s">
        <v>4046</v>
      </c>
      <c r="CC357" s="42" t="s">
        <v>4607</v>
      </c>
    </row>
    <row r="358" spans="63:81">
      <c r="BK358" t="s">
        <v>2572</v>
      </c>
      <c r="BN358" t="s">
        <v>3490</v>
      </c>
      <c r="CB358" t="s">
        <v>4047</v>
      </c>
      <c r="CC358" s="42" t="s">
        <v>4608</v>
      </c>
    </row>
    <row r="359" spans="63:81">
      <c r="BK359" t="s">
        <v>2573</v>
      </c>
      <c r="BN359" t="s">
        <v>3491</v>
      </c>
      <c r="CB359" t="s">
        <v>4048</v>
      </c>
      <c r="CC359" s="42" t="s">
        <v>4609</v>
      </c>
    </row>
    <row r="360" spans="63:81">
      <c r="BK360" t="s">
        <v>2574</v>
      </c>
      <c r="BN360" t="s">
        <v>3492</v>
      </c>
      <c r="CB360" t="s">
        <v>4049</v>
      </c>
      <c r="CC360" s="42" t="s">
        <v>4610</v>
      </c>
    </row>
    <row r="361" spans="63:81">
      <c r="BK361" t="s">
        <v>2575</v>
      </c>
      <c r="BN361" t="s">
        <v>3493</v>
      </c>
      <c r="CB361" t="s">
        <v>4050</v>
      </c>
      <c r="CC361" s="42" t="s">
        <v>4611</v>
      </c>
    </row>
    <row r="362" spans="63:81">
      <c r="BK362" t="s">
        <v>2576</v>
      </c>
      <c r="BN362" t="s">
        <v>3494</v>
      </c>
      <c r="CB362" t="s">
        <v>4051</v>
      </c>
      <c r="CC362" s="42" t="s">
        <v>4612</v>
      </c>
    </row>
    <row r="363" spans="63:81">
      <c r="BK363" t="s">
        <v>2577</v>
      </c>
      <c r="BN363" t="s">
        <v>3495</v>
      </c>
      <c r="CB363" t="s">
        <v>4052</v>
      </c>
      <c r="CC363" s="42" t="s">
        <v>4613</v>
      </c>
    </row>
    <row r="364" spans="63:81">
      <c r="BK364" t="s">
        <v>2578</v>
      </c>
      <c r="BN364" t="s">
        <v>3496</v>
      </c>
      <c r="CB364" t="s">
        <v>4053</v>
      </c>
      <c r="CC364" s="42" t="s">
        <v>4614</v>
      </c>
    </row>
    <row r="365" spans="63:81">
      <c r="BK365" t="s">
        <v>2579</v>
      </c>
      <c r="BN365" t="s">
        <v>3497</v>
      </c>
      <c r="CB365" t="s">
        <v>4054</v>
      </c>
      <c r="CC365" s="42" t="s">
        <v>4615</v>
      </c>
    </row>
    <row r="366" spans="63:81">
      <c r="BK366" t="s">
        <v>2580</v>
      </c>
      <c r="BN366" t="s">
        <v>3498</v>
      </c>
      <c r="CB366" t="s">
        <v>4055</v>
      </c>
      <c r="CC366" s="42" t="s">
        <v>4616</v>
      </c>
    </row>
    <row r="367" spans="63:81">
      <c r="BK367" t="s">
        <v>2581</v>
      </c>
      <c r="BN367" t="s">
        <v>3499</v>
      </c>
      <c r="CB367" t="s">
        <v>4056</v>
      </c>
      <c r="CC367" s="42" t="s">
        <v>4617</v>
      </c>
    </row>
    <row r="368" spans="63:81">
      <c r="BK368" t="s">
        <v>2582</v>
      </c>
      <c r="BN368" t="s">
        <v>3500</v>
      </c>
      <c r="CB368" t="s">
        <v>4057</v>
      </c>
      <c r="CC368" s="42" t="s">
        <v>4618</v>
      </c>
    </row>
    <row r="369" spans="63:81">
      <c r="BK369" t="s">
        <v>2583</v>
      </c>
      <c r="BN369" t="s">
        <v>3501</v>
      </c>
      <c r="CB369" t="s">
        <v>4058</v>
      </c>
      <c r="CC369" s="42" t="s">
        <v>4619</v>
      </c>
    </row>
    <row r="370" spans="63:81">
      <c r="BK370" t="s">
        <v>2584</v>
      </c>
      <c r="BN370" t="s">
        <v>3502</v>
      </c>
      <c r="CB370" t="s">
        <v>4059</v>
      </c>
      <c r="CC370" s="42" t="s">
        <v>4620</v>
      </c>
    </row>
    <row r="371" spans="63:81">
      <c r="BK371" t="s">
        <v>2585</v>
      </c>
      <c r="BN371" t="s">
        <v>3503</v>
      </c>
      <c r="CB371" t="s">
        <v>4060</v>
      </c>
      <c r="CC371" s="42" t="s">
        <v>4621</v>
      </c>
    </row>
    <row r="372" spans="63:81">
      <c r="BK372" t="s">
        <v>2586</v>
      </c>
      <c r="BN372" t="s">
        <v>3504</v>
      </c>
      <c r="CB372" t="s">
        <v>4061</v>
      </c>
      <c r="CC372" s="42" t="s">
        <v>4622</v>
      </c>
    </row>
    <row r="373" spans="63:81">
      <c r="BK373" t="s">
        <v>2587</v>
      </c>
      <c r="BN373" t="s">
        <v>3505</v>
      </c>
      <c r="CB373" t="s">
        <v>4062</v>
      </c>
      <c r="CC373" s="42" t="s">
        <v>4623</v>
      </c>
    </row>
    <row r="374" spans="63:81">
      <c r="BK374" t="s">
        <v>2588</v>
      </c>
      <c r="BN374" t="s">
        <v>3506</v>
      </c>
      <c r="CB374" t="s">
        <v>4063</v>
      </c>
      <c r="CC374" s="42" t="s">
        <v>4624</v>
      </c>
    </row>
    <row r="375" spans="63:81">
      <c r="BK375" t="s">
        <v>2589</v>
      </c>
      <c r="BN375" t="s">
        <v>3507</v>
      </c>
      <c r="CB375" t="s">
        <v>4064</v>
      </c>
      <c r="CC375" s="42" t="s">
        <v>4625</v>
      </c>
    </row>
    <row r="376" spans="63:81">
      <c r="BK376" t="s">
        <v>2590</v>
      </c>
      <c r="BN376" t="s">
        <v>3508</v>
      </c>
      <c r="CB376" t="s">
        <v>4065</v>
      </c>
      <c r="CC376" s="42" t="s">
        <v>4626</v>
      </c>
    </row>
    <row r="377" spans="63:81">
      <c r="BK377" t="s">
        <v>2591</v>
      </c>
      <c r="BN377" t="s">
        <v>3509</v>
      </c>
      <c r="CB377" t="s">
        <v>4066</v>
      </c>
      <c r="CC377" s="42" t="s">
        <v>4627</v>
      </c>
    </row>
    <row r="378" spans="63:81">
      <c r="BK378" t="s">
        <v>2592</v>
      </c>
      <c r="BN378" t="s">
        <v>3510</v>
      </c>
      <c r="CB378" t="s">
        <v>4067</v>
      </c>
      <c r="CC378" s="42" t="s">
        <v>4628</v>
      </c>
    </row>
    <row r="379" spans="63:81">
      <c r="BK379" t="s">
        <v>2593</v>
      </c>
      <c r="BN379" t="s">
        <v>3511</v>
      </c>
      <c r="CB379" t="s">
        <v>4068</v>
      </c>
      <c r="CC379" s="42" t="s">
        <v>4629</v>
      </c>
    </row>
    <row r="380" spans="63:81">
      <c r="BK380" t="s">
        <v>2594</v>
      </c>
      <c r="BN380" t="s">
        <v>3512</v>
      </c>
      <c r="CB380" t="s">
        <v>4069</v>
      </c>
      <c r="CC380" s="42" t="s">
        <v>4630</v>
      </c>
    </row>
    <row r="381" spans="63:81">
      <c r="BK381" t="s">
        <v>2595</v>
      </c>
      <c r="BN381" t="s">
        <v>3513</v>
      </c>
      <c r="CB381" t="s">
        <v>4070</v>
      </c>
      <c r="CC381" s="42" t="s">
        <v>4631</v>
      </c>
    </row>
    <row r="382" spans="63:81">
      <c r="BK382" t="s">
        <v>2596</v>
      </c>
      <c r="BN382" t="s">
        <v>3514</v>
      </c>
      <c r="CB382" t="s">
        <v>4071</v>
      </c>
      <c r="CC382" s="42" t="s">
        <v>4632</v>
      </c>
    </row>
    <row r="383" spans="63:81">
      <c r="BK383" t="s">
        <v>2597</v>
      </c>
      <c r="BN383" t="s">
        <v>3515</v>
      </c>
      <c r="CB383" t="s">
        <v>4072</v>
      </c>
      <c r="CC383" s="42" t="s">
        <v>4633</v>
      </c>
    </row>
    <row r="384" spans="63:81">
      <c r="BK384" t="s">
        <v>2598</v>
      </c>
      <c r="BN384" t="s">
        <v>3516</v>
      </c>
      <c r="CB384" t="s">
        <v>4073</v>
      </c>
      <c r="CC384" s="42" t="s">
        <v>4634</v>
      </c>
    </row>
    <row r="385" spans="63:81">
      <c r="BK385" t="s">
        <v>2599</v>
      </c>
      <c r="BN385" t="s">
        <v>3517</v>
      </c>
      <c r="CB385" t="s">
        <v>4074</v>
      </c>
      <c r="CC385" s="42" t="s">
        <v>4611</v>
      </c>
    </row>
    <row r="386" spans="63:81">
      <c r="BK386" t="s">
        <v>2600</v>
      </c>
      <c r="BN386" t="s">
        <v>3518</v>
      </c>
      <c r="CB386" t="s">
        <v>4075</v>
      </c>
      <c r="CC386" s="42" t="s">
        <v>4635</v>
      </c>
    </row>
    <row r="387" spans="63:81">
      <c r="BK387" t="s">
        <v>2601</v>
      </c>
      <c r="BN387" t="s">
        <v>3519</v>
      </c>
      <c r="CB387" t="s">
        <v>4076</v>
      </c>
      <c r="CC387" s="42" t="s">
        <v>4636</v>
      </c>
    </row>
    <row r="388" spans="63:81">
      <c r="BK388" t="s">
        <v>2602</v>
      </c>
      <c r="BN388" t="s">
        <v>3520</v>
      </c>
      <c r="CB388" t="s">
        <v>4077</v>
      </c>
      <c r="CC388" s="42" t="s">
        <v>4637</v>
      </c>
    </row>
    <row r="389" spans="63:81">
      <c r="BK389" t="s">
        <v>2603</v>
      </c>
      <c r="BN389" t="s">
        <v>3521</v>
      </c>
      <c r="CB389" t="s">
        <v>4078</v>
      </c>
      <c r="CC389" s="42" t="s">
        <v>4638</v>
      </c>
    </row>
    <row r="390" spans="63:81">
      <c r="BK390" t="s">
        <v>2604</v>
      </c>
      <c r="BN390" t="s">
        <v>3522</v>
      </c>
      <c r="CB390" t="s">
        <v>4079</v>
      </c>
      <c r="CC390" s="42" t="s">
        <v>4639</v>
      </c>
    </row>
    <row r="391" spans="63:81">
      <c r="BK391" t="s">
        <v>2605</v>
      </c>
      <c r="BN391" t="s">
        <v>3523</v>
      </c>
      <c r="CB391" t="s">
        <v>4080</v>
      </c>
      <c r="CC391" s="42" t="s">
        <v>4640</v>
      </c>
    </row>
    <row r="392" spans="63:81">
      <c r="BK392" t="s">
        <v>2606</v>
      </c>
      <c r="BN392" t="s">
        <v>3524</v>
      </c>
      <c r="CB392" t="s">
        <v>4081</v>
      </c>
      <c r="CC392" s="42" t="s">
        <v>4641</v>
      </c>
    </row>
    <row r="393" spans="63:81">
      <c r="BK393" t="s">
        <v>2607</v>
      </c>
      <c r="BN393" t="s">
        <v>3525</v>
      </c>
      <c r="CB393" t="s">
        <v>4082</v>
      </c>
      <c r="CC393" s="42" t="s">
        <v>4642</v>
      </c>
    </row>
    <row r="394" spans="63:81">
      <c r="BK394" t="s">
        <v>2608</v>
      </c>
      <c r="BN394" t="s">
        <v>3526</v>
      </c>
      <c r="CB394" t="s">
        <v>4083</v>
      </c>
      <c r="CC394" s="42" t="s">
        <v>4643</v>
      </c>
    </row>
    <row r="395" spans="63:81">
      <c r="BK395" t="s">
        <v>2609</v>
      </c>
      <c r="BN395" t="s">
        <v>3527</v>
      </c>
      <c r="CB395" t="s">
        <v>4084</v>
      </c>
      <c r="CC395" s="42" t="s">
        <v>4644</v>
      </c>
    </row>
    <row r="396" spans="63:81">
      <c r="BK396" t="s">
        <v>2610</v>
      </c>
      <c r="BN396" t="s">
        <v>3528</v>
      </c>
      <c r="CB396" t="s">
        <v>4085</v>
      </c>
      <c r="CC396" s="42" t="s">
        <v>4645</v>
      </c>
    </row>
    <row r="397" spans="63:81">
      <c r="BK397" t="s">
        <v>2611</v>
      </c>
      <c r="BN397" t="s">
        <v>3529</v>
      </c>
      <c r="CB397" t="s">
        <v>4086</v>
      </c>
      <c r="CC397" s="42" t="s">
        <v>4646</v>
      </c>
    </row>
    <row r="398" spans="63:81">
      <c r="BK398" t="s">
        <v>2612</v>
      </c>
      <c r="BN398" t="s">
        <v>3530</v>
      </c>
      <c r="CB398" t="s">
        <v>4087</v>
      </c>
      <c r="CC398" s="42" t="s">
        <v>4647</v>
      </c>
    </row>
    <row r="399" spans="63:81">
      <c r="BK399" t="s">
        <v>2613</v>
      </c>
      <c r="BN399" t="s">
        <v>3531</v>
      </c>
      <c r="CB399" t="s">
        <v>4088</v>
      </c>
      <c r="CC399" s="42" t="s">
        <v>4648</v>
      </c>
    </row>
    <row r="400" spans="63:81">
      <c r="BK400" t="s">
        <v>2614</v>
      </c>
      <c r="BN400" t="s">
        <v>3532</v>
      </c>
      <c r="CB400" t="s">
        <v>4089</v>
      </c>
      <c r="CC400" s="42" t="s">
        <v>4649</v>
      </c>
    </row>
    <row r="401" spans="63:81">
      <c r="BK401" t="s">
        <v>2615</v>
      </c>
      <c r="BN401" t="s">
        <v>3533</v>
      </c>
      <c r="CB401" t="s">
        <v>4090</v>
      </c>
      <c r="CC401" s="42" t="s">
        <v>4650</v>
      </c>
    </row>
    <row r="402" spans="63:81">
      <c r="BK402" t="s">
        <v>2616</v>
      </c>
      <c r="BN402" t="s">
        <v>3534</v>
      </c>
      <c r="CB402" t="s">
        <v>4091</v>
      </c>
      <c r="CC402" s="42" t="s">
        <v>4651</v>
      </c>
    </row>
    <row r="403" spans="63:81">
      <c r="BK403" t="s">
        <v>2617</v>
      </c>
      <c r="BN403" t="s">
        <v>3535</v>
      </c>
      <c r="CB403" t="s">
        <v>4092</v>
      </c>
      <c r="CC403" s="42" t="s">
        <v>4652</v>
      </c>
    </row>
    <row r="404" spans="63:81">
      <c r="BK404" t="s">
        <v>2618</v>
      </c>
      <c r="BN404" t="s">
        <v>3536</v>
      </c>
      <c r="CB404" t="s">
        <v>4093</v>
      </c>
      <c r="CC404" s="42" t="s">
        <v>4653</v>
      </c>
    </row>
    <row r="405" spans="63:81">
      <c r="BK405" t="s">
        <v>2619</v>
      </c>
      <c r="BN405" t="s">
        <v>3537</v>
      </c>
      <c r="CB405" t="s">
        <v>4094</v>
      </c>
      <c r="CC405" s="42" t="s">
        <v>4654</v>
      </c>
    </row>
    <row r="406" spans="63:81">
      <c r="BK406" t="s">
        <v>2620</v>
      </c>
      <c r="BN406" t="s">
        <v>3538</v>
      </c>
      <c r="CB406" t="s">
        <v>4095</v>
      </c>
      <c r="CC406" s="42" t="s">
        <v>4655</v>
      </c>
    </row>
    <row r="407" spans="63:81">
      <c r="BK407" t="s">
        <v>2621</v>
      </c>
      <c r="BN407" t="s">
        <v>3539</v>
      </c>
      <c r="CB407" t="s">
        <v>4096</v>
      </c>
      <c r="CC407" s="42" t="s">
        <v>4656</v>
      </c>
    </row>
    <row r="408" spans="63:81">
      <c r="BK408" t="s">
        <v>2622</v>
      </c>
      <c r="BN408" t="s">
        <v>3540</v>
      </c>
      <c r="CB408" t="s">
        <v>4097</v>
      </c>
      <c r="CC408" s="42" t="s">
        <v>4657</v>
      </c>
    </row>
    <row r="409" spans="63:81">
      <c r="BK409" t="s">
        <v>2623</v>
      </c>
      <c r="BN409" t="s">
        <v>3541</v>
      </c>
      <c r="CB409" t="s">
        <v>4098</v>
      </c>
      <c r="CC409" s="42" t="s">
        <v>4658</v>
      </c>
    </row>
    <row r="410" spans="63:81">
      <c r="BK410" t="s">
        <v>2624</v>
      </c>
      <c r="BN410" t="s">
        <v>3542</v>
      </c>
      <c r="CB410" t="s">
        <v>4099</v>
      </c>
      <c r="CC410" s="42" t="s">
        <v>4659</v>
      </c>
    </row>
    <row r="411" spans="63:81">
      <c r="BK411" t="s">
        <v>2625</v>
      </c>
      <c r="BN411" t="s">
        <v>3543</v>
      </c>
      <c r="CB411" t="s">
        <v>4100</v>
      </c>
      <c r="CC411" s="42" t="s">
        <v>4660</v>
      </c>
    </row>
    <row r="412" spans="63:81">
      <c r="BK412" t="s">
        <v>2626</v>
      </c>
      <c r="BN412" t="s">
        <v>3544</v>
      </c>
      <c r="CB412" t="s">
        <v>4101</v>
      </c>
      <c r="CC412" s="42" t="s">
        <v>4661</v>
      </c>
    </row>
    <row r="413" spans="63:81">
      <c r="BK413" t="s">
        <v>2627</v>
      </c>
      <c r="BN413" t="s">
        <v>3545</v>
      </c>
      <c r="CB413" t="s">
        <v>4102</v>
      </c>
      <c r="CC413" s="42" t="s">
        <v>4662</v>
      </c>
    </row>
    <row r="414" spans="63:81">
      <c r="BK414" t="s">
        <v>2628</v>
      </c>
      <c r="BN414" t="s">
        <v>3546</v>
      </c>
      <c r="CB414" t="s">
        <v>4103</v>
      </c>
      <c r="CC414" s="42" t="s">
        <v>4663</v>
      </c>
    </row>
    <row r="415" spans="63:81">
      <c r="BK415" t="s">
        <v>2629</v>
      </c>
      <c r="BN415" t="s">
        <v>3547</v>
      </c>
      <c r="CB415" t="s">
        <v>4104</v>
      </c>
      <c r="CC415" s="42" t="s">
        <v>4664</v>
      </c>
    </row>
    <row r="416" spans="63:81">
      <c r="BK416" t="s">
        <v>2630</v>
      </c>
      <c r="BN416" t="s">
        <v>3548</v>
      </c>
      <c r="CB416" t="s">
        <v>4105</v>
      </c>
      <c r="CC416" s="42" t="s">
        <v>4665</v>
      </c>
    </row>
    <row r="417" spans="63:81">
      <c r="BK417" t="s">
        <v>2631</v>
      </c>
      <c r="BN417" t="s">
        <v>3549</v>
      </c>
      <c r="CB417" t="s">
        <v>4106</v>
      </c>
      <c r="CC417" s="42" t="s">
        <v>4666</v>
      </c>
    </row>
    <row r="418" spans="63:81">
      <c r="BK418" t="s">
        <v>2632</v>
      </c>
      <c r="BN418" t="s">
        <v>3550</v>
      </c>
      <c r="CB418" t="s">
        <v>4107</v>
      </c>
      <c r="CC418" s="42" t="s">
        <v>4667</v>
      </c>
    </row>
    <row r="419" spans="63:81">
      <c r="BK419" t="s">
        <v>2633</v>
      </c>
      <c r="BN419" t="s">
        <v>3551</v>
      </c>
      <c r="CB419" t="s">
        <v>4108</v>
      </c>
      <c r="CC419" s="42" t="s">
        <v>4668</v>
      </c>
    </row>
    <row r="420" spans="63:81">
      <c r="BK420" t="s">
        <v>2634</v>
      </c>
      <c r="BN420" t="s">
        <v>3552</v>
      </c>
      <c r="CB420" t="s">
        <v>4109</v>
      </c>
      <c r="CC420" s="42" t="s">
        <v>4669</v>
      </c>
    </row>
    <row r="421" spans="63:81">
      <c r="BK421" t="s">
        <v>2635</v>
      </c>
      <c r="BN421" t="s">
        <v>3553</v>
      </c>
      <c r="CB421" t="s">
        <v>4110</v>
      </c>
      <c r="CC421" s="42" t="s">
        <v>4670</v>
      </c>
    </row>
    <row r="422" spans="63:81">
      <c r="BK422" t="s">
        <v>2636</v>
      </c>
      <c r="BN422" t="s">
        <v>3554</v>
      </c>
      <c r="CB422" t="s">
        <v>4111</v>
      </c>
      <c r="CC422" s="42" t="s">
        <v>4671</v>
      </c>
    </row>
    <row r="423" spans="63:81">
      <c r="BK423" t="s">
        <v>2637</v>
      </c>
      <c r="BN423" t="s">
        <v>3555</v>
      </c>
      <c r="CB423" t="s">
        <v>4112</v>
      </c>
      <c r="CC423" s="42" t="s">
        <v>4672</v>
      </c>
    </row>
    <row r="424" spans="63:81">
      <c r="BK424" t="s">
        <v>2638</v>
      </c>
      <c r="BN424" t="s">
        <v>3556</v>
      </c>
      <c r="CB424" t="s">
        <v>4113</v>
      </c>
      <c r="CC424" s="42" t="s">
        <v>4673</v>
      </c>
    </row>
    <row r="425" spans="63:81">
      <c r="BK425" t="s">
        <v>2639</v>
      </c>
      <c r="BN425" t="s">
        <v>3557</v>
      </c>
      <c r="CB425" t="s">
        <v>4114</v>
      </c>
      <c r="CC425" s="42" t="s">
        <v>4674</v>
      </c>
    </row>
    <row r="426" spans="63:81">
      <c r="BK426" t="s">
        <v>2640</v>
      </c>
      <c r="BN426" t="s">
        <v>3558</v>
      </c>
      <c r="CB426" t="s">
        <v>4115</v>
      </c>
      <c r="CC426" s="42" t="s">
        <v>4675</v>
      </c>
    </row>
    <row r="427" spans="63:81">
      <c r="BK427" t="s">
        <v>2641</v>
      </c>
      <c r="BN427" t="s">
        <v>3559</v>
      </c>
      <c r="CB427" t="s">
        <v>4116</v>
      </c>
      <c r="CC427" s="42" t="s">
        <v>4676</v>
      </c>
    </row>
    <row r="428" spans="63:81">
      <c r="BK428" t="s">
        <v>2642</v>
      </c>
      <c r="BN428" t="s">
        <v>3560</v>
      </c>
      <c r="CB428" t="s">
        <v>4117</v>
      </c>
      <c r="CC428" s="42" t="s">
        <v>4677</v>
      </c>
    </row>
    <row r="429" spans="63:81">
      <c r="BK429" t="s">
        <v>2643</v>
      </c>
      <c r="BN429" t="s">
        <v>3561</v>
      </c>
      <c r="CB429" t="s">
        <v>4118</v>
      </c>
      <c r="CC429" s="42" t="s">
        <v>4678</v>
      </c>
    </row>
    <row r="430" spans="63:81">
      <c r="BK430" t="s">
        <v>2644</v>
      </c>
      <c r="BN430" t="s">
        <v>3562</v>
      </c>
      <c r="CB430" t="s">
        <v>4119</v>
      </c>
      <c r="CC430" s="42" t="s">
        <v>4679</v>
      </c>
    </row>
    <row r="431" spans="63:81">
      <c r="BK431" t="s">
        <v>2645</v>
      </c>
      <c r="BN431" t="s">
        <v>3563</v>
      </c>
      <c r="CB431" t="s">
        <v>4120</v>
      </c>
      <c r="CC431" s="42" t="s">
        <v>4680</v>
      </c>
    </row>
    <row r="432" spans="63:81">
      <c r="BK432" t="s">
        <v>2646</v>
      </c>
      <c r="BN432" t="s">
        <v>3564</v>
      </c>
      <c r="CB432" t="s">
        <v>4121</v>
      </c>
      <c r="CC432" s="42" t="s">
        <v>4681</v>
      </c>
    </row>
    <row r="433" spans="63:81">
      <c r="BK433" t="s">
        <v>2647</v>
      </c>
      <c r="BN433" t="s">
        <v>3565</v>
      </c>
      <c r="CB433" t="s">
        <v>4122</v>
      </c>
      <c r="CC433" s="42" t="s">
        <v>4682</v>
      </c>
    </row>
    <row r="434" spans="63:81">
      <c r="BK434" t="s">
        <v>2648</v>
      </c>
      <c r="BN434" t="s">
        <v>3566</v>
      </c>
      <c r="CB434" t="s">
        <v>4123</v>
      </c>
      <c r="CC434" s="42" t="s">
        <v>4683</v>
      </c>
    </row>
    <row r="435" spans="63:81">
      <c r="BK435" t="s">
        <v>2649</v>
      </c>
      <c r="BN435" t="s">
        <v>3567</v>
      </c>
      <c r="CB435" t="s">
        <v>4124</v>
      </c>
      <c r="CC435" s="42" t="s">
        <v>4684</v>
      </c>
    </row>
    <row r="436" spans="63:81">
      <c r="BK436" t="s">
        <v>2650</v>
      </c>
      <c r="BN436" t="s">
        <v>3568</v>
      </c>
      <c r="CB436" t="s">
        <v>4125</v>
      </c>
      <c r="CC436" s="42" t="s">
        <v>4685</v>
      </c>
    </row>
    <row r="437" spans="63:81">
      <c r="BK437" t="s">
        <v>2651</v>
      </c>
      <c r="BN437" t="s">
        <v>3569</v>
      </c>
      <c r="CB437" t="s">
        <v>4126</v>
      </c>
      <c r="CC437" s="42" t="s">
        <v>4686</v>
      </c>
    </row>
    <row r="438" spans="63:81">
      <c r="BK438" t="s">
        <v>2652</v>
      </c>
      <c r="BN438" t="s">
        <v>3570</v>
      </c>
      <c r="CB438" t="s">
        <v>4127</v>
      </c>
      <c r="CC438" s="42" t="s">
        <v>4687</v>
      </c>
    </row>
    <row r="439" spans="63:81">
      <c r="BK439" t="s">
        <v>2653</v>
      </c>
      <c r="BN439" t="s">
        <v>3571</v>
      </c>
      <c r="CB439" t="s">
        <v>4128</v>
      </c>
      <c r="CC439" s="42" t="s">
        <v>4688</v>
      </c>
    </row>
    <row r="440" spans="63:81">
      <c r="BK440" t="s">
        <v>2654</v>
      </c>
      <c r="BN440" t="s">
        <v>3572</v>
      </c>
      <c r="CB440" t="s">
        <v>4129</v>
      </c>
      <c r="CC440" s="42" t="s">
        <v>4689</v>
      </c>
    </row>
    <row r="441" spans="63:81">
      <c r="BK441" t="s">
        <v>2655</v>
      </c>
      <c r="BN441" t="s">
        <v>3573</v>
      </c>
      <c r="CB441" t="s">
        <v>4130</v>
      </c>
      <c r="CC441" s="42" t="s">
        <v>4690</v>
      </c>
    </row>
    <row r="442" spans="63:81">
      <c r="BK442" t="s">
        <v>2656</v>
      </c>
      <c r="BN442" t="s">
        <v>3574</v>
      </c>
      <c r="CB442" t="s">
        <v>4131</v>
      </c>
      <c r="CC442" s="42" t="s">
        <v>4691</v>
      </c>
    </row>
    <row r="443" spans="63:81">
      <c r="BK443" t="s">
        <v>2657</v>
      </c>
      <c r="BN443" t="s">
        <v>3575</v>
      </c>
      <c r="CB443" t="s">
        <v>4132</v>
      </c>
      <c r="CC443" s="42" t="s">
        <v>4692</v>
      </c>
    </row>
    <row r="444" spans="63:81">
      <c r="BK444" t="s">
        <v>2658</v>
      </c>
      <c r="BN444" t="s">
        <v>3576</v>
      </c>
      <c r="CB444" t="s">
        <v>4133</v>
      </c>
      <c r="CC444" s="42" t="s">
        <v>4693</v>
      </c>
    </row>
    <row r="445" spans="63:81">
      <c r="BK445" t="s">
        <v>2659</v>
      </c>
      <c r="BN445" t="s">
        <v>3577</v>
      </c>
      <c r="CB445" t="s">
        <v>4134</v>
      </c>
      <c r="CC445" s="42" t="s">
        <v>4694</v>
      </c>
    </row>
    <row r="446" spans="63:81">
      <c r="BK446" t="s">
        <v>2660</v>
      </c>
      <c r="BN446" t="s">
        <v>3578</v>
      </c>
      <c r="CB446" t="s">
        <v>4135</v>
      </c>
      <c r="CC446" s="42" t="s">
        <v>4695</v>
      </c>
    </row>
    <row r="447" spans="63:81">
      <c r="BK447" t="s">
        <v>2661</v>
      </c>
      <c r="BN447" t="s">
        <v>3579</v>
      </c>
      <c r="CB447" t="s">
        <v>4136</v>
      </c>
      <c r="CC447" s="42" t="s">
        <v>4696</v>
      </c>
    </row>
    <row r="448" spans="63:81">
      <c r="BK448" t="s">
        <v>2662</v>
      </c>
      <c r="BN448" t="s">
        <v>3580</v>
      </c>
      <c r="CB448" t="s">
        <v>4137</v>
      </c>
      <c r="CC448" s="42" t="s">
        <v>4697</v>
      </c>
    </row>
    <row r="449" spans="63:81">
      <c r="BK449" t="s">
        <v>2663</v>
      </c>
      <c r="BN449" t="s">
        <v>3581</v>
      </c>
      <c r="CB449" t="s">
        <v>4138</v>
      </c>
      <c r="CC449" s="42" t="s">
        <v>4698</v>
      </c>
    </row>
    <row r="450" spans="63:81">
      <c r="BK450" t="s">
        <v>2664</v>
      </c>
      <c r="BN450" t="s">
        <v>3582</v>
      </c>
      <c r="CB450" t="s">
        <v>4139</v>
      </c>
      <c r="CC450" s="42" t="s">
        <v>4699</v>
      </c>
    </row>
    <row r="451" spans="63:81">
      <c r="BK451" t="s">
        <v>2665</v>
      </c>
      <c r="BN451" t="s">
        <v>3583</v>
      </c>
      <c r="CB451" t="s">
        <v>4140</v>
      </c>
      <c r="CC451" s="42" t="s">
        <v>4700</v>
      </c>
    </row>
    <row r="452" spans="63:81">
      <c r="BK452" t="s">
        <v>2666</v>
      </c>
      <c r="BN452" t="s">
        <v>3584</v>
      </c>
      <c r="CB452" t="s">
        <v>4141</v>
      </c>
      <c r="CC452" s="42" t="s">
        <v>4701</v>
      </c>
    </row>
    <row r="453" spans="63:81">
      <c r="BK453" t="s">
        <v>2667</v>
      </c>
      <c r="BN453" t="s">
        <v>3585</v>
      </c>
      <c r="CB453" t="s">
        <v>4142</v>
      </c>
      <c r="CC453" s="42" t="s">
        <v>4702</v>
      </c>
    </row>
    <row r="454" spans="63:81">
      <c r="BK454" t="s">
        <v>2668</v>
      </c>
      <c r="BN454" t="s">
        <v>3586</v>
      </c>
      <c r="CB454" t="s">
        <v>4143</v>
      </c>
      <c r="CC454" s="42" t="s">
        <v>4703</v>
      </c>
    </row>
    <row r="455" spans="63:81">
      <c r="BK455" t="s">
        <v>2669</v>
      </c>
      <c r="BN455" t="s">
        <v>3587</v>
      </c>
      <c r="CB455" t="s">
        <v>4144</v>
      </c>
      <c r="CC455" s="42" t="s">
        <v>4704</v>
      </c>
    </row>
    <row r="456" spans="63:81">
      <c r="BK456" t="s">
        <v>2670</v>
      </c>
      <c r="BN456" t="s">
        <v>3588</v>
      </c>
      <c r="CB456" t="s">
        <v>4145</v>
      </c>
      <c r="CC456" s="42" t="s">
        <v>4705</v>
      </c>
    </row>
    <row r="457" spans="63:81">
      <c r="BK457" t="s">
        <v>2671</v>
      </c>
      <c r="BN457" t="s">
        <v>3589</v>
      </c>
      <c r="CB457" t="s">
        <v>4146</v>
      </c>
      <c r="CC457" s="42" t="s">
        <v>4706</v>
      </c>
    </row>
    <row r="458" spans="63:81">
      <c r="BK458" t="s">
        <v>2672</v>
      </c>
      <c r="BN458" t="s">
        <v>3590</v>
      </c>
      <c r="CB458" t="s">
        <v>4147</v>
      </c>
      <c r="CC458" s="42" t="s">
        <v>4707</v>
      </c>
    </row>
    <row r="459" spans="63:81">
      <c r="BK459" t="s">
        <v>2673</v>
      </c>
      <c r="BN459" t="s">
        <v>3591</v>
      </c>
      <c r="CB459" t="s">
        <v>4148</v>
      </c>
      <c r="CC459" s="42" t="s">
        <v>4708</v>
      </c>
    </row>
    <row r="460" spans="63:81">
      <c r="BK460" t="s">
        <v>2674</v>
      </c>
      <c r="BN460" t="s">
        <v>3592</v>
      </c>
      <c r="CB460" t="s">
        <v>4149</v>
      </c>
      <c r="CC460" s="42" t="s">
        <v>4709</v>
      </c>
    </row>
    <row r="461" spans="63:81">
      <c r="BK461" t="s">
        <v>2675</v>
      </c>
      <c r="BN461" t="s">
        <v>3593</v>
      </c>
      <c r="CB461" t="s">
        <v>4150</v>
      </c>
      <c r="CC461" s="42" t="s">
        <v>4710</v>
      </c>
    </row>
    <row r="462" spans="63:81">
      <c r="BK462" t="s">
        <v>2676</v>
      </c>
      <c r="BN462" t="s">
        <v>3594</v>
      </c>
      <c r="CB462" t="s">
        <v>4151</v>
      </c>
      <c r="CC462" s="42" t="s">
        <v>4711</v>
      </c>
    </row>
    <row r="463" spans="63:81">
      <c r="BK463" t="s">
        <v>2677</v>
      </c>
      <c r="BN463" t="s">
        <v>3595</v>
      </c>
      <c r="CB463" t="s">
        <v>4152</v>
      </c>
      <c r="CC463" s="42" t="s">
        <v>4712</v>
      </c>
    </row>
    <row r="464" spans="63:81">
      <c r="BK464" t="s">
        <v>2678</v>
      </c>
      <c r="BN464" t="s">
        <v>3596</v>
      </c>
      <c r="CB464" t="s">
        <v>4153</v>
      </c>
      <c r="CC464" s="42" t="s">
        <v>4713</v>
      </c>
    </row>
    <row r="465" spans="63:81">
      <c r="BK465" t="s">
        <v>2679</v>
      </c>
      <c r="BN465" t="s">
        <v>3597</v>
      </c>
      <c r="CB465" t="s">
        <v>4154</v>
      </c>
      <c r="CC465" s="42" t="s">
        <v>4714</v>
      </c>
    </row>
    <row r="466" spans="63:81">
      <c r="BK466" t="s">
        <v>2680</v>
      </c>
      <c r="BN466" t="s">
        <v>3598</v>
      </c>
      <c r="CB466" t="s">
        <v>4155</v>
      </c>
      <c r="CC466" s="42" t="s">
        <v>4715</v>
      </c>
    </row>
    <row r="467" spans="63:81">
      <c r="BK467" t="s">
        <v>2681</v>
      </c>
      <c r="BN467" t="s">
        <v>3599</v>
      </c>
      <c r="CB467" t="s">
        <v>4156</v>
      </c>
      <c r="CC467" s="42" t="s">
        <v>4716</v>
      </c>
    </row>
    <row r="468" spans="63:81">
      <c r="BK468" t="s">
        <v>2682</v>
      </c>
      <c r="BN468" t="s">
        <v>3600</v>
      </c>
      <c r="CB468" t="s">
        <v>4157</v>
      </c>
      <c r="CC468" s="42" t="s">
        <v>4717</v>
      </c>
    </row>
    <row r="469" spans="63:81">
      <c r="BK469" t="s">
        <v>2683</v>
      </c>
      <c r="BN469" t="s">
        <v>522</v>
      </c>
      <c r="CB469" t="s">
        <v>4158</v>
      </c>
      <c r="CC469" s="42" t="s">
        <v>4718</v>
      </c>
    </row>
    <row r="470" spans="63:81">
      <c r="BK470" t="s">
        <v>2684</v>
      </c>
      <c r="BN470" t="s">
        <v>3601</v>
      </c>
      <c r="CB470" t="s">
        <v>4159</v>
      </c>
      <c r="CC470" s="42" t="s">
        <v>4719</v>
      </c>
    </row>
    <row r="471" spans="63:81">
      <c r="BK471" t="s">
        <v>2685</v>
      </c>
      <c r="BN471" t="s">
        <v>3602</v>
      </c>
      <c r="CB471" t="s">
        <v>4160</v>
      </c>
      <c r="CC471" s="42" t="s">
        <v>4720</v>
      </c>
    </row>
    <row r="472" spans="63:81">
      <c r="BK472" t="s">
        <v>2686</v>
      </c>
      <c r="BN472" t="s">
        <v>3603</v>
      </c>
      <c r="CB472" t="s">
        <v>4161</v>
      </c>
      <c r="CC472" s="42" t="s">
        <v>4721</v>
      </c>
    </row>
    <row r="473" spans="63:81">
      <c r="BK473" t="s">
        <v>2687</v>
      </c>
      <c r="BN473" t="s">
        <v>3604</v>
      </c>
      <c r="CB473" t="s">
        <v>4162</v>
      </c>
      <c r="CC473" s="42" t="s">
        <v>4722</v>
      </c>
    </row>
    <row r="474" spans="63:81">
      <c r="BK474" t="s">
        <v>2688</v>
      </c>
      <c r="BN474" t="s">
        <v>3605</v>
      </c>
      <c r="CB474" t="s">
        <v>4163</v>
      </c>
      <c r="CC474" s="42" t="s">
        <v>4723</v>
      </c>
    </row>
    <row r="475" spans="63:81">
      <c r="BK475" t="s">
        <v>2689</v>
      </c>
      <c r="BN475" t="s">
        <v>3606</v>
      </c>
      <c r="CB475" t="s">
        <v>4164</v>
      </c>
      <c r="CC475" s="42" t="s">
        <v>4724</v>
      </c>
    </row>
    <row r="476" spans="63:81">
      <c r="BK476" t="s">
        <v>2690</v>
      </c>
      <c r="BN476" t="s">
        <v>3607</v>
      </c>
      <c r="CB476" t="s">
        <v>4165</v>
      </c>
      <c r="CC476" s="42" t="s">
        <v>4725</v>
      </c>
    </row>
    <row r="477" spans="63:81">
      <c r="BK477" t="s">
        <v>2691</v>
      </c>
      <c r="BN477" t="s">
        <v>3608</v>
      </c>
      <c r="CB477" t="s">
        <v>4166</v>
      </c>
      <c r="CC477" s="42" t="s">
        <v>4726</v>
      </c>
    </row>
    <row r="478" spans="63:81">
      <c r="BK478" t="s">
        <v>2692</v>
      </c>
      <c r="BN478" t="s">
        <v>3609</v>
      </c>
      <c r="CB478" t="s">
        <v>4167</v>
      </c>
      <c r="CC478" s="42" t="s">
        <v>4727</v>
      </c>
    </row>
    <row r="479" spans="63:81">
      <c r="BK479" t="s">
        <v>2693</v>
      </c>
      <c r="BN479" t="s">
        <v>3610</v>
      </c>
      <c r="CB479" t="s">
        <v>4168</v>
      </c>
      <c r="CC479" s="42" t="s">
        <v>4728</v>
      </c>
    </row>
    <row r="480" spans="63:81">
      <c r="BK480" t="s">
        <v>2694</v>
      </c>
      <c r="BN480" t="s">
        <v>3611</v>
      </c>
      <c r="CB480" t="s">
        <v>4169</v>
      </c>
      <c r="CC480" s="42" t="s">
        <v>4729</v>
      </c>
    </row>
    <row r="481" spans="63:81">
      <c r="BK481" t="s">
        <v>2695</v>
      </c>
      <c r="BN481" t="s">
        <v>3612</v>
      </c>
      <c r="CB481" t="s">
        <v>4170</v>
      </c>
      <c r="CC481" s="42" t="s">
        <v>4730</v>
      </c>
    </row>
    <row r="482" spans="63:81">
      <c r="BK482" t="s">
        <v>2696</v>
      </c>
      <c r="BN482" t="s">
        <v>3613</v>
      </c>
      <c r="CB482" t="s">
        <v>4171</v>
      </c>
      <c r="CC482" s="42" t="s">
        <v>4731</v>
      </c>
    </row>
    <row r="483" spans="63:81">
      <c r="BK483" t="s">
        <v>2697</v>
      </c>
      <c r="BN483" t="s">
        <v>3614</v>
      </c>
      <c r="CB483" t="s">
        <v>4172</v>
      </c>
      <c r="CC483" s="42" t="s">
        <v>4732</v>
      </c>
    </row>
    <row r="484" spans="63:81">
      <c r="BK484" t="s">
        <v>2698</v>
      </c>
      <c r="BN484" t="s">
        <v>3615</v>
      </c>
      <c r="CB484" t="s">
        <v>4173</v>
      </c>
      <c r="CC484" s="42" t="s">
        <v>4733</v>
      </c>
    </row>
    <row r="485" spans="63:81">
      <c r="BK485" t="s">
        <v>2699</v>
      </c>
      <c r="BN485" t="s">
        <v>3616</v>
      </c>
      <c r="CB485" t="s">
        <v>4174</v>
      </c>
      <c r="CC485" s="42" t="s">
        <v>4734</v>
      </c>
    </row>
    <row r="486" spans="63:81">
      <c r="BK486" t="s">
        <v>2700</v>
      </c>
      <c r="BN486" t="s">
        <v>3617</v>
      </c>
      <c r="CB486" t="s">
        <v>4175</v>
      </c>
      <c r="CC486" s="42" t="s">
        <v>4735</v>
      </c>
    </row>
    <row r="487" spans="63:81">
      <c r="BK487" t="s">
        <v>2701</v>
      </c>
      <c r="BN487" t="s">
        <v>3618</v>
      </c>
      <c r="CB487" t="s">
        <v>4176</v>
      </c>
      <c r="CC487" s="42" t="s">
        <v>4736</v>
      </c>
    </row>
    <row r="488" spans="63:81">
      <c r="BK488" t="s">
        <v>2702</v>
      </c>
      <c r="BN488" t="s">
        <v>3619</v>
      </c>
      <c r="CB488" t="s">
        <v>4177</v>
      </c>
      <c r="CC488" s="42" t="s">
        <v>4737</v>
      </c>
    </row>
    <row r="489" spans="63:81">
      <c r="BK489" t="s">
        <v>2703</v>
      </c>
      <c r="BN489" t="s">
        <v>3620</v>
      </c>
      <c r="CB489" t="s">
        <v>4178</v>
      </c>
      <c r="CC489" s="42" t="s">
        <v>4738</v>
      </c>
    </row>
    <row r="490" spans="63:81">
      <c r="BK490" t="s">
        <v>2704</v>
      </c>
      <c r="BN490" t="s">
        <v>3621</v>
      </c>
      <c r="CB490" t="s">
        <v>4179</v>
      </c>
      <c r="CC490" s="42" t="s">
        <v>4739</v>
      </c>
    </row>
    <row r="491" spans="63:81">
      <c r="BK491" t="s">
        <v>2705</v>
      </c>
      <c r="BN491" t="s">
        <v>3622</v>
      </c>
      <c r="CB491" t="s">
        <v>4180</v>
      </c>
      <c r="CC491" s="42" t="s">
        <v>4740</v>
      </c>
    </row>
    <row r="492" spans="63:81">
      <c r="BK492" t="s">
        <v>2706</v>
      </c>
      <c r="BN492" t="s">
        <v>3623</v>
      </c>
      <c r="CB492" t="s">
        <v>4181</v>
      </c>
      <c r="CC492" s="42" t="s">
        <v>4741</v>
      </c>
    </row>
    <row r="493" spans="63:81">
      <c r="BK493" t="s">
        <v>2707</v>
      </c>
      <c r="BN493" t="s">
        <v>3624</v>
      </c>
      <c r="CB493" t="s">
        <v>4182</v>
      </c>
      <c r="CC493" s="42" t="s">
        <v>4742</v>
      </c>
    </row>
    <row r="494" spans="63:81">
      <c r="BK494" t="s">
        <v>2708</v>
      </c>
      <c r="BN494" t="s">
        <v>3625</v>
      </c>
      <c r="CB494" t="s">
        <v>4183</v>
      </c>
      <c r="CC494" s="42" t="s">
        <v>4743</v>
      </c>
    </row>
    <row r="495" spans="63:81">
      <c r="BK495" t="s">
        <v>2709</v>
      </c>
      <c r="BN495" t="s">
        <v>3626</v>
      </c>
      <c r="CB495" t="s">
        <v>4184</v>
      </c>
      <c r="CC495" s="42" t="s">
        <v>4744</v>
      </c>
    </row>
    <row r="496" spans="63:81">
      <c r="BK496" t="s">
        <v>2710</v>
      </c>
      <c r="BN496" t="s">
        <v>3627</v>
      </c>
      <c r="CB496" t="s">
        <v>4185</v>
      </c>
      <c r="CC496" s="42" t="s">
        <v>4745</v>
      </c>
    </row>
    <row r="497" spans="63:81">
      <c r="BK497" t="s">
        <v>2711</v>
      </c>
      <c r="BN497" t="s">
        <v>3628</v>
      </c>
      <c r="CB497" t="s">
        <v>4186</v>
      </c>
      <c r="CC497" s="42" t="s">
        <v>4746</v>
      </c>
    </row>
    <row r="498" spans="63:81">
      <c r="BK498" t="s">
        <v>2712</v>
      </c>
      <c r="BN498" t="s">
        <v>3629</v>
      </c>
      <c r="CB498" t="s">
        <v>4187</v>
      </c>
      <c r="CC498" s="42" t="s">
        <v>4747</v>
      </c>
    </row>
    <row r="499" spans="63:81">
      <c r="BK499" t="s">
        <v>2713</v>
      </c>
      <c r="BN499" t="s">
        <v>3630</v>
      </c>
      <c r="CB499" t="s">
        <v>4188</v>
      </c>
      <c r="CC499" s="42" t="s">
        <v>4748</v>
      </c>
    </row>
    <row r="500" spans="63:81">
      <c r="BK500" t="s">
        <v>2714</v>
      </c>
      <c r="BN500" t="s">
        <v>3631</v>
      </c>
      <c r="CB500" t="s">
        <v>4189</v>
      </c>
      <c r="CC500" s="42" t="s">
        <v>4749</v>
      </c>
    </row>
    <row r="501" spans="63:81">
      <c r="BK501" t="s">
        <v>2715</v>
      </c>
      <c r="BN501" t="s">
        <v>3632</v>
      </c>
      <c r="CB501" t="s">
        <v>4190</v>
      </c>
      <c r="CC501" s="42" t="s">
        <v>4750</v>
      </c>
    </row>
    <row r="502" spans="63:81">
      <c r="BK502" t="s">
        <v>2716</v>
      </c>
      <c r="BN502" t="s">
        <v>3633</v>
      </c>
      <c r="CB502" t="s">
        <v>4191</v>
      </c>
      <c r="CC502" s="42" t="s">
        <v>4751</v>
      </c>
    </row>
    <row r="503" spans="63:81">
      <c r="BK503" t="s">
        <v>2717</v>
      </c>
      <c r="BN503" t="s">
        <v>3634</v>
      </c>
      <c r="CB503" t="s">
        <v>4192</v>
      </c>
      <c r="CC503" s="42" t="s">
        <v>4752</v>
      </c>
    </row>
    <row r="504" spans="63:81">
      <c r="BK504" t="s">
        <v>2718</v>
      </c>
      <c r="CB504" t="s">
        <v>4193</v>
      </c>
      <c r="CC504" s="42" t="s">
        <v>4753</v>
      </c>
    </row>
    <row r="505" spans="63:81">
      <c r="BK505" t="s">
        <v>2719</v>
      </c>
      <c r="CB505" t="s">
        <v>4194</v>
      </c>
      <c r="CC505" s="42" t="s">
        <v>4754</v>
      </c>
    </row>
    <row r="506" spans="63:81">
      <c r="BK506" t="s">
        <v>2720</v>
      </c>
      <c r="CB506" t="s">
        <v>4195</v>
      </c>
      <c r="CC506" s="42" t="s">
        <v>4755</v>
      </c>
    </row>
    <row r="507" spans="63:81">
      <c r="BK507" t="s">
        <v>2721</v>
      </c>
      <c r="CB507" t="s">
        <v>4196</v>
      </c>
      <c r="CC507" s="42" t="s">
        <v>4756</v>
      </c>
    </row>
    <row r="508" spans="63:81">
      <c r="BK508" t="s">
        <v>2722</v>
      </c>
      <c r="CB508" t="s">
        <v>4197</v>
      </c>
      <c r="CC508" s="42" t="s">
        <v>4757</v>
      </c>
    </row>
    <row r="509" spans="63:81">
      <c r="BK509" t="s">
        <v>2723</v>
      </c>
      <c r="CB509" t="s">
        <v>4198</v>
      </c>
      <c r="CC509" s="42" t="s">
        <v>4758</v>
      </c>
    </row>
    <row r="510" spans="63:81">
      <c r="BK510" t="s">
        <v>2724</v>
      </c>
      <c r="CB510" t="s">
        <v>4199</v>
      </c>
      <c r="CC510" s="42" t="s">
        <v>4759</v>
      </c>
    </row>
    <row r="511" spans="63:81">
      <c r="BK511" t="s">
        <v>2725</v>
      </c>
      <c r="CB511" t="s">
        <v>4200</v>
      </c>
      <c r="CC511" s="42" t="s">
        <v>4760</v>
      </c>
    </row>
    <row r="512" spans="63:81">
      <c r="BK512" t="s">
        <v>2726</v>
      </c>
      <c r="CB512" t="s">
        <v>4201</v>
      </c>
      <c r="CC512" s="42" t="s">
        <v>4761</v>
      </c>
    </row>
    <row r="513" spans="63:81">
      <c r="BK513" t="s">
        <v>2727</v>
      </c>
      <c r="CB513" t="s">
        <v>4202</v>
      </c>
      <c r="CC513" s="42" t="s">
        <v>4762</v>
      </c>
    </row>
    <row r="514" spans="63:81">
      <c r="BK514" t="s">
        <v>2728</v>
      </c>
      <c r="CB514" t="s">
        <v>4203</v>
      </c>
      <c r="CC514" s="42" t="s">
        <v>4763</v>
      </c>
    </row>
    <row r="515" spans="63:81">
      <c r="BK515" t="s">
        <v>2729</v>
      </c>
      <c r="CB515" t="s">
        <v>4204</v>
      </c>
      <c r="CC515" s="42" t="s">
        <v>4764</v>
      </c>
    </row>
    <row r="516" spans="63:81">
      <c r="BK516" t="s">
        <v>2730</v>
      </c>
      <c r="CB516" t="s">
        <v>4205</v>
      </c>
      <c r="CC516" s="42" t="s">
        <v>4765</v>
      </c>
    </row>
    <row r="517" spans="63:81">
      <c r="BK517" t="s">
        <v>2731</v>
      </c>
      <c r="CB517" t="s">
        <v>4206</v>
      </c>
      <c r="CC517" s="42" t="s">
        <v>4766</v>
      </c>
    </row>
    <row r="518" spans="63:81">
      <c r="BK518" t="s">
        <v>2732</v>
      </c>
      <c r="CB518" t="s">
        <v>4207</v>
      </c>
      <c r="CC518" s="42" t="s">
        <v>4767</v>
      </c>
    </row>
    <row r="519" spans="63:81">
      <c r="BK519" t="s">
        <v>2733</v>
      </c>
      <c r="CB519" t="s">
        <v>4208</v>
      </c>
      <c r="CC519" s="42" t="s">
        <v>4768</v>
      </c>
    </row>
    <row r="520" spans="63:81">
      <c r="BK520" t="s">
        <v>2734</v>
      </c>
      <c r="CB520" t="s">
        <v>4209</v>
      </c>
      <c r="CC520" s="42" t="s">
        <v>4769</v>
      </c>
    </row>
    <row r="521" spans="63:81">
      <c r="BK521" t="s">
        <v>2735</v>
      </c>
      <c r="CB521" t="s">
        <v>4210</v>
      </c>
      <c r="CC521" s="42" t="s">
        <v>4770</v>
      </c>
    </row>
    <row r="522" spans="63:81">
      <c r="BK522" t="s">
        <v>2736</v>
      </c>
      <c r="CB522" t="s">
        <v>4211</v>
      </c>
      <c r="CC522" s="42" t="s">
        <v>4771</v>
      </c>
    </row>
    <row r="523" spans="63:81">
      <c r="BK523" t="s">
        <v>2737</v>
      </c>
      <c r="CB523" t="s">
        <v>4212</v>
      </c>
      <c r="CC523" s="42" t="s">
        <v>4772</v>
      </c>
    </row>
    <row r="524" spans="63:81">
      <c r="BK524" t="s">
        <v>2738</v>
      </c>
      <c r="CB524" t="s">
        <v>4213</v>
      </c>
      <c r="CC524" s="42" t="s">
        <v>4773</v>
      </c>
    </row>
    <row r="525" spans="63:81">
      <c r="BK525" t="s">
        <v>2739</v>
      </c>
      <c r="CB525" t="s">
        <v>4214</v>
      </c>
      <c r="CC525" s="42" t="s">
        <v>4774</v>
      </c>
    </row>
    <row r="526" spans="63:81">
      <c r="BK526" t="s">
        <v>2740</v>
      </c>
      <c r="CB526" t="s">
        <v>4215</v>
      </c>
      <c r="CC526" s="42" t="s">
        <v>4775</v>
      </c>
    </row>
    <row r="527" spans="63:81">
      <c r="BK527" t="s">
        <v>2741</v>
      </c>
      <c r="CB527" t="s">
        <v>4216</v>
      </c>
      <c r="CC527" s="42" t="s">
        <v>4776</v>
      </c>
    </row>
    <row r="528" spans="63:81">
      <c r="BK528" t="s">
        <v>2742</v>
      </c>
      <c r="CB528" t="s">
        <v>4217</v>
      </c>
      <c r="CC528" s="42" t="s">
        <v>4777</v>
      </c>
    </row>
    <row r="529" spans="63:81">
      <c r="BK529" t="s">
        <v>2743</v>
      </c>
      <c r="CB529" t="s">
        <v>4218</v>
      </c>
      <c r="CC529" s="42" t="s">
        <v>4778</v>
      </c>
    </row>
    <row r="530" spans="63:81">
      <c r="BK530" t="s">
        <v>2744</v>
      </c>
      <c r="CB530" t="s">
        <v>4219</v>
      </c>
      <c r="CC530" s="42" t="s">
        <v>4779</v>
      </c>
    </row>
    <row r="531" spans="63:81">
      <c r="BK531" t="s">
        <v>2745</v>
      </c>
      <c r="CB531" t="s">
        <v>4220</v>
      </c>
      <c r="CC531" s="42" t="s">
        <v>4780</v>
      </c>
    </row>
    <row r="532" spans="63:81">
      <c r="BK532" t="s">
        <v>2746</v>
      </c>
      <c r="CB532" t="s">
        <v>4221</v>
      </c>
      <c r="CC532" s="42" t="s">
        <v>4781</v>
      </c>
    </row>
    <row r="533" spans="63:81">
      <c r="BK533" t="s">
        <v>2747</v>
      </c>
      <c r="CB533" t="s">
        <v>4222</v>
      </c>
      <c r="CC533" s="42" t="s">
        <v>4782</v>
      </c>
    </row>
    <row r="534" spans="63:81">
      <c r="BK534" t="s">
        <v>2748</v>
      </c>
      <c r="CB534" t="s">
        <v>4223</v>
      </c>
      <c r="CC534" s="42" t="s">
        <v>4783</v>
      </c>
    </row>
    <row r="535" spans="63:81">
      <c r="BK535" t="s">
        <v>2749</v>
      </c>
      <c r="CB535" t="s">
        <v>4224</v>
      </c>
      <c r="CC535" s="42" t="s">
        <v>4784</v>
      </c>
    </row>
    <row r="536" spans="63:81">
      <c r="BK536" t="s">
        <v>2750</v>
      </c>
      <c r="CB536" t="s">
        <v>4225</v>
      </c>
      <c r="CC536" s="42" t="s">
        <v>4785</v>
      </c>
    </row>
    <row r="537" spans="63:81">
      <c r="BK537" t="s">
        <v>2751</v>
      </c>
      <c r="CB537" t="s">
        <v>4226</v>
      </c>
      <c r="CC537" s="42" t="s">
        <v>4786</v>
      </c>
    </row>
    <row r="538" spans="63:81">
      <c r="BK538" t="s">
        <v>2752</v>
      </c>
      <c r="CB538" t="s">
        <v>4227</v>
      </c>
      <c r="CC538" s="42" t="s">
        <v>4787</v>
      </c>
    </row>
    <row r="539" spans="63:81">
      <c r="BK539" t="s">
        <v>2753</v>
      </c>
      <c r="CB539" t="s">
        <v>4228</v>
      </c>
      <c r="CC539" s="42" t="s">
        <v>4788</v>
      </c>
    </row>
    <row r="540" spans="63:81">
      <c r="BK540" t="s">
        <v>2754</v>
      </c>
      <c r="CB540" t="s">
        <v>4229</v>
      </c>
      <c r="CC540" s="42" t="s">
        <v>4789</v>
      </c>
    </row>
    <row r="541" spans="63:81">
      <c r="BK541" t="s">
        <v>2755</v>
      </c>
      <c r="CB541" t="s">
        <v>4230</v>
      </c>
      <c r="CC541" s="42" t="s">
        <v>4790</v>
      </c>
    </row>
    <row r="542" spans="63:81">
      <c r="BK542" t="s">
        <v>2756</v>
      </c>
      <c r="CB542" t="s">
        <v>4231</v>
      </c>
      <c r="CC542" s="42" t="s">
        <v>4791</v>
      </c>
    </row>
    <row r="543" spans="63:81">
      <c r="BK543" t="s">
        <v>2757</v>
      </c>
      <c r="CB543" t="s">
        <v>4232</v>
      </c>
      <c r="CC543" s="42" t="s">
        <v>4792</v>
      </c>
    </row>
    <row r="544" spans="63:81">
      <c r="BK544" t="s">
        <v>2758</v>
      </c>
      <c r="CB544" t="s">
        <v>4233</v>
      </c>
      <c r="CC544" s="42" t="s">
        <v>4793</v>
      </c>
    </row>
    <row r="545" spans="63:81">
      <c r="BK545" t="s">
        <v>2759</v>
      </c>
      <c r="CB545" t="s">
        <v>4234</v>
      </c>
      <c r="CC545" s="42" t="s">
        <v>4794</v>
      </c>
    </row>
    <row r="546" spans="63:81">
      <c r="BK546" t="s">
        <v>2760</v>
      </c>
      <c r="CB546" t="s">
        <v>4235</v>
      </c>
      <c r="CC546" s="42" t="s">
        <v>4795</v>
      </c>
    </row>
    <row r="547" spans="63:81">
      <c r="BK547" t="s">
        <v>2761</v>
      </c>
      <c r="CB547" t="s">
        <v>4236</v>
      </c>
      <c r="CC547" s="42" t="s">
        <v>4796</v>
      </c>
    </row>
    <row r="548" spans="63:81">
      <c r="BK548" t="s">
        <v>2762</v>
      </c>
      <c r="CB548" t="s">
        <v>4237</v>
      </c>
      <c r="CC548" s="42" t="s">
        <v>4797</v>
      </c>
    </row>
    <row r="549" spans="63:81">
      <c r="BK549" t="s">
        <v>2763</v>
      </c>
      <c r="CB549" t="s">
        <v>4238</v>
      </c>
      <c r="CC549" s="42" t="s">
        <v>4798</v>
      </c>
    </row>
    <row r="550" spans="63:81">
      <c r="BK550" t="s">
        <v>2764</v>
      </c>
      <c r="CB550" t="s">
        <v>4239</v>
      </c>
      <c r="CC550" s="42" t="s">
        <v>4799</v>
      </c>
    </row>
    <row r="551" spans="63:81">
      <c r="BK551" t="s">
        <v>2765</v>
      </c>
      <c r="CB551" t="s">
        <v>4240</v>
      </c>
      <c r="CC551" s="42" t="s">
        <v>4800</v>
      </c>
    </row>
    <row r="552" spans="63:81">
      <c r="BK552" t="s">
        <v>2766</v>
      </c>
      <c r="CB552" t="s">
        <v>4241</v>
      </c>
      <c r="CC552" s="42" t="s">
        <v>4801</v>
      </c>
    </row>
    <row r="553" spans="63:81">
      <c r="BK553" t="s">
        <v>2767</v>
      </c>
      <c r="CB553" t="s">
        <v>4242</v>
      </c>
      <c r="CC553" s="42" t="s">
        <v>4802</v>
      </c>
    </row>
    <row r="554" spans="63:81">
      <c r="BK554" t="s">
        <v>2768</v>
      </c>
      <c r="CB554" t="s">
        <v>4243</v>
      </c>
      <c r="CC554" s="42" t="s">
        <v>4803</v>
      </c>
    </row>
    <row r="555" spans="63:81">
      <c r="BK555" t="s">
        <v>2769</v>
      </c>
      <c r="CB555" t="s">
        <v>4244</v>
      </c>
      <c r="CC555" s="42" t="s">
        <v>4804</v>
      </c>
    </row>
    <row r="556" spans="63:81">
      <c r="BK556" t="s">
        <v>2770</v>
      </c>
      <c r="CB556" t="s">
        <v>4245</v>
      </c>
      <c r="CC556" s="42" t="s">
        <v>4805</v>
      </c>
    </row>
    <row r="557" spans="63:81">
      <c r="BK557" t="s">
        <v>2771</v>
      </c>
      <c r="CB557" t="s">
        <v>4246</v>
      </c>
      <c r="CC557" s="42" t="s">
        <v>4806</v>
      </c>
    </row>
    <row r="558" spans="63:81">
      <c r="BK558" t="s">
        <v>2772</v>
      </c>
      <c r="CB558" t="s">
        <v>4247</v>
      </c>
      <c r="CC558" s="42" t="s">
        <v>4807</v>
      </c>
    </row>
    <row r="559" spans="63:81">
      <c r="BK559" t="s">
        <v>2773</v>
      </c>
      <c r="CB559" t="s">
        <v>4248</v>
      </c>
      <c r="CC559" s="42" t="s">
        <v>4808</v>
      </c>
    </row>
    <row r="560" spans="63:81">
      <c r="BK560" t="s">
        <v>2774</v>
      </c>
      <c r="CB560" t="s">
        <v>4249</v>
      </c>
      <c r="CC560" s="42" t="s">
        <v>4809</v>
      </c>
    </row>
    <row r="561" spans="63:81">
      <c r="BK561" t="s">
        <v>2775</v>
      </c>
      <c r="CB561" t="s">
        <v>4250</v>
      </c>
      <c r="CC561" s="42" t="s">
        <v>4810</v>
      </c>
    </row>
    <row r="562" spans="63:81">
      <c r="BK562" t="s">
        <v>2776</v>
      </c>
      <c r="CB562" t="s">
        <v>4251</v>
      </c>
      <c r="CC562" s="42" t="s">
        <v>4811</v>
      </c>
    </row>
    <row r="563" spans="63:81">
      <c r="BK563" t="s">
        <v>2777</v>
      </c>
      <c r="CB563" t="s">
        <v>974</v>
      </c>
      <c r="CC563" s="42" t="s">
        <v>977</v>
      </c>
    </row>
    <row r="564" spans="63:81">
      <c r="BK564" t="s">
        <v>2778</v>
      </c>
      <c r="CB564" t="s">
        <v>787</v>
      </c>
      <c r="CC564" s="42" t="s">
        <v>819</v>
      </c>
    </row>
    <row r="565" spans="63:81">
      <c r="BK565" t="s">
        <v>2779</v>
      </c>
    </row>
    <row r="566" spans="63:81">
      <c r="BK566" t="s">
        <v>2780</v>
      </c>
    </row>
    <row r="567" spans="63:81">
      <c r="BK567" t="s">
        <v>2781</v>
      </c>
    </row>
    <row r="568" spans="63:81">
      <c r="BK568" t="s">
        <v>2782</v>
      </c>
    </row>
    <row r="569" spans="63:81">
      <c r="BK569" t="s">
        <v>2783</v>
      </c>
    </row>
    <row r="570" spans="63:81">
      <c r="BK570" t="s">
        <v>2784</v>
      </c>
    </row>
    <row r="571" spans="63:81">
      <c r="BK571" t="s">
        <v>2785</v>
      </c>
    </row>
    <row r="572" spans="63:81">
      <c r="BK572" t="s">
        <v>2786</v>
      </c>
    </row>
    <row r="573" spans="63:81">
      <c r="BK573" t="s">
        <v>2787</v>
      </c>
    </row>
    <row r="574" spans="63:81">
      <c r="BK574" t="s">
        <v>2788</v>
      </c>
    </row>
    <row r="575" spans="63:81">
      <c r="BK575" t="s">
        <v>2789</v>
      </c>
    </row>
    <row r="576" spans="63:81">
      <c r="BK576" t="s">
        <v>2790</v>
      </c>
    </row>
    <row r="577" spans="63:63">
      <c r="BK577" t="s">
        <v>2791</v>
      </c>
    </row>
    <row r="578" spans="63:63">
      <c r="BK578" t="s">
        <v>2792</v>
      </c>
    </row>
    <row r="579" spans="63:63">
      <c r="BK579" t="s">
        <v>2793</v>
      </c>
    </row>
    <row r="580" spans="63:63">
      <c r="BK580" t="s">
        <v>2794</v>
      </c>
    </row>
    <row r="581" spans="63:63">
      <c r="BK581" t="s">
        <v>2795</v>
      </c>
    </row>
    <row r="582" spans="63:63">
      <c r="BK582" t="s">
        <v>2796</v>
      </c>
    </row>
    <row r="583" spans="63:63">
      <c r="BK583" t="s">
        <v>2797</v>
      </c>
    </row>
    <row r="584" spans="63:63">
      <c r="BK584" t="s">
        <v>2798</v>
      </c>
    </row>
    <row r="585" spans="63:63">
      <c r="BK585" t="s">
        <v>2799</v>
      </c>
    </row>
    <row r="586" spans="63:63">
      <c r="BK586" t="s">
        <v>2800</v>
      </c>
    </row>
    <row r="587" spans="63:63">
      <c r="BK587" t="s">
        <v>2801</v>
      </c>
    </row>
    <row r="588" spans="63:63">
      <c r="BK588" t="s">
        <v>2802</v>
      </c>
    </row>
    <row r="589" spans="63:63">
      <c r="BK589" t="s">
        <v>2803</v>
      </c>
    </row>
    <row r="590" spans="63:63">
      <c r="BK590" t="s">
        <v>2804</v>
      </c>
    </row>
    <row r="591" spans="63:63">
      <c r="BK591" t="s">
        <v>2805</v>
      </c>
    </row>
    <row r="592" spans="63:63">
      <c r="BK592" t="s">
        <v>2806</v>
      </c>
    </row>
    <row r="593" spans="63:63">
      <c r="BK593" t="s">
        <v>2807</v>
      </c>
    </row>
    <row r="594" spans="63:63">
      <c r="BK594" t="s">
        <v>2808</v>
      </c>
    </row>
    <row r="595" spans="63:63">
      <c r="BK595" t="s">
        <v>2809</v>
      </c>
    </row>
    <row r="596" spans="63:63">
      <c r="BK596" t="s">
        <v>2810</v>
      </c>
    </row>
    <row r="597" spans="63:63">
      <c r="BK597" t="s">
        <v>2811</v>
      </c>
    </row>
    <row r="598" spans="63:63">
      <c r="BK598" t="s">
        <v>2812</v>
      </c>
    </row>
    <row r="599" spans="63:63">
      <c r="BK599" t="s">
        <v>2813</v>
      </c>
    </row>
    <row r="600" spans="63:63">
      <c r="BK600" t="s">
        <v>2814</v>
      </c>
    </row>
    <row r="601" spans="63:63">
      <c r="BK601" t="s">
        <v>2815</v>
      </c>
    </row>
    <row r="602" spans="63:63">
      <c r="BK602" t="s">
        <v>2816</v>
      </c>
    </row>
    <row r="603" spans="63:63">
      <c r="BK603" t="s">
        <v>2817</v>
      </c>
    </row>
    <row r="604" spans="63:63">
      <c r="BK604" t="s">
        <v>2818</v>
      </c>
    </row>
    <row r="605" spans="63:63">
      <c r="BK605" t="s">
        <v>2819</v>
      </c>
    </row>
    <row r="606" spans="63:63">
      <c r="BK606" t="s">
        <v>2820</v>
      </c>
    </row>
    <row r="607" spans="63:63">
      <c r="BK607" t="s">
        <v>2821</v>
      </c>
    </row>
    <row r="608" spans="63:63">
      <c r="BK608" t="s">
        <v>2822</v>
      </c>
    </row>
    <row r="609" spans="63:63">
      <c r="BK609" t="s">
        <v>2823</v>
      </c>
    </row>
    <row r="610" spans="63:63">
      <c r="BK610" t="s">
        <v>2824</v>
      </c>
    </row>
    <row r="611" spans="63:63">
      <c r="BK611" t="s">
        <v>2825</v>
      </c>
    </row>
    <row r="612" spans="63:63">
      <c r="BK612" t="s">
        <v>2826</v>
      </c>
    </row>
    <row r="613" spans="63:63">
      <c r="BK613" t="s">
        <v>2827</v>
      </c>
    </row>
    <row r="614" spans="63:63">
      <c r="BK614" t="s">
        <v>2828</v>
      </c>
    </row>
    <row r="615" spans="63:63">
      <c r="BK615" t="s">
        <v>2829</v>
      </c>
    </row>
    <row r="616" spans="63:63">
      <c r="BK616" t="s">
        <v>2830</v>
      </c>
    </row>
    <row r="617" spans="63:63">
      <c r="BK617" t="s">
        <v>2831</v>
      </c>
    </row>
    <row r="618" spans="63:63">
      <c r="BK618" t="s">
        <v>2832</v>
      </c>
    </row>
    <row r="619" spans="63:63">
      <c r="BK619" t="s">
        <v>2833</v>
      </c>
    </row>
    <row r="620" spans="63:63">
      <c r="BK620" t="s">
        <v>2834</v>
      </c>
    </row>
    <row r="621" spans="63:63">
      <c r="BK621" t="s">
        <v>2835</v>
      </c>
    </row>
    <row r="622" spans="63:63">
      <c r="BK622" t="s">
        <v>2836</v>
      </c>
    </row>
    <row r="623" spans="63:63">
      <c r="BK623" t="s">
        <v>2837</v>
      </c>
    </row>
    <row r="624" spans="63:63">
      <c r="BK624" t="s">
        <v>2838</v>
      </c>
    </row>
    <row r="625" spans="63:63">
      <c r="BK625" t="s">
        <v>2839</v>
      </c>
    </row>
    <row r="626" spans="63:63">
      <c r="BK626" t="s">
        <v>2840</v>
      </c>
    </row>
    <row r="627" spans="63:63">
      <c r="BK627" t="s">
        <v>2841</v>
      </c>
    </row>
    <row r="628" spans="63:63">
      <c r="BK628" t="s">
        <v>2842</v>
      </c>
    </row>
    <row r="629" spans="63:63">
      <c r="BK629" t="s">
        <v>2843</v>
      </c>
    </row>
    <row r="630" spans="63:63">
      <c r="BK630" t="s">
        <v>2844</v>
      </c>
    </row>
    <row r="631" spans="63:63">
      <c r="BK631" t="s">
        <v>2845</v>
      </c>
    </row>
    <row r="632" spans="63:63">
      <c r="BK632" t="s">
        <v>2846</v>
      </c>
    </row>
    <row r="633" spans="63:63">
      <c r="BK633" t="s">
        <v>2847</v>
      </c>
    </row>
    <row r="634" spans="63:63">
      <c r="BK634" t="s">
        <v>2848</v>
      </c>
    </row>
    <row r="635" spans="63:63">
      <c r="BK635" t="s">
        <v>2849</v>
      </c>
    </row>
    <row r="636" spans="63:63">
      <c r="BK636" t="s">
        <v>2850</v>
      </c>
    </row>
    <row r="637" spans="63:63">
      <c r="BK637" t="s">
        <v>2851</v>
      </c>
    </row>
    <row r="638" spans="63:63">
      <c r="BK638" t="s">
        <v>2852</v>
      </c>
    </row>
    <row r="639" spans="63:63">
      <c r="BK639" t="s">
        <v>2853</v>
      </c>
    </row>
    <row r="640" spans="63:63">
      <c r="BK640" t="s">
        <v>2854</v>
      </c>
    </row>
    <row r="641" spans="63:63">
      <c r="BK641" t="s">
        <v>2855</v>
      </c>
    </row>
    <row r="642" spans="63:63">
      <c r="BK642" t="s">
        <v>2856</v>
      </c>
    </row>
    <row r="643" spans="63:63">
      <c r="BK643" t="s">
        <v>2857</v>
      </c>
    </row>
    <row r="644" spans="63:63">
      <c r="BK644" t="s">
        <v>2858</v>
      </c>
    </row>
    <row r="645" spans="63:63">
      <c r="BK645" t="s">
        <v>2859</v>
      </c>
    </row>
    <row r="646" spans="63:63">
      <c r="BK646" t="s">
        <v>2860</v>
      </c>
    </row>
    <row r="647" spans="63:63">
      <c r="BK647" t="s">
        <v>2861</v>
      </c>
    </row>
    <row r="648" spans="63:63">
      <c r="BK648" t="s">
        <v>2862</v>
      </c>
    </row>
    <row r="649" spans="63:63">
      <c r="BK649" t="s">
        <v>2863</v>
      </c>
    </row>
    <row r="650" spans="63:63">
      <c r="BK650" t="s">
        <v>2864</v>
      </c>
    </row>
    <row r="651" spans="63:63">
      <c r="BK651" t="s">
        <v>2865</v>
      </c>
    </row>
    <row r="652" spans="63:63">
      <c r="BK652" t="s">
        <v>2866</v>
      </c>
    </row>
    <row r="653" spans="63:63">
      <c r="BK653" t="s">
        <v>2867</v>
      </c>
    </row>
    <row r="654" spans="63:63">
      <c r="BK654" t="s">
        <v>2868</v>
      </c>
    </row>
    <row r="655" spans="63:63">
      <c r="BK655" t="s">
        <v>2869</v>
      </c>
    </row>
    <row r="656" spans="63:63">
      <c r="BK656" t="s">
        <v>2870</v>
      </c>
    </row>
    <row r="657" spans="63:63">
      <c r="BK657" t="s">
        <v>2871</v>
      </c>
    </row>
    <row r="658" spans="63:63">
      <c r="BK658" t="s">
        <v>2872</v>
      </c>
    </row>
    <row r="659" spans="63:63">
      <c r="BK659" t="s">
        <v>2873</v>
      </c>
    </row>
    <row r="660" spans="63:63">
      <c r="BK660" t="s">
        <v>2874</v>
      </c>
    </row>
    <row r="661" spans="63:63">
      <c r="BK661" t="s">
        <v>2875</v>
      </c>
    </row>
    <row r="662" spans="63:63">
      <c r="BK662" t="s">
        <v>2876</v>
      </c>
    </row>
    <row r="663" spans="63:63">
      <c r="BK663" t="s">
        <v>2877</v>
      </c>
    </row>
    <row r="664" spans="63:63">
      <c r="BK664" t="s">
        <v>2878</v>
      </c>
    </row>
    <row r="665" spans="63:63">
      <c r="BK665" t="s">
        <v>2879</v>
      </c>
    </row>
    <row r="666" spans="63:63">
      <c r="BK666" t="s">
        <v>2880</v>
      </c>
    </row>
    <row r="667" spans="63:63">
      <c r="BK667" t="s">
        <v>2881</v>
      </c>
    </row>
    <row r="668" spans="63:63">
      <c r="BK668" t="s">
        <v>2882</v>
      </c>
    </row>
    <row r="669" spans="63:63">
      <c r="BK669" t="s">
        <v>2883</v>
      </c>
    </row>
    <row r="670" spans="63:63">
      <c r="BK670" t="s">
        <v>2884</v>
      </c>
    </row>
    <row r="671" spans="63:63">
      <c r="BK671" t="s">
        <v>2885</v>
      </c>
    </row>
    <row r="672" spans="63:63">
      <c r="BK672" t="s">
        <v>2886</v>
      </c>
    </row>
    <row r="673" spans="63:63">
      <c r="BK673" t="s">
        <v>2887</v>
      </c>
    </row>
    <row r="674" spans="63:63">
      <c r="BK674" t="s">
        <v>2888</v>
      </c>
    </row>
    <row r="675" spans="63:63">
      <c r="BK675" t="s">
        <v>2889</v>
      </c>
    </row>
    <row r="676" spans="63:63">
      <c r="BK676" t="s">
        <v>2890</v>
      </c>
    </row>
    <row r="677" spans="63:63">
      <c r="BK677" t="s">
        <v>2891</v>
      </c>
    </row>
    <row r="678" spans="63:63">
      <c r="BK678" t="s">
        <v>2892</v>
      </c>
    </row>
    <row r="679" spans="63:63">
      <c r="BK679" t="s">
        <v>2893</v>
      </c>
    </row>
    <row r="680" spans="63:63">
      <c r="BK680" t="s">
        <v>2894</v>
      </c>
    </row>
    <row r="681" spans="63:63">
      <c r="BK681" t="s">
        <v>2895</v>
      </c>
    </row>
    <row r="682" spans="63:63">
      <c r="BK682" t="s">
        <v>2896</v>
      </c>
    </row>
    <row r="683" spans="63:63">
      <c r="BK683" t="s">
        <v>2897</v>
      </c>
    </row>
    <row r="684" spans="63:63">
      <c r="BK684" t="s">
        <v>2898</v>
      </c>
    </row>
    <row r="685" spans="63:63">
      <c r="BK685" t="s">
        <v>2899</v>
      </c>
    </row>
    <row r="686" spans="63:63">
      <c r="BK686" t="s">
        <v>2900</v>
      </c>
    </row>
    <row r="687" spans="63:63">
      <c r="BK687" t="s">
        <v>2901</v>
      </c>
    </row>
    <row r="688" spans="63:63">
      <c r="BK688" t="s">
        <v>2902</v>
      </c>
    </row>
    <row r="689" spans="63:63">
      <c r="BK689" t="s">
        <v>2903</v>
      </c>
    </row>
    <row r="690" spans="63:63">
      <c r="BK690" t="s">
        <v>2904</v>
      </c>
    </row>
    <row r="691" spans="63:63">
      <c r="BK691" t="s">
        <v>2905</v>
      </c>
    </row>
    <row r="692" spans="63:63">
      <c r="BK692" t="s">
        <v>2906</v>
      </c>
    </row>
    <row r="693" spans="63:63">
      <c r="BK693" t="s">
        <v>2907</v>
      </c>
    </row>
    <row r="694" spans="63:63">
      <c r="BK694" t="s">
        <v>2908</v>
      </c>
    </row>
    <row r="695" spans="63:63">
      <c r="BK695" t="s">
        <v>2909</v>
      </c>
    </row>
    <row r="696" spans="63:63">
      <c r="BK696" t="s">
        <v>2910</v>
      </c>
    </row>
    <row r="697" spans="63:63">
      <c r="BK697" t="s">
        <v>2911</v>
      </c>
    </row>
    <row r="698" spans="63:63">
      <c r="BK698" t="s">
        <v>2912</v>
      </c>
    </row>
    <row r="699" spans="63:63">
      <c r="BK699" t="s">
        <v>2913</v>
      </c>
    </row>
    <row r="700" spans="63:63">
      <c r="BK700" t="s">
        <v>2914</v>
      </c>
    </row>
    <row r="701" spans="63:63">
      <c r="BK701" t="s">
        <v>2915</v>
      </c>
    </row>
    <row r="702" spans="63:63">
      <c r="BK702" t="s">
        <v>2916</v>
      </c>
    </row>
    <row r="703" spans="63:63">
      <c r="BK703" t="s">
        <v>2917</v>
      </c>
    </row>
    <row r="704" spans="63:63">
      <c r="BK704" t="s">
        <v>2918</v>
      </c>
    </row>
    <row r="705" spans="63:63">
      <c r="BK705" t="s">
        <v>2919</v>
      </c>
    </row>
    <row r="706" spans="63:63">
      <c r="BK706" t="s">
        <v>2920</v>
      </c>
    </row>
    <row r="707" spans="63:63">
      <c r="BK707" t="s">
        <v>2921</v>
      </c>
    </row>
    <row r="708" spans="63:63">
      <c r="BK708" t="s">
        <v>2922</v>
      </c>
    </row>
    <row r="709" spans="63:63">
      <c r="BK709" t="s">
        <v>2923</v>
      </c>
    </row>
    <row r="710" spans="63:63">
      <c r="BK710" t="s">
        <v>2924</v>
      </c>
    </row>
    <row r="711" spans="63:63">
      <c r="BK711" t="s">
        <v>2925</v>
      </c>
    </row>
    <row r="712" spans="63:63">
      <c r="BK712" t="s">
        <v>2926</v>
      </c>
    </row>
    <row r="713" spans="63:63">
      <c r="BK713" t="s">
        <v>2927</v>
      </c>
    </row>
    <row r="714" spans="63:63">
      <c r="BK714" t="s">
        <v>2928</v>
      </c>
    </row>
    <row r="715" spans="63:63">
      <c r="BK715" t="s">
        <v>2929</v>
      </c>
    </row>
    <row r="716" spans="63:63">
      <c r="BK716" t="s">
        <v>2930</v>
      </c>
    </row>
    <row r="717" spans="63:63">
      <c r="BK717" t="s">
        <v>2931</v>
      </c>
    </row>
    <row r="718" spans="63:63">
      <c r="BK718" t="s">
        <v>2932</v>
      </c>
    </row>
    <row r="719" spans="63:63">
      <c r="BK719" t="s">
        <v>2933</v>
      </c>
    </row>
    <row r="720" spans="63:63">
      <c r="BK720" t="s">
        <v>2934</v>
      </c>
    </row>
    <row r="721" spans="63:63">
      <c r="BK721" t="s">
        <v>2935</v>
      </c>
    </row>
    <row r="722" spans="63:63">
      <c r="BK722" t="s">
        <v>2936</v>
      </c>
    </row>
    <row r="723" spans="63:63">
      <c r="BK723" t="s">
        <v>2937</v>
      </c>
    </row>
    <row r="724" spans="63:63">
      <c r="BK724" t="s">
        <v>2938</v>
      </c>
    </row>
    <row r="725" spans="63:63">
      <c r="BK725" t="s">
        <v>2939</v>
      </c>
    </row>
    <row r="726" spans="63:63">
      <c r="BK726" t="s">
        <v>2940</v>
      </c>
    </row>
    <row r="727" spans="63:63">
      <c r="BK727" t="s">
        <v>2941</v>
      </c>
    </row>
    <row r="728" spans="63:63">
      <c r="BK728" t="s">
        <v>2942</v>
      </c>
    </row>
    <row r="729" spans="63:63">
      <c r="BK729" t="s">
        <v>2943</v>
      </c>
    </row>
    <row r="730" spans="63:63">
      <c r="BK730" t="s">
        <v>2944</v>
      </c>
    </row>
    <row r="731" spans="63:63">
      <c r="BK731" t="s">
        <v>2945</v>
      </c>
    </row>
    <row r="732" spans="63:63">
      <c r="BK732" t="s">
        <v>2946</v>
      </c>
    </row>
    <row r="733" spans="63:63">
      <c r="BK733" t="s">
        <v>2947</v>
      </c>
    </row>
    <row r="734" spans="63:63">
      <c r="BK734" t="s">
        <v>2948</v>
      </c>
    </row>
    <row r="735" spans="63:63">
      <c r="BK735" t="s">
        <v>2949</v>
      </c>
    </row>
    <row r="736" spans="63:63">
      <c r="BK736" t="s">
        <v>2950</v>
      </c>
    </row>
    <row r="737" spans="63:63">
      <c r="BK737" t="s">
        <v>2951</v>
      </c>
    </row>
    <row r="738" spans="63:63">
      <c r="BK738" t="s">
        <v>2952</v>
      </c>
    </row>
    <row r="739" spans="63:63">
      <c r="BK739" t="s">
        <v>2953</v>
      </c>
    </row>
    <row r="740" spans="63:63">
      <c r="BK740" t="s">
        <v>2954</v>
      </c>
    </row>
    <row r="741" spans="63:63">
      <c r="BK741" t="s">
        <v>2955</v>
      </c>
    </row>
    <row r="742" spans="63:63">
      <c r="BK742" t="s">
        <v>2956</v>
      </c>
    </row>
    <row r="743" spans="63:63">
      <c r="BK743" t="s">
        <v>2957</v>
      </c>
    </row>
    <row r="744" spans="63:63">
      <c r="BK744" t="s">
        <v>2958</v>
      </c>
    </row>
    <row r="745" spans="63:63">
      <c r="BK745" t="s">
        <v>2959</v>
      </c>
    </row>
    <row r="746" spans="63:63">
      <c r="BK746" t="s">
        <v>2960</v>
      </c>
    </row>
    <row r="747" spans="63:63">
      <c r="BK747" t="s">
        <v>2961</v>
      </c>
    </row>
    <row r="748" spans="63:63">
      <c r="BK748" t="s">
        <v>2962</v>
      </c>
    </row>
    <row r="749" spans="63:63">
      <c r="BK749" t="s">
        <v>2963</v>
      </c>
    </row>
    <row r="750" spans="63:63">
      <c r="BK750" t="s">
        <v>2964</v>
      </c>
    </row>
    <row r="751" spans="63:63">
      <c r="BK751" t="s">
        <v>2965</v>
      </c>
    </row>
    <row r="752" spans="63:63">
      <c r="BK752" t="s">
        <v>2966</v>
      </c>
    </row>
    <row r="753" spans="63:63">
      <c r="BK753" t="s">
        <v>2967</v>
      </c>
    </row>
    <row r="754" spans="63:63">
      <c r="BK754" t="s">
        <v>2968</v>
      </c>
    </row>
    <row r="755" spans="63:63">
      <c r="BK755" t="s">
        <v>2969</v>
      </c>
    </row>
    <row r="756" spans="63:63">
      <c r="BK756" t="s">
        <v>2970</v>
      </c>
    </row>
    <row r="757" spans="63:63">
      <c r="BK757" t="s">
        <v>2971</v>
      </c>
    </row>
    <row r="758" spans="63:63">
      <c r="BK758" t="s">
        <v>2972</v>
      </c>
    </row>
    <row r="759" spans="63:63">
      <c r="BK759" t="s">
        <v>2973</v>
      </c>
    </row>
    <row r="760" spans="63:63">
      <c r="BK760" t="s">
        <v>2974</v>
      </c>
    </row>
    <row r="761" spans="63:63">
      <c r="BK761" t="s">
        <v>2975</v>
      </c>
    </row>
    <row r="762" spans="63:63">
      <c r="BK762" t="s">
        <v>2976</v>
      </c>
    </row>
    <row r="763" spans="63:63">
      <c r="BK763" t="s">
        <v>2977</v>
      </c>
    </row>
    <row r="764" spans="63:63">
      <c r="BK764" t="s">
        <v>2978</v>
      </c>
    </row>
    <row r="765" spans="63:63">
      <c r="BK765" t="s">
        <v>2979</v>
      </c>
    </row>
    <row r="766" spans="63:63">
      <c r="BK766" t="s">
        <v>2980</v>
      </c>
    </row>
    <row r="767" spans="63:63">
      <c r="BK767" t="s">
        <v>2981</v>
      </c>
    </row>
    <row r="768" spans="63:63">
      <c r="BK768" t="s">
        <v>2982</v>
      </c>
    </row>
    <row r="769" spans="63:63">
      <c r="BK769" t="s">
        <v>2983</v>
      </c>
    </row>
    <row r="770" spans="63:63">
      <c r="BK770" t="s">
        <v>2984</v>
      </c>
    </row>
    <row r="771" spans="63:63">
      <c r="BK771" t="s">
        <v>2985</v>
      </c>
    </row>
    <row r="772" spans="63:63">
      <c r="BK772" t="s">
        <v>2986</v>
      </c>
    </row>
    <row r="773" spans="63:63">
      <c r="BK773" t="s">
        <v>2987</v>
      </c>
    </row>
    <row r="774" spans="63:63">
      <c r="BK774" t="s">
        <v>2988</v>
      </c>
    </row>
    <row r="775" spans="63:63">
      <c r="BK775" t="s">
        <v>2989</v>
      </c>
    </row>
    <row r="776" spans="63:63">
      <c r="BK776" t="s">
        <v>2990</v>
      </c>
    </row>
    <row r="777" spans="63:63">
      <c r="BK777" t="s">
        <v>2991</v>
      </c>
    </row>
    <row r="778" spans="63:63">
      <c r="BK778" t="s">
        <v>2992</v>
      </c>
    </row>
    <row r="779" spans="63:63">
      <c r="BK779" t="s">
        <v>2993</v>
      </c>
    </row>
    <row r="780" spans="63:63">
      <c r="BK780" t="s">
        <v>2994</v>
      </c>
    </row>
    <row r="781" spans="63:63">
      <c r="BK781" t="s">
        <v>2995</v>
      </c>
    </row>
    <row r="782" spans="63:63">
      <c r="BK782" t="s">
        <v>2996</v>
      </c>
    </row>
    <row r="783" spans="63:63">
      <c r="BK783" t="s">
        <v>2997</v>
      </c>
    </row>
    <row r="784" spans="63:63">
      <c r="BK784" t="s">
        <v>2998</v>
      </c>
    </row>
    <row r="785" spans="63:63">
      <c r="BK785" t="s">
        <v>2999</v>
      </c>
    </row>
    <row r="786" spans="63:63">
      <c r="BK786" t="s">
        <v>3000</v>
      </c>
    </row>
    <row r="787" spans="63:63">
      <c r="BK787" t="s">
        <v>3001</v>
      </c>
    </row>
    <row r="788" spans="63:63">
      <c r="BK788" t="s">
        <v>3002</v>
      </c>
    </row>
    <row r="789" spans="63:63">
      <c r="BK789" t="s">
        <v>3003</v>
      </c>
    </row>
    <row r="790" spans="63:63">
      <c r="BK790" t="s">
        <v>3004</v>
      </c>
    </row>
    <row r="791" spans="63:63">
      <c r="BK791" t="s">
        <v>3005</v>
      </c>
    </row>
    <row r="792" spans="63:63">
      <c r="BK792" t="s">
        <v>3006</v>
      </c>
    </row>
    <row r="793" spans="63:63">
      <c r="BK793" t="s">
        <v>3007</v>
      </c>
    </row>
    <row r="794" spans="63:63">
      <c r="BK794" t="s">
        <v>3008</v>
      </c>
    </row>
    <row r="795" spans="63:63">
      <c r="BK795" t="s">
        <v>3009</v>
      </c>
    </row>
    <row r="796" spans="63:63">
      <c r="BK796" t="s">
        <v>3010</v>
      </c>
    </row>
    <row r="797" spans="63:63">
      <c r="BK797" t="s">
        <v>3011</v>
      </c>
    </row>
    <row r="798" spans="63:63">
      <c r="BK798" t="s">
        <v>3012</v>
      </c>
    </row>
    <row r="799" spans="63:63">
      <c r="BK799" t="s">
        <v>3013</v>
      </c>
    </row>
    <row r="800" spans="63:63">
      <c r="BK800" t="s">
        <v>3014</v>
      </c>
    </row>
    <row r="801" spans="63:63">
      <c r="BK801" t="s">
        <v>3015</v>
      </c>
    </row>
    <row r="802" spans="63:63">
      <c r="BK802" t="s">
        <v>3016</v>
      </c>
    </row>
    <row r="803" spans="63:63">
      <c r="BK803" t="s">
        <v>3017</v>
      </c>
    </row>
    <row r="804" spans="63:63">
      <c r="BK804" t="s">
        <v>3018</v>
      </c>
    </row>
    <row r="805" spans="63:63">
      <c r="BK805" t="s">
        <v>3019</v>
      </c>
    </row>
    <row r="806" spans="63:63">
      <c r="BK806" t="s">
        <v>3020</v>
      </c>
    </row>
    <row r="807" spans="63:63">
      <c r="BK807" t="s">
        <v>3021</v>
      </c>
    </row>
    <row r="808" spans="63:63">
      <c r="BK808" t="s">
        <v>3022</v>
      </c>
    </row>
    <row r="809" spans="63:63">
      <c r="BK809" t="s">
        <v>3023</v>
      </c>
    </row>
    <row r="810" spans="63:63">
      <c r="BK810" t="s">
        <v>3024</v>
      </c>
    </row>
    <row r="811" spans="63:63">
      <c r="BK811" t="s">
        <v>3025</v>
      </c>
    </row>
    <row r="812" spans="63:63">
      <c r="BK812" t="s">
        <v>3026</v>
      </c>
    </row>
    <row r="813" spans="63:63">
      <c r="BK813" t="s">
        <v>3027</v>
      </c>
    </row>
    <row r="814" spans="63:63">
      <c r="BK814" t="s">
        <v>3028</v>
      </c>
    </row>
    <row r="815" spans="63:63">
      <c r="BK815" t="s">
        <v>3029</v>
      </c>
    </row>
    <row r="816" spans="63:63">
      <c r="BK816" t="s">
        <v>3030</v>
      </c>
    </row>
    <row r="817" spans="63:63">
      <c r="BK817" t="s">
        <v>3031</v>
      </c>
    </row>
    <row r="818" spans="63:63">
      <c r="BK818" t="s">
        <v>3032</v>
      </c>
    </row>
    <row r="819" spans="63:63">
      <c r="BK819" t="s">
        <v>3033</v>
      </c>
    </row>
    <row r="820" spans="63:63">
      <c r="BK820" t="s">
        <v>3034</v>
      </c>
    </row>
    <row r="821" spans="63:63">
      <c r="BK821" t="s">
        <v>3035</v>
      </c>
    </row>
    <row r="822" spans="63:63">
      <c r="BK822" t="s">
        <v>3036</v>
      </c>
    </row>
    <row r="823" spans="63:63">
      <c r="BK823" t="s">
        <v>3037</v>
      </c>
    </row>
    <row r="824" spans="63:63">
      <c r="BK824" t="s">
        <v>3038</v>
      </c>
    </row>
    <row r="825" spans="63:63">
      <c r="BK825" t="s">
        <v>3039</v>
      </c>
    </row>
    <row r="826" spans="63:63">
      <c r="BK826" t="s">
        <v>3040</v>
      </c>
    </row>
    <row r="827" spans="63:63">
      <c r="BK827" t="s">
        <v>3041</v>
      </c>
    </row>
    <row r="828" spans="63:63">
      <c r="BK828" t="s">
        <v>3042</v>
      </c>
    </row>
    <row r="829" spans="63:63">
      <c r="BK829" t="s">
        <v>3043</v>
      </c>
    </row>
    <row r="830" spans="63:63">
      <c r="BK830" t="s">
        <v>3044</v>
      </c>
    </row>
    <row r="831" spans="63:63">
      <c r="BK831" t="s">
        <v>3045</v>
      </c>
    </row>
    <row r="832" spans="63:63">
      <c r="BK832" t="s">
        <v>3046</v>
      </c>
    </row>
    <row r="833" spans="63:63">
      <c r="BK833" t="s">
        <v>3047</v>
      </c>
    </row>
    <row r="834" spans="63:63">
      <c r="BK834" t="s">
        <v>3048</v>
      </c>
    </row>
    <row r="835" spans="63:63">
      <c r="BK835" t="s">
        <v>3049</v>
      </c>
    </row>
    <row r="836" spans="63:63">
      <c r="BK836" t="s">
        <v>3050</v>
      </c>
    </row>
    <row r="837" spans="63:63">
      <c r="BK837" t="s">
        <v>3051</v>
      </c>
    </row>
    <row r="838" spans="63:63">
      <c r="BK838" t="s">
        <v>3052</v>
      </c>
    </row>
    <row r="839" spans="63:63">
      <c r="BK839" t="s">
        <v>3053</v>
      </c>
    </row>
    <row r="840" spans="63:63">
      <c r="BK840" t="s">
        <v>3054</v>
      </c>
    </row>
    <row r="841" spans="63:63">
      <c r="BK841" t="s">
        <v>3055</v>
      </c>
    </row>
    <row r="842" spans="63:63">
      <c r="BK842" t="s">
        <v>3056</v>
      </c>
    </row>
    <row r="843" spans="63:63">
      <c r="BK843" t="s">
        <v>3057</v>
      </c>
    </row>
    <row r="844" spans="63:63">
      <c r="BK844" t="s">
        <v>3058</v>
      </c>
    </row>
    <row r="845" spans="63:63">
      <c r="BK845" t="s">
        <v>3059</v>
      </c>
    </row>
    <row r="846" spans="63:63">
      <c r="BK846" t="s">
        <v>3060</v>
      </c>
    </row>
    <row r="847" spans="63:63">
      <c r="BK847" t="s">
        <v>3061</v>
      </c>
    </row>
    <row r="848" spans="63:63">
      <c r="BK848" t="s">
        <v>3062</v>
      </c>
    </row>
    <row r="849" spans="63:63">
      <c r="BK849" t="s">
        <v>3063</v>
      </c>
    </row>
    <row r="850" spans="63:63">
      <c r="BK850" t="s">
        <v>3064</v>
      </c>
    </row>
    <row r="851" spans="63:63">
      <c r="BK851" t="s">
        <v>3065</v>
      </c>
    </row>
    <row r="852" spans="63:63">
      <c r="BK852" t="s">
        <v>3066</v>
      </c>
    </row>
    <row r="853" spans="63:63">
      <c r="BK853" t="s">
        <v>3067</v>
      </c>
    </row>
    <row r="854" spans="63:63">
      <c r="BK854" t="s">
        <v>3068</v>
      </c>
    </row>
    <row r="855" spans="63:63">
      <c r="BK855" t="s">
        <v>3069</v>
      </c>
    </row>
    <row r="856" spans="63:63">
      <c r="BK856" t="s">
        <v>3070</v>
      </c>
    </row>
    <row r="857" spans="63:63">
      <c r="BK857" t="s">
        <v>3071</v>
      </c>
    </row>
    <row r="858" spans="63:63">
      <c r="BK858" t="s">
        <v>3072</v>
      </c>
    </row>
    <row r="859" spans="63:63">
      <c r="BK859" t="s">
        <v>3073</v>
      </c>
    </row>
    <row r="860" spans="63:63">
      <c r="BK860" t="s">
        <v>3074</v>
      </c>
    </row>
    <row r="861" spans="63:63">
      <c r="BK861" t="s">
        <v>3075</v>
      </c>
    </row>
    <row r="862" spans="63:63">
      <c r="BK862" t="s">
        <v>3076</v>
      </c>
    </row>
    <row r="863" spans="63:63">
      <c r="BK863" t="s">
        <v>3077</v>
      </c>
    </row>
    <row r="864" spans="63:63">
      <c r="BK864" t="s">
        <v>3078</v>
      </c>
    </row>
    <row r="865" spans="63:63">
      <c r="BK865" t="s">
        <v>3079</v>
      </c>
    </row>
    <row r="866" spans="63:63">
      <c r="BK866" t="s">
        <v>3080</v>
      </c>
    </row>
    <row r="867" spans="63:63">
      <c r="BK867" t="s">
        <v>3081</v>
      </c>
    </row>
    <row r="868" spans="63:63">
      <c r="BK868" t="s">
        <v>3082</v>
      </c>
    </row>
    <row r="869" spans="63:63">
      <c r="BK869" t="s">
        <v>3083</v>
      </c>
    </row>
    <row r="870" spans="63:63">
      <c r="BK870" t="s">
        <v>3084</v>
      </c>
    </row>
    <row r="871" spans="63:63">
      <c r="BK871" t="s">
        <v>3085</v>
      </c>
    </row>
    <row r="872" spans="63:63">
      <c r="BK872" t="s">
        <v>3086</v>
      </c>
    </row>
    <row r="873" spans="63:63">
      <c r="BK873" t="s">
        <v>3087</v>
      </c>
    </row>
    <row r="874" spans="63:63">
      <c r="BK874" t="s">
        <v>3088</v>
      </c>
    </row>
    <row r="875" spans="63:63">
      <c r="BK875" t="s">
        <v>3089</v>
      </c>
    </row>
    <row r="876" spans="63:63">
      <c r="BK876" t="s">
        <v>3090</v>
      </c>
    </row>
    <row r="877" spans="63:63">
      <c r="BK877" t="s">
        <v>3091</v>
      </c>
    </row>
    <row r="878" spans="63:63">
      <c r="BK878" t="s">
        <v>3092</v>
      </c>
    </row>
    <row r="879" spans="63:63">
      <c r="BK879" t="s">
        <v>3093</v>
      </c>
    </row>
    <row r="880" spans="63:63">
      <c r="BK880" t="s">
        <v>3094</v>
      </c>
    </row>
    <row r="881" spans="63:63">
      <c r="BK881" t="s">
        <v>3095</v>
      </c>
    </row>
    <row r="882" spans="63:63">
      <c r="BK882" t="s">
        <v>3096</v>
      </c>
    </row>
    <row r="883" spans="63:63">
      <c r="BK883" t="s">
        <v>3097</v>
      </c>
    </row>
    <row r="884" spans="63:63">
      <c r="BK884" t="s">
        <v>3098</v>
      </c>
    </row>
    <row r="885" spans="63:63">
      <c r="BK885" t="s">
        <v>3099</v>
      </c>
    </row>
    <row r="886" spans="63:63">
      <c r="BK886" t="s">
        <v>3100</v>
      </c>
    </row>
    <row r="887" spans="63:63">
      <c r="BK887" t="s">
        <v>3101</v>
      </c>
    </row>
    <row r="888" spans="63:63">
      <c r="BK888" t="s">
        <v>3102</v>
      </c>
    </row>
    <row r="889" spans="63:63">
      <c r="BK889" t="s">
        <v>3103</v>
      </c>
    </row>
    <row r="890" spans="63:63">
      <c r="BK890" t="s">
        <v>3104</v>
      </c>
    </row>
    <row r="891" spans="63:63">
      <c r="BK891" t="s">
        <v>3105</v>
      </c>
    </row>
    <row r="892" spans="63:63">
      <c r="BK892" t="s">
        <v>3106</v>
      </c>
    </row>
    <row r="893" spans="63:63">
      <c r="BK893" t="s">
        <v>3107</v>
      </c>
    </row>
    <row r="894" spans="63:63">
      <c r="BK894" t="s">
        <v>3108</v>
      </c>
    </row>
    <row r="895" spans="63:63">
      <c r="BK895" t="s">
        <v>3109</v>
      </c>
    </row>
    <row r="896" spans="63:63">
      <c r="BK896" t="s">
        <v>3110</v>
      </c>
    </row>
    <row r="897" spans="63:63">
      <c r="BK897" t="s">
        <v>3111</v>
      </c>
    </row>
    <row r="898" spans="63:63">
      <c r="BK898" t="s">
        <v>3112</v>
      </c>
    </row>
    <row r="899" spans="63:63">
      <c r="BK899" t="s">
        <v>3113</v>
      </c>
    </row>
    <row r="900" spans="63:63">
      <c r="BK900" t="s">
        <v>3114</v>
      </c>
    </row>
    <row r="901" spans="63:63">
      <c r="BK901" t="s">
        <v>3115</v>
      </c>
    </row>
    <row r="902" spans="63:63">
      <c r="BK902" t="s">
        <v>3116</v>
      </c>
    </row>
  </sheetData>
  <hyperlinks>
    <hyperlink ref="A1" location="#'3757 - Wall Stickers (S)'!JY7" display="Product Type (Wall Stickers - S)"/>
    <hyperlink ref="C1" location="#'3757 - Wall Stickers (S)'!JZ7" display="Subject"/>
    <hyperlink ref="E1" location="#'3757 - Wall Stickers (S)'!KA7" display="Surface Type"/>
    <hyperlink ref="G1" location="#'3757 - Wall Stickers (S)'!KB7" display="Material (Wall Stickers - S)"/>
    <hyperlink ref="I1" location="#'3757 - Wall Stickers (S)'!KC7" display="Compatible Surfaces"/>
    <hyperlink ref="M1" location="#'3757 - Wall Stickers (S)'!KE7" display="Room Use"/>
    <hyperlink ref="O1" location="#'3757 - Wall Stickers (S)'!GS7" display="Country of Origin"/>
    <hyperlink ref="Q1" location="#'3757 - Wall Stickers (S)'!KF7" display="Holiday / Occasion"/>
    <hyperlink ref="S1" location="#'3757 - Wall Stickers (S)'!KG7" display="Country of Origin - Additional Details"/>
    <hyperlink ref="W1" location="#'3757 - Wall Stickers (S)'!KI7" display="Licensed Product Category"/>
    <hyperlink ref="Y1" location="#'3757 - Wall Stickers (S)'!KJ7" display="Durability (Wall Stickers - S)"/>
    <hyperlink ref="AA1" location="#'3757 - Wall Stickers (S)'!KK7" display="Adjustability Features"/>
    <hyperlink ref="AC1" location="#'3757 - Wall Stickers (S)'!KL7" display="Color"/>
    <hyperlink ref="AE1" location="#'3757 - Wall Stickers (S)'!KN7" display="Pieces Included"/>
    <hyperlink ref="AG1" location="#'3757 - Wall Stickers (S)'!KO7" display="Movie / Show Series Name"/>
    <hyperlink ref="AI1" location="#'3757 - Wall Stickers (S)'!KP7" display="General Features (Wall Stickers - S)"/>
    <hyperlink ref="AK1" location="#'3757 - Wall Stickers (S)'!KQ7" display="Age Group"/>
    <hyperlink ref="AO1" location="#'3757 - Wall Stickers (S)'!KV7" display="Commercial Warranty - Commercial Warranty Length"/>
    <hyperlink ref="AQ1" location="#'3757 - Wall Stickers (S)'!KW7" display="Wayfair Compliance Vetting Program (including Baby Safety Alliance fka JPMA) for this product category"/>
    <hyperlink ref="AS1" location="#'3757 - Wall Stickers (S)'!KX7" display="Uniform Packaging and Labeling Regulations (UPLR) Compliant"/>
    <hyperlink ref="AW1" location="#'3757 - Wall Stickers (S)'!KZ7" display="ISTA Certified"/>
    <hyperlink ref="BA1" location="#'3757 - Wall Stickers (S)'!F7" display="Brand"/>
    <hyperlink ref="BB1" location="#'3757 - Wall Stickers (S)'!H7" display="Variant Type"/>
    <hyperlink ref="BC1" location="#'3757 - Wall Stickers (S)'!J7" display="Variant Grouping (Wall Stickers - S)"/>
    <hyperlink ref="BD1" location="#'3757 - Wall Stickers (S)'!AH7" display="Ship Type"/>
    <hyperlink ref="BE1" location="#'3757 - Wall Stickers (S)'!AI7" display="Freight Class"/>
    <hyperlink ref="BF1" location="#'3757 - Wall Stickers (S)'!AJ7" display="Lead Time"/>
    <hyperlink ref="BG1" location="#'3757 - Wall Stickers (S)'!AK7" display="Replacement Lead Time"/>
    <hyperlink ref="BK1" location="#'3757 - Wall Stickers (S)'!GU7" display="Chemical"/>
    <hyperlink ref="BL1" location="#'3757 - Wall Stickers (S)'!GV7" display="Toxicity"/>
    <hyperlink ref="BM1" location="#'3757 - Wall Stickers (S)'!IL7" display="Document Type"/>
    <hyperlink ref="BN1" location="#'3757 - Wall Stickers (S)'!IM7" display="Legal Document Type"/>
    <hyperlink ref="BO1" location="#'3757 - Wall Stickers (S)'!IN7" display="Document Region"/>
    <hyperlink ref="BP1" location="#'6161 - Wallpaper (S)'!JY7" display="Product Type (Wallpaper - S)"/>
    <hyperlink ref="BR1" location="#'6161 - Wallpaper (S)'!JZ7" display="Application Type"/>
    <hyperlink ref="BT1" location="#'6161 - Wallpaper (S)'!KA7" display="Removal Type"/>
    <hyperlink ref="BV1" location="#'6161 - Wallpaper (S)'!KB7" display="Material (Wallpaper - S)"/>
    <hyperlink ref="BX1" location="#'6161 - Wallpaper (S)'!KC7" display="Finish"/>
    <hyperlink ref="BZ1" location="#'6161 - Wallpaper (S)'!KE7" display="General Features (Wallpaper - S)"/>
    <hyperlink ref="CB1" location="#'6161 - Wallpaper (S)'!KG7" display="Sports Team Name"/>
    <hyperlink ref="CD1" location="#'6161 - Wallpaper (S)'!KH7" display="Pattern"/>
    <hyperlink ref="CF1" location="#'6161 - Wallpaper (S)'!KK7" display="Match Type"/>
    <hyperlink ref="CH1" location="#'6161 - Wallpaper (S)'!KL7" display="Wallpaper Texture"/>
    <hyperlink ref="CJ1" location="#'6161 - Wallpaper (S)'!KM7" display="Designer"/>
    <hyperlink ref="CL1" location="#'6161 - Wallpaper (S)'!KN7" display="Durability (Wallpaper - S)"/>
    <hyperlink ref="CN1" location="#'6161 - Wallpaper (S)'!KP7" display="Supplier Intended and Approved Use"/>
    <hyperlink ref="CP1" location="#'6161 - Wallpaper (S)'!KQ7" display="Product Care"/>
    <hyperlink ref="CR1" location="#'6161 - Wallpaper (S)'!J7" display="Variant Grouping (Wallpaper - S)"/>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Right="0"/>
  </sheetPr>
  <dimension ref="A1:C3"/>
  <sheetViews>
    <sheetView workbookViewId="0"/>
  </sheetViews>
  <sheetFormatPr defaultRowHeight="15"/>
  <cols>
    <col min="1" max="3" width="9.140625"/>
  </cols>
  <sheetData>
    <row r="1" spans="1:3">
      <c r="A1" t="s">
        <v>5587</v>
      </c>
      <c r="C1">
        <f>_xlfn.INFO("release")</f>
        <v>0</v>
      </c>
    </row>
    <row r="2" spans="1:3">
      <c r="C2">
        <f>_xlfn.INFO("system")</f>
        <v>0</v>
      </c>
    </row>
    <row r="3" spans="1:3">
      <c r="C3" cm="1">
        <f t="array" ref="C3">IF(ISERROR(_xlfn.MAP(A8:A8,_xlfn.LAMBDA(_xlpm.class,_xlpm.class&lt;&gt;""))), "Not Available", "Supported")</f>
        <v>0</v>
      </c>
    </row>
  </sheetData>
  <sheetProtection password="FBF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172</vt:i4>
      </vt:variant>
    </vt:vector>
  </HeadingPairs>
  <TitlesOfParts>
    <vt:vector size="182" baseType="lpstr">
      <vt:lpstr>Instructions</vt:lpstr>
      <vt:lpstr>Error Summary</vt:lpstr>
      <vt:lpstr>3757 - Wall Stickers (S)</vt:lpstr>
      <vt:lpstr>3757-S-WUO_ERR</vt:lpstr>
      <vt:lpstr>3757-S-WUO_TRK</vt:lpstr>
      <vt:lpstr>6161 - Wallpaper (S)</vt:lpstr>
      <vt:lpstr>6161-S-WUO_ERR</vt:lpstr>
      <vt:lpstr>6161-S-WUO_TRK</vt:lpstr>
      <vt:lpstr>Valid Values</vt:lpstr>
      <vt:lpstr>WAYFAIR_USE_ONLY</vt:lpstr>
      <vt:lpstr>allowed117_fp_S_class_3757</vt:lpstr>
      <vt:lpstr>allowed117_fp_S_class_6161</vt:lpstr>
      <vt:lpstr>allowed1217_fp_S_class_3757</vt:lpstr>
      <vt:lpstr>allowed1316_fp_S_class_3757</vt:lpstr>
      <vt:lpstr>allowed1316_fp_S_class_6161</vt:lpstr>
      <vt:lpstr>allowed135_fp_S_class_3757</vt:lpstr>
      <vt:lpstr>allowed135_fp_S_class_6161</vt:lpstr>
      <vt:lpstr>allowed1379_fp_S_class_3757</vt:lpstr>
      <vt:lpstr>allowed137_fp_S_class_3757</vt:lpstr>
      <vt:lpstr>allowed1386_fp_S_class_6161</vt:lpstr>
      <vt:lpstr>allowed1388_fp_S_class_3757</vt:lpstr>
      <vt:lpstr>allowed1388_fp_S_class_6161</vt:lpstr>
      <vt:lpstr>allowed1436_fp_S_class_6161</vt:lpstr>
      <vt:lpstr>allowed1437_fp_S_class_3757</vt:lpstr>
      <vt:lpstr>allowed1437_fp_S_class_6161</vt:lpstr>
      <vt:lpstr>allowed1557_fp_S_class_3757</vt:lpstr>
      <vt:lpstr>allowed1557_fp_S_class_6161</vt:lpstr>
      <vt:lpstr>allowed1560_fp_S_class_3757</vt:lpstr>
      <vt:lpstr>allowed1567_fp_S_class_3757</vt:lpstr>
      <vt:lpstr>allowed1966_fp_S_class_3757</vt:lpstr>
      <vt:lpstr>allowed2358_fp_S_class_6161</vt:lpstr>
      <vt:lpstr>allowed2385_fp_S_class_3757</vt:lpstr>
      <vt:lpstr>allowed2385_fp_S_class_6161</vt:lpstr>
      <vt:lpstr>allowed2389_fp_S_class_3757</vt:lpstr>
      <vt:lpstr>allowed256_fp_S_class_3757</vt:lpstr>
      <vt:lpstr>allowed256_fp_S_class_6161</vt:lpstr>
      <vt:lpstr>allowed27_fp_S_class_6161</vt:lpstr>
      <vt:lpstr>allowed28_fp_S_class_3757</vt:lpstr>
      <vt:lpstr>allowed28_fp_S_class_6161</vt:lpstr>
      <vt:lpstr>allowed31_fp_S_class_3757</vt:lpstr>
      <vt:lpstr>allowed31_fp_S_class_6161</vt:lpstr>
      <vt:lpstr>allowed3538_fp_S_class_3757</vt:lpstr>
      <vt:lpstr>allowed3921_fp_S_class_6161</vt:lpstr>
      <vt:lpstr>allowed4123_fp_S_class_6161</vt:lpstr>
      <vt:lpstr>allowed4591_fp_S_class_6161</vt:lpstr>
      <vt:lpstr>allowed5471_fp_S_class_6161</vt:lpstr>
      <vt:lpstr>allowed6012_fp_S_class_6161</vt:lpstr>
      <vt:lpstr>allowed6109_fp_S_class_3757</vt:lpstr>
      <vt:lpstr>allowed6109_fp_S_class_6161</vt:lpstr>
      <vt:lpstr>allowed6253_fp_S_class_3757</vt:lpstr>
      <vt:lpstr>allowed647_fp_S_class_3757</vt:lpstr>
      <vt:lpstr>allowed647_fp_S_class_6161</vt:lpstr>
      <vt:lpstr>allowed807_fp_S_class_3757</vt:lpstr>
      <vt:lpstr>allowed807_fp_S_class_6161</vt:lpstr>
      <vt:lpstr>allowed8205_fp_S_class_3757</vt:lpstr>
      <vt:lpstr>allowed82_fp_S_class_6161</vt:lpstr>
      <vt:lpstr>allowed8462_fp_S_class_3757</vt:lpstr>
      <vt:lpstr>allowed8462_fp_S_class_6161</vt:lpstr>
      <vt:lpstr>allowed8653_fp_S_class_3757</vt:lpstr>
      <vt:lpstr>allowed8653_fp_S_class_6161</vt:lpstr>
      <vt:lpstr>allowed9007_fp_S_class_3757</vt:lpstr>
      <vt:lpstr>allowed9007_fp_S_class_6161</vt:lpstr>
      <vt:lpstr>allowed9009_fp_S_class_3757</vt:lpstr>
      <vt:lpstr>allowed9009_fp_S_class_6161</vt:lpstr>
      <vt:lpstr>allowed9011_fp_S_class_3757</vt:lpstr>
      <vt:lpstr>allowed9011_fp_S_class_6161</vt:lpstr>
      <vt:lpstr>allowed9030_fp_S_class_3757</vt:lpstr>
      <vt:lpstr>allowed9030_fp_S_class_6161</vt:lpstr>
      <vt:lpstr>allowed9031_fp_S_class_3757</vt:lpstr>
      <vt:lpstr>allowed9031_fp_S_class_6161</vt:lpstr>
      <vt:lpstr>allowed9032_fp_S_class_3757</vt:lpstr>
      <vt:lpstr>allowed9032_fp_S_class_6161</vt:lpstr>
      <vt:lpstr>allowed9033_fp_S_class_3757</vt:lpstr>
      <vt:lpstr>allowed9033_fp_S_class_6161</vt:lpstr>
      <vt:lpstr>allowed9035_fp_S_class_3757</vt:lpstr>
      <vt:lpstr>allowed9035_fp_S_class_6161</vt:lpstr>
      <vt:lpstr>allowed9036_fp_S_class_3757</vt:lpstr>
      <vt:lpstr>allowed9036_fp_S_class_6161</vt:lpstr>
      <vt:lpstr>allowed9041_fp_S_class_3757</vt:lpstr>
      <vt:lpstr>allowed9041_fp_S_class_6161</vt:lpstr>
      <vt:lpstr>allowed9042_fp_S_class_3757</vt:lpstr>
      <vt:lpstr>allowed9042_fp_S_class_6161</vt:lpstr>
      <vt:lpstr>allowed9043_fp_S_class_3757</vt:lpstr>
      <vt:lpstr>allowed9043_fp_S_class_6161</vt:lpstr>
      <vt:lpstr>allowed9064_fp_S_class_3757</vt:lpstr>
      <vt:lpstr>allowed9064_fp_S_class_6161</vt:lpstr>
      <vt:lpstr>allowed9065_fp_S_class_3757</vt:lpstr>
      <vt:lpstr>allowed9065_fp_S_class_6161</vt:lpstr>
      <vt:lpstr>allowed9066_fp_S_class_3757</vt:lpstr>
      <vt:lpstr>allowed9066_fp_S_class_6161</vt:lpstr>
      <vt:lpstr>allowed95_fp_S_class_3757</vt:lpstr>
      <vt:lpstr>allowed95_fp_S_class_6161</vt:lpstr>
      <vt:lpstr>ClassFeed3757_STANDARDAnswers</vt:lpstr>
      <vt:lpstr>ClassFeed3757_STANDARDErrors</vt:lpstr>
      <vt:lpstr>ClassFeed3757_STANDARDHeaders</vt:lpstr>
      <vt:lpstr>ClassFeed3757_STANDARDTracker</vt:lpstr>
      <vt:lpstr>ClassFeed6161_STANDARDAnswers</vt:lpstr>
      <vt:lpstr>ClassFeed6161_STANDARDErrors</vt:lpstr>
      <vt:lpstr>ClassFeed6161_STANDARDHeaders</vt:lpstr>
      <vt:lpstr>ClassFeed6161_STANDARDTracker</vt:lpstr>
      <vt:lpstr>vvh_117_fp_S_class_3757</vt:lpstr>
      <vt:lpstr>vvh_117_fp_S_class_6161</vt:lpstr>
      <vt:lpstr>vvh_1217_fp_S_class_3757</vt:lpstr>
      <vt:lpstr>vvh_1316_fp_S_class_3757</vt:lpstr>
      <vt:lpstr>vvh_1316_fp_S_class_6161</vt:lpstr>
      <vt:lpstr>vvh_135_fp_S_class_3757</vt:lpstr>
      <vt:lpstr>vvh_135_fp_S_class_6161</vt:lpstr>
      <vt:lpstr>vvh_1379_fp_S_class_3757</vt:lpstr>
      <vt:lpstr>vvh_137_fp_S_class_3757</vt:lpstr>
      <vt:lpstr>vvh_1386_fp_S_class_6161</vt:lpstr>
      <vt:lpstr>vvh_1388_fp_S_class_3757</vt:lpstr>
      <vt:lpstr>vvh_1388_fp_S_class_6161</vt:lpstr>
      <vt:lpstr>vvh_1436_fp_S_class_6161</vt:lpstr>
      <vt:lpstr>vvh_1437_fp_S_class_3757</vt:lpstr>
      <vt:lpstr>vvh_1437_fp_S_class_6161</vt:lpstr>
      <vt:lpstr>vvh_1557_fp_S_class_3757</vt:lpstr>
      <vt:lpstr>vvh_1557_fp_S_class_6161</vt:lpstr>
      <vt:lpstr>vvh_1560_fp_S_class_3757</vt:lpstr>
      <vt:lpstr>vvh_1567_fp_S_class_3757</vt:lpstr>
      <vt:lpstr>vvh_1966_fp_S_class_3757</vt:lpstr>
      <vt:lpstr>vvh_2358_fp_S_class_6161</vt:lpstr>
      <vt:lpstr>vvh_2385_fp_S_class_3757</vt:lpstr>
      <vt:lpstr>vvh_2385_fp_S_class_6161</vt:lpstr>
      <vt:lpstr>vvh_2389_fp_S_class_3757</vt:lpstr>
      <vt:lpstr>vvh_256_fp_S_class_3757</vt:lpstr>
      <vt:lpstr>vvh_256_fp_S_class_6161</vt:lpstr>
      <vt:lpstr>vvh_27_fp_S_class_6161</vt:lpstr>
      <vt:lpstr>vvh_28_fp_S_class_3757</vt:lpstr>
      <vt:lpstr>vvh_28_fp_S_class_6161</vt:lpstr>
      <vt:lpstr>vvh_31_fp_S_class_3757</vt:lpstr>
      <vt:lpstr>vvh_31_fp_S_class_6161</vt:lpstr>
      <vt:lpstr>vvh_3538_fp_S_class_3757</vt:lpstr>
      <vt:lpstr>vvh_3921_fp_S_class_6161</vt:lpstr>
      <vt:lpstr>vvh_4123_fp_S_class_6161</vt:lpstr>
      <vt:lpstr>vvh_4591_fp_S_class_6161</vt:lpstr>
      <vt:lpstr>vvh_5471_fp_S_class_6161</vt:lpstr>
      <vt:lpstr>vvh_6012_fp_S_class_6161</vt:lpstr>
      <vt:lpstr>vvh_6109_fp_S_class_3757</vt:lpstr>
      <vt:lpstr>vvh_6109_fp_S_class_6161</vt:lpstr>
      <vt:lpstr>vvh_6253_fp_S_class_3757</vt:lpstr>
      <vt:lpstr>vvh_647_fp_S_class_3757</vt:lpstr>
      <vt:lpstr>vvh_647_fp_S_class_6161</vt:lpstr>
      <vt:lpstr>vvh_807_fp_S_class_3757</vt:lpstr>
      <vt:lpstr>vvh_807_fp_S_class_6161</vt:lpstr>
      <vt:lpstr>vvh_8205_fp_S_class_3757</vt:lpstr>
      <vt:lpstr>vvh_82_fp_S_class_6161</vt:lpstr>
      <vt:lpstr>vvh_8462_fp_S_class_3757</vt:lpstr>
      <vt:lpstr>vvh_8462_fp_S_class_6161</vt:lpstr>
      <vt:lpstr>vvh_8653_fp_S_class_3757</vt:lpstr>
      <vt:lpstr>vvh_8653_fp_S_class_6161</vt:lpstr>
      <vt:lpstr>vvh_9007_fp_S_class_3757</vt:lpstr>
      <vt:lpstr>vvh_9007_fp_S_class_6161</vt:lpstr>
      <vt:lpstr>vvh_9009_fp_S_class_3757</vt:lpstr>
      <vt:lpstr>vvh_9009_fp_S_class_6161</vt:lpstr>
      <vt:lpstr>vvh_9011_fp_S_class_3757</vt:lpstr>
      <vt:lpstr>vvh_9011_fp_S_class_6161</vt:lpstr>
      <vt:lpstr>vvh_9030_fp_S_class_3757</vt:lpstr>
      <vt:lpstr>vvh_9030_fp_S_class_6161</vt:lpstr>
      <vt:lpstr>vvh_9031_fp_S_class_3757</vt:lpstr>
      <vt:lpstr>vvh_9031_fp_S_class_6161</vt:lpstr>
      <vt:lpstr>vvh_9032_fp_S_class_3757</vt:lpstr>
      <vt:lpstr>vvh_9032_fp_S_class_6161</vt:lpstr>
      <vt:lpstr>vvh_9033_fp_S_class_3757</vt:lpstr>
      <vt:lpstr>vvh_9033_fp_S_class_6161</vt:lpstr>
      <vt:lpstr>vvh_9035_fp_S_class_3757</vt:lpstr>
      <vt:lpstr>vvh_9035_fp_S_class_6161</vt:lpstr>
      <vt:lpstr>vvh_9036_fp_S_class_3757</vt:lpstr>
      <vt:lpstr>vvh_9036_fp_S_class_6161</vt:lpstr>
      <vt:lpstr>vvh_9041_fp_S_class_3757</vt:lpstr>
      <vt:lpstr>vvh_9041_fp_S_class_6161</vt:lpstr>
      <vt:lpstr>vvh_9042_fp_S_class_3757</vt:lpstr>
      <vt:lpstr>vvh_9042_fp_S_class_6161</vt:lpstr>
      <vt:lpstr>vvh_9043_fp_S_class_3757</vt:lpstr>
      <vt:lpstr>vvh_9043_fp_S_class_6161</vt:lpstr>
      <vt:lpstr>vvh_9064_fp_S_class_3757</vt:lpstr>
      <vt:lpstr>vvh_9064_fp_S_class_6161</vt:lpstr>
      <vt:lpstr>vvh_9065_fp_S_class_3757</vt:lpstr>
      <vt:lpstr>vvh_9065_fp_S_class_6161</vt:lpstr>
      <vt:lpstr>vvh_9066_fp_S_class_3757</vt:lpstr>
      <vt:lpstr>vvh_9066_fp_S_class_6161</vt:lpstr>
      <vt:lpstr>vvh_95_fp_S_class_3757</vt:lpstr>
      <vt:lpstr>vvh_95_fp_S_class_6161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2026-10-21T17:57:50Z</dcterms:created>
  <dcterms:modified xsi:type="dcterms:W3CDTF">2026-10-21T17:57:50Z</dcterms:modified>
</cp:coreProperties>
</file>